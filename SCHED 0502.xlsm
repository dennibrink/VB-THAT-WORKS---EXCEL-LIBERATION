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dialogsheets/sheet1.xml" ContentType="application/vnd.openxmlformats-officedocument.spreadsheetml.dialogsheet+xml"/>
  <Override PartName="/xl/dialogsheets/sheet2.xml" ContentType="application/vnd.openxmlformats-officedocument.spreadsheetml.dialogsheet+xml"/>
  <Override PartName="/xl/dialogsheets/sheet3.xml" ContentType="application/vnd.openxmlformats-officedocument.spreadsheetml.dialogsheet+xml"/>
  <Override PartName="/xl/dialogsheets/sheet4.xml" ContentType="application/vnd.openxmlformats-officedocument.spreadsheetml.dialogsheet+xml"/>
  <Override PartName="/xl/dialogsheets/sheet5.xml" ContentType="application/vnd.openxmlformats-officedocument.spreadsheetml.dialogsheet+xml"/>
  <Override PartName="/xl/dialogsheets/sheet6.xml" ContentType="application/vnd.openxmlformats-officedocument.spreadsheetml.dialogsheet+xml"/>
  <Override PartName="/xl/dialogsheets/sheet7.xml" ContentType="application/vnd.openxmlformats-officedocument.spreadsheetml.dialogsheet+xml"/>
  <Override PartName="/xl/dialogsheets/sheet8.xml" ContentType="application/vnd.openxmlformats-officedocument.spreadsheetml.dialogsheet+xml"/>
  <Override PartName="/xl/dialogsheets/sheet9.xml" ContentType="application/vnd.openxmlformats-officedocument.spreadsheetml.dialogsheet+xml"/>
  <Override PartName="/xl/dialogsheets/sheet10.xml" ContentType="application/vnd.openxmlformats-officedocument.spreadsheetml.dialogsheet+xml"/>
  <Override PartName="/xl/dialogsheets/sheet11.xml" ContentType="application/vnd.openxmlformats-officedocument.spreadsheetml.dialog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9.xml" ContentType="application/vnd.openxmlformats-officedocument.drawing+xml"/>
  <Override PartName="/xl/comments2.xml" ContentType="application/vnd.openxmlformats-officedocument.spreadsheetml.comments+xml"/>
  <Override PartName="/xl/drawings/drawing10.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drawings/drawing11.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drawings/drawing12.xml" ContentType="application/vnd.openxmlformats-officedocument.drawing+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showObjects="placeholders" codeName="ThisWorkbook"/>
  <bookViews>
    <workbookView xWindow="5325" yWindow="300" windowWidth="19440" windowHeight="11760" tabRatio="597" firstSheet="4" activeTab="8"/>
  </bookViews>
  <sheets>
    <sheet name="Main Menu" sheetId="1" r:id="rId1"/>
    <sheet name="CUST Weekly Asignments" sheetId="14" r:id="rId2"/>
    <sheet name="BEM Weekly Asignments" sheetId="15" r:id="rId3"/>
    <sheet name="MPE Weekly Asignments" sheetId="16" r:id="rId4"/>
    <sheet name="ET Weekly Asignments" sheetId="17" r:id="rId5"/>
    <sheet name="Master List" sheetId="19" r:id="rId6"/>
    <sheet name="Selected Crew" sheetId="20" r:id="rId7"/>
    <sheet name="Print Selected Sheet" sheetId="21" r:id="rId8"/>
    <sheet name="Schedule" sheetId="22" r:id="rId9"/>
    <sheet name="View Selected Sheet" sheetId="23" r:id="rId10"/>
    <sheet name="Save Menu" sheetId="24" r:id="rId11"/>
    <sheet name="Print Menu" sheetId="25" r:id="rId12"/>
    <sheet name="Scheduling Macros" sheetId="26" state="veryHidden" r:id=""/>
    <sheet name="Auto_Open Macros" sheetId="27" state="veryHidden" r:id=""/>
    <sheet name="Print &amp; Filter Macros" sheetId="28" state="veryHidden" r:id=""/>
    <sheet name="View &amp; Hide Macros" sheetId="29" state="veryHidden" r:id=""/>
    <sheet name="MsgBoxes" sheetId="30" state="veryHidden" r:id=""/>
    <sheet name="Dialog1" sheetId="31" r:id="rId13"/>
    <sheet name="Dialog2" sheetId="32" r:id="rId14"/>
    <sheet name="Dialog3" sheetId="33" r:id="rId15"/>
    <sheet name="Dialog4" sheetId="34" r:id="rId16"/>
    <sheet name="Dialog5" sheetId="35" r:id="rId17"/>
    <sheet name="Dialog6" sheetId="36" r:id="rId18"/>
    <sheet name="Dialog7" sheetId="37" r:id="rId19"/>
    <sheet name="Dialog8" sheetId="38" r:id="rId20"/>
    <sheet name="DialogA" sheetId="39" r:id="rId21"/>
    <sheet name="DialogB" sheetId="40" r:id="rId22"/>
    <sheet name="DialogC" sheetId="41" r:id="rId23"/>
    <sheet name="Dialog Macros" sheetId="42" state="veryHidden" r:id=""/>
    <sheet name="Module1" sheetId="43" state="veryHidden" r:id=""/>
    <sheet name="Sheet1" sheetId="48" r:id="rId24"/>
    <sheet name="Sheet2" sheetId="49" r:id="rId25"/>
    <sheet name="Sheet3" sheetId="50" r:id="rId26"/>
  </sheets>
  <externalReferences>
    <externalReference r:id="rId27"/>
  </externalReferences>
  <definedNames>
    <definedName name="_xlnm._FilterDatabase" localSheetId="2" hidden="1">'BEM Weekly Asignments'!$K$9:$K$72</definedName>
    <definedName name="_xlnm._FilterDatabase" localSheetId="1" hidden="1">'CUST Weekly Asignments'!$L$3:$L$140</definedName>
    <definedName name="_xlnm._FilterDatabase" localSheetId="4" hidden="1">'ET Weekly Asignments'!$M$3:$M$196</definedName>
    <definedName name="_xlnm._FilterDatabase" localSheetId="3" hidden="1">'MPE Weekly Asignments'!$K$3:$K$177</definedName>
    <definedName name="Dialog6" localSheetId="26">DialogB!Dialog6</definedName>
    <definedName name="Dialog6" localSheetId="27">DialogC!Dialog6</definedName>
    <definedName name="Dialog6" localSheetId="11">'Print Menu'!Dialog6</definedName>
    <definedName name="Dialog6">[0]!Dialog6</definedName>
    <definedName name="GetAdminPassWord">[1]!GetAdminPassWord</definedName>
    <definedName name="HideDialog">[1]!HideDialog</definedName>
    <definedName name="MainMenuSelection">[1]!MainMenuSelection</definedName>
    <definedName name="Password2" localSheetId="26">DialogB!Password2</definedName>
    <definedName name="Password2" localSheetId="27">DialogC!Password2</definedName>
    <definedName name="Password2" localSheetId="11">'Print Menu'!Password2</definedName>
    <definedName name="Password2">[0]!Password2</definedName>
    <definedName name="Password3" localSheetId="26">DialogB!Password3</definedName>
    <definedName name="Password3" localSheetId="27">DialogC!Password3</definedName>
    <definedName name="PassWord3" localSheetId="11">'Print Menu'!PassWord3</definedName>
    <definedName name="PassWord3">[0]!PassWord3</definedName>
    <definedName name="_xlnm.Print_Area" localSheetId="2">'BEM Weekly Asignments'!$A$7:$H$30</definedName>
    <definedName name="_xlnm.Print_Area" localSheetId="1">'CUST Weekly Asignments'!$A$1:$H$78</definedName>
    <definedName name="_xlnm.Print_Area" localSheetId="4">'ET Weekly Asignments'!$A$1:$H$102</definedName>
    <definedName name="_xlnm.Print_Area" localSheetId="5">'Master List'!$A$1:$L$73</definedName>
    <definedName name="_xlnm.Print_Area" localSheetId="3">'MPE Weekly Asignments'!$A$1:$H$78</definedName>
    <definedName name="_xlnm.Print_Area" localSheetId="8">Schedule!$A$1:$O$97</definedName>
    <definedName name="Select1stBreak" localSheetId="23">Dialog7!Select1stBreak</definedName>
    <definedName name="Select1stBreak" localSheetId="24">Dialog8!Select1stBreak</definedName>
    <definedName name="Select1stBreak" localSheetId="26">DialogB!Select1stBreak</definedName>
    <definedName name="Select1stBreak" localSheetId="27">DialogC!Select1stBreak</definedName>
    <definedName name="Select1stBreak" localSheetId="11">'Print Menu'!Select1stBreak</definedName>
    <definedName name="Select1stBreak">[0]!Select1stBreak</definedName>
    <definedName name="solver_lin" localSheetId="2" hidden="1">0</definedName>
    <definedName name="solver_lin" localSheetId="1" hidden="1">0</definedName>
    <definedName name="solver_lin" localSheetId="4" hidden="1">0</definedName>
    <definedName name="solver_lin" localSheetId="3" hidden="1">0</definedName>
    <definedName name="solver_num" localSheetId="2" hidden="1">0</definedName>
    <definedName name="solver_num" localSheetId="1" hidden="1">0</definedName>
    <definedName name="solver_num" localSheetId="4" hidden="1">0</definedName>
    <definedName name="solver_num" localSheetId="3" hidden="1">0</definedName>
    <definedName name="solver_opt" localSheetId="2" hidden="1">'BEM Weekly Asignments'!$B$12</definedName>
    <definedName name="solver_opt" localSheetId="1" hidden="1">'CUST Weekly Asignments'!$B$6</definedName>
    <definedName name="solver_opt" localSheetId="4" hidden="1">'ET Weekly Asignments'!#REF!</definedName>
    <definedName name="solver_opt" localSheetId="3" hidden="1">'MPE Weekly Asignments'!$B$10</definedName>
    <definedName name="solver_typ" localSheetId="2" hidden="1">1</definedName>
    <definedName name="solver_typ" localSheetId="1" hidden="1">1</definedName>
    <definedName name="solver_typ" localSheetId="4" hidden="1">1</definedName>
    <definedName name="solver_typ" localSheetId="3" hidden="1">1</definedName>
    <definedName name="solver_val" localSheetId="2" hidden="1">0</definedName>
    <definedName name="solver_val" localSheetId="1" hidden="1">0</definedName>
    <definedName name="solver_val" localSheetId="4" hidden="1">0</definedName>
    <definedName name="solver_val" localSheetId="3" hidden="1">0</definedName>
    <definedName name="UtilitiesMenuSelection">[1]!UtilitiesMenuSelection</definedName>
  </definedNames>
  <calcPr calcId="145621"/>
</workbook>
</file>

<file path=xl/calcChain.xml><?xml version="1.0" encoding="utf-8"?>
<calcChain xmlns="http://schemas.openxmlformats.org/spreadsheetml/2006/main">
  <c r="CC12" i="22" l="1"/>
  <c r="AF158" i="17" l="1"/>
  <c r="AT149" i="16"/>
  <c r="AT150" i="16"/>
  <c r="H61" i="16"/>
  <c r="H60" i="16"/>
  <c r="AT134" i="16"/>
  <c r="AT135" i="16"/>
  <c r="H41" i="16"/>
  <c r="H40" i="16"/>
  <c r="AT117" i="16"/>
  <c r="H17" i="16"/>
  <c r="H7" i="16"/>
  <c r="AT109" i="16"/>
  <c r="AT110" i="16"/>
  <c r="AT111" i="16"/>
  <c r="H9" i="16"/>
  <c r="H8" i="16"/>
  <c r="AQ149" i="16"/>
  <c r="AQ150" i="16"/>
  <c r="G61" i="16"/>
  <c r="G60" i="16"/>
  <c r="AN155" i="16"/>
  <c r="AN156" i="16"/>
  <c r="F69" i="16"/>
  <c r="F68" i="16"/>
  <c r="AK149" i="16"/>
  <c r="AK150" i="16"/>
  <c r="E61" i="16"/>
  <c r="E60" i="16"/>
  <c r="AH149" i="16"/>
  <c r="AH150" i="16"/>
  <c r="D61" i="16"/>
  <c r="D60" i="16"/>
  <c r="AE155" i="16"/>
  <c r="AE156" i="16"/>
  <c r="C69" i="16"/>
  <c r="C68" i="16"/>
  <c r="AB155" i="16"/>
  <c r="AB156" i="16"/>
  <c r="B69" i="16"/>
  <c r="B68" i="16"/>
  <c r="AG70" i="22"/>
  <c r="AG83" i="22"/>
  <c r="AG73" i="22"/>
  <c r="AG66" i="22"/>
  <c r="F66" i="22"/>
  <c r="AM70" i="22"/>
  <c r="AM43" i="22"/>
  <c r="AM27" i="22"/>
  <c r="AJ83" i="22"/>
  <c r="AI83" i="22"/>
  <c r="AI82" i="22"/>
  <c r="AH83" i="22"/>
  <c r="AX159" i="17"/>
  <c r="AX160" i="17"/>
  <c r="H61" i="17"/>
  <c r="H60" i="17"/>
  <c r="H55" i="17"/>
  <c r="AX155" i="17"/>
  <c r="AX156" i="17"/>
  <c r="AX157" i="17"/>
  <c r="H57" i="17"/>
  <c r="H56" i="17"/>
  <c r="AX145" i="17"/>
  <c r="H41" i="17"/>
  <c r="AU159" i="17"/>
  <c r="AU160" i="17"/>
  <c r="G61" i="17"/>
  <c r="G60" i="17"/>
  <c r="AU129" i="17"/>
  <c r="AU130" i="17"/>
  <c r="G21" i="17"/>
  <c r="G20" i="17"/>
  <c r="AR159" i="17"/>
  <c r="AR160" i="17"/>
  <c r="F61" i="17"/>
  <c r="F60" i="17"/>
  <c r="AI159" i="17"/>
  <c r="AI160" i="17"/>
  <c r="C61" i="17"/>
  <c r="C60" i="17"/>
  <c r="AI147" i="17"/>
  <c r="AI148" i="17"/>
  <c r="C45" i="17"/>
  <c r="C44" i="17"/>
  <c r="AI129" i="17"/>
  <c r="AI130" i="17"/>
  <c r="C21" i="17"/>
  <c r="C20" i="17"/>
  <c r="AF165" i="17"/>
  <c r="AF166" i="17"/>
  <c r="B69" i="17"/>
  <c r="B68" i="17"/>
  <c r="AF159" i="17"/>
  <c r="AF160" i="17"/>
  <c r="B61" i="17"/>
  <c r="B60" i="17"/>
  <c r="AR133" i="14"/>
  <c r="AR134" i="14"/>
  <c r="H69" i="14"/>
  <c r="H68" i="14"/>
  <c r="H15" i="14"/>
  <c r="AR93" i="14"/>
  <c r="AR94" i="14"/>
  <c r="AR95" i="14"/>
  <c r="H17" i="14"/>
  <c r="H16" i="14"/>
  <c r="AO139" i="14"/>
  <c r="AO140" i="14"/>
  <c r="G77" i="14"/>
  <c r="G76" i="14"/>
  <c r="AO133" i="14"/>
  <c r="AO134" i="14"/>
  <c r="G69" i="14"/>
  <c r="G68" i="14"/>
  <c r="AO130" i="14"/>
  <c r="AO131" i="14"/>
  <c r="G65" i="14"/>
  <c r="G64" i="14"/>
  <c r="AO124" i="14"/>
  <c r="AO125" i="14"/>
  <c r="G57" i="14"/>
  <c r="G56" i="14"/>
  <c r="AO103" i="14"/>
  <c r="AO104" i="14"/>
  <c r="G29" i="14"/>
  <c r="G28" i="14"/>
  <c r="G9" i="14"/>
  <c r="AL103" i="14"/>
  <c r="AL104" i="14"/>
  <c r="F29" i="14"/>
  <c r="F28" i="14"/>
  <c r="AI136" i="14"/>
  <c r="AI137" i="14"/>
  <c r="E73" i="14"/>
  <c r="E72" i="14"/>
  <c r="E67" i="14"/>
  <c r="AI132" i="14"/>
  <c r="AI133" i="14"/>
  <c r="AI134" i="14"/>
  <c r="E69" i="14"/>
  <c r="E68" i="14"/>
  <c r="AI103" i="14"/>
  <c r="AI104" i="14"/>
  <c r="E29" i="14"/>
  <c r="E28" i="14"/>
  <c r="AI100" i="14"/>
  <c r="AI101" i="14"/>
  <c r="E25" i="14"/>
  <c r="E24" i="14"/>
  <c r="D67" i="14"/>
  <c r="AF132" i="14"/>
  <c r="AF133" i="14"/>
  <c r="AF134" i="14"/>
  <c r="D69" i="14"/>
  <c r="D68" i="14"/>
  <c r="D63" i="14"/>
  <c r="AF129" i="14"/>
  <c r="AF130" i="14"/>
  <c r="AF131" i="14"/>
  <c r="D65" i="14"/>
  <c r="D64" i="14"/>
  <c r="AF124" i="14"/>
  <c r="AF125" i="14"/>
  <c r="D57" i="14"/>
  <c r="D56" i="14"/>
  <c r="AF121" i="14"/>
  <c r="AF122" i="14"/>
  <c r="D53" i="14"/>
  <c r="D52" i="14"/>
  <c r="AF118" i="14"/>
  <c r="AF119" i="14"/>
  <c r="D49" i="14"/>
  <c r="D48" i="14"/>
  <c r="AF100" i="14"/>
  <c r="AF101" i="14"/>
  <c r="D25" i="14"/>
  <c r="D24" i="14"/>
  <c r="AC139" i="14"/>
  <c r="AC140" i="14"/>
  <c r="C77" i="14"/>
  <c r="C76" i="14"/>
  <c r="C67" i="14"/>
  <c r="AC132" i="14"/>
  <c r="AC133" i="14"/>
  <c r="AC134" i="14"/>
  <c r="C69" i="14"/>
  <c r="C68" i="14"/>
  <c r="AC124" i="14"/>
  <c r="AC125" i="14"/>
  <c r="C57" i="14"/>
  <c r="C56" i="14"/>
  <c r="AC101" i="14"/>
  <c r="C25" i="14"/>
  <c r="Z139" i="14"/>
  <c r="Z140" i="14"/>
  <c r="B77" i="14"/>
  <c r="B76" i="14"/>
  <c r="B67" i="14"/>
  <c r="Z132" i="14"/>
  <c r="Z133" i="14"/>
  <c r="B68" i="14"/>
  <c r="Z131" i="14"/>
  <c r="B65" i="14"/>
  <c r="B27" i="14"/>
  <c r="Z102" i="14"/>
  <c r="Z103" i="14"/>
  <c r="Z104" i="14"/>
  <c r="B29" i="14"/>
  <c r="B28" i="14"/>
  <c r="Z100" i="14"/>
  <c r="Z101" i="14"/>
  <c r="B25" i="14"/>
  <c r="B24" i="14"/>
  <c r="B15" i="14"/>
  <c r="Z93" i="14"/>
  <c r="Z94" i="14"/>
  <c r="Z95" i="14"/>
  <c r="B17" i="14"/>
  <c r="B16" i="14"/>
  <c r="B31" i="16"/>
  <c r="AB127" i="16"/>
  <c r="AB128" i="16"/>
  <c r="AB129" i="16"/>
  <c r="B33" i="16"/>
  <c r="H31" i="16"/>
  <c r="AT127" i="16"/>
  <c r="AT128" i="16"/>
  <c r="AT129" i="16"/>
  <c r="H33" i="16"/>
  <c r="H32" i="16"/>
  <c r="B19" i="16"/>
  <c r="AB118" i="16"/>
  <c r="AB119" i="16"/>
  <c r="AB120" i="16"/>
  <c r="B21" i="16"/>
  <c r="H19" i="16"/>
  <c r="AT118" i="16"/>
  <c r="AT119" i="16"/>
  <c r="AT120" i="16"/>
  <c r="H21" i="16"/>
  <c r="H20" i="16"/>
  <c r="H15" i="16"/>
  <c r="AT115" i="16"/>
  <c r="AT116" i="16"/>
  <c r="H16" i="16"/>
  <c r="H11" i="16"/>
  <c r="AT112" i="16"/>
  <c r="AT113" i="16"/>
  <c r="AT114" i="16"/>
  <c r="H13" i="16"/>
  <c r="H12" i="16"/>
  <c r="G51" i="16"/>
  <c r="AQ142" i="16"/>
  <c r="AQ143" i="16"/>
  <c r="AQ144" i="16"/>
  <c r="G53" i="16"/>
  <c r="G52" i="16"/>
  <c r="G19" i="16"/>
  <c r="AQ118" i="16"/>
  <c r="AQ119" i="16"/>
  <c r="AQ120" i="16"/>
  <c r="G21" i="16"/>
  <c r="G20" i="16"/>
  <c r="G15" i="16"/>
  <c r="AQ115" i="16"/>
  <c r="AQ116" i="16"/>
  <c r="AQ117" i="16"/>
  <c r="G17" i="16"/>
  <c r="G16" i="16"/>
  <c r="F31" i="16"/>
  <c r="AN127" i="16"/>
  <c r="AN128" i="16"/>
  <c r="AN129" i="16"/>
  <c r="F33" i="16"/>
  <c r="F32" i="16"/>
  <c r="F15" i="16"/>
  <c r="AN115" i="16"/>
  <c r="AN116" i="16"/>
  <c r="AN117" i="16"/>
  <c r="F17" i="16"/>
  <c r="F16" i="16"/>
  <c r="E31" i="16"/>
  <c r="AK127" i="16"/>
  <c r="AK128" i="16"/>
  <c r="AK129" i="16"/>
  <c r="E33" i="16"/>
  <c r="E32" i="16"/>
  <c r="E15" i="16"/>
  <c r="AK115" i="16"/>
  <c r="AK116" i="16"/>
  <c r="AK117" i="16"/>
  <c r="E17" i="16"/>
  <c r="E16" i="16"/>
  <c r="D31" i="16"/>
  <c r="AH127" i="16"/>
  <c r="AH128" i="16"/>
  <c r="AH129" i="16"/>
  <c r="D33" i="16"/>
  <c r="D32" i="16"/>
  <c r="D15" i="16"/>
  <c r="AH115" i="16"/>
  <c r="AH116" i="16"/>
  <c r="AH117" i="16"/>
  <c r="D17" i="16"/>
  <c r="D16" i="16"/>
  <c r="C31" i="16"/>
  <c r="AE127" i="16"/>
  <c r="AE128" i="16"/>
  <c r="AE129" i="16"/>
  <c r="C33" i="16"/>
  <c r="C32" i="16"/>
  <c r="C19" i="16"/>
  <c r="AE118" i="16"/>
  <c r="AE119" i="16"/>
  <c r="AE120" i="16"/>
  <c r="C21" i="16"/>
  <c r="C20" i="16"/>
  <c r="C7" i="16"/>
  <c r="AE109" i="16"/>
  <c r="AE110" i="16"/>
  <c r="AE111" i="16"/>
  <c r="C9" i="16"/>
  <c r="C8" i="16"/>
  <c r="B32" i="16"/>
  <c r="B20" i="16"/>
  <c r="B9" i="15"/>
  <c r="Y50" i="15"/>
  <c r="Y51" i="15"/>
  <c r="Y52" i="15"/>
  <c r="B11" i="15"/>
  <c r="B10" i="15"/>
  <c r="AG67" i="22"/>
  <c r="AG85" i="22"/>
  <c r="AG84" i="22"/>
  <c r="AG82" i="22"/>
  <c r="AG80" i="22"/>
  <c r="AG78" i="22"/>
  <c r="AG49" i="22"/>
  <c r="AG46" i="22"/>
  <c r="AG41" i="22"/>
  <c r="F41" i="22"/>
  <c r="AM83" i="22"/>
  <c r="AM80" i="22"/>
  <c r="AM67" i="22"/>
  <c r="AM49" i="22"/>
  <c r="AM46" i="22"/>
  <c r="AM45" i="22"/>
  <c r="AM44" i="22"/>
  <c r="AM29" i="22"/>
  <c r="AM22" i="22"/>
  <c r="AM17" i="22"/>
  <c r="G9" i="22"/>
  <c r="AL83" i="22"/>
  <c r="AL80" i="22"/>
  <c r="AL67" i="22"/>
  <c r="AL54" i="22"/>
  <c r="AL46" i="22"/>
  <c r="AL45" i="22"/>
  <c r="AL29" i="22"/>
  <c r="AL22" i="22"/>
  <c r="AL17" i="22"/>
  <c r="AK85" i="22"/>
  <c r="AK67" i="22"/>
  <c r="AK49" i="22"/>
  <c r="AK45" i="22"/>
  <c r="AK29" i="22"/>
  <c r="AK27" i="22"/>
  <c r="AK22" i="22"/>
  <c r="AK17" i="22"/>
  <c r="AJ85" i="22"/>
  <c r="AJ67" i="22"/>
  <c r="AJ49" i="22"/>
  <c r="AJ45" i="22"/>
  <c r="AJ29" i="22"/>
  <c r="AJ28" i="22"/>
  <c r="AJ27" i="22"/>
  <c r="AJ22" i="22"/>
  <c r="AJ17" i="22"/>
  <c r="AI78" i="22"/>
  <c r="AI49" i="22"/>
  <c r="AI45" i="22"/>
  <c r="AI32" i="22"/>
  <c r="AI29" i="22"/>
  <c r="AI27" i="22"/>
  <c r="AI22" i="22"/>
  <c r="AI17" i="22"/>
  <c r="AH85" i="22"/>
  <c r="AH49" i="22"/>
  <c r="AH46" i="22"/>
  <c r="AH43" i="22"/>
  <c r="AH28" i="22"/>
  <c r="AH27" i="22"/>
  <c r="AH22" i="22"/>
  <c r="AH17" i="22"/>
  <c r="AG87" i="22"/>
  <c r="AG33" i="22"/>
  <c r="AG29" i="22"/>
  <c r="AG28" i="22"/>
  <c r="AG27" i="22"/>
  <c r="AG24" i="22"/>
  <c r="AG22" i="22"/>
  <c r="H63" i="17"/>
  <c r="AX161" i="17"/>
  <c r="AX162" i="17"/>
  <c r="AX163" i="17"/>
  <c r="H65" i="17"/>
  <c r="H64" i="17"/>
  <c r="H35" i="17"/>
  <c r="AX140" i="17"/>
  <c r="AX141" i="17"/>
  <c r="AX142" i="17"/>
  <c r="H37" i="17"/>
  <c r="H36" i="17"/>
  <c r="H15" i="17"/>
  <c r="AX125" i="17"/>
  <c r="AX126" i="17"/>
  <c r="AX127" i="17"/>
  <c r="H17" i="17"/>
  <c r="H16" i="17"/>
  <c r="G63" i="17"/>
  <c r="AU161" i="17"/>
  <c r="AU162" i="17"/>
  <c r="AU163" i="17"/>
  <c r="G65" i="17"/>
  <c r="G64" i="17"/>
  <c r="G35" i="17"/>
  <c r="AU140" i="17"/>
  <c r="AU141" i="17"/>
  <c r="AU142" i="17"/>
  <c r="G37" i="17"/>
  <c r="G36" i="17"/>
  <c r="G15" i="17"/>
  <c r="AU125" i="17"/>
  <c r="AU126" i="17"/>
  <c r="AU127" i="17"/>
  <c r="G17" i="17"/>
  <c r="G16" i="17"/>
  <c r="F63" i="17"/>
  <c r="AR161" i="17"/>
  <c r="AR162" i="17"/>
  <c r="AR163" i="17"/>
  <c r="F65" i="17"/>
  <c r="F64" i="17"/>
  <c r="F55" i="17"/>
  <c r="AR155" i="17"/>
  <c r="AR156" i="17"/>
  <c r="AR157" i="17"/>
  <c r="F57" i="17"/>
  <c r="F56" i="17"/>
  <c r="F35" i="17"/>
  <c r="AR140" i="17"/>
  <c r="AR141" i="17"/>
  <c r="AR142" i="17"/>
  <c r="F37" i="17"/>
  <c r="F36" i="17"/>
  <c r="F15" i="17"/>
  <c r="AR125" i="17"/>
  <c r="AR126" i="17"/>
  <c r="AR127" i="17"/>
  <c r="F17" i="17"/>
  <c r="F16" i="17"/>
  <c r="E63" i="17"/>
  <c r="AO161" i="17"/>
  <c r="AO162" i="17"/>
  <c r="AO163" i="17"/>
  <c r="E65" i="17"/>
  <c r="E64" i="17"/>
  <c r="E59" i="17"/>
  <c r="AO158" i="17"/>
  <c r="AO159" i="17"/>
  <c r="AO160" i="17"/>
  <c r="E61" i="17"/>
  <c r="E60" i="17"/>
  <c r="E55" i="17"/>
  <c r="AO155" i="17"/>
  <c r="AO156" i="17"/>
  <c r="AO157" i="17"/>
  <c r="E57" i="17"/>
  <c r="E56" i="17"/>
  <c r="E35" i="17"/>
  <c r="AO140" i="17"/>
  <c r="AO141" i="17"/>
  <c r="AO142" i="17"/>
  <c r="E37" i="17"/>
  <c r="E36" i="17"/>
  <c r="E15" i="17"/>
  <c r="AO125" i="17"/>
  <c r="AO126" i="17"/>
  <c r="AO127" i="17"/>
  <c r="E17" i="17"/>
  <c r="E16" i="17"/>
  <c r="D75" i="17"/>
  <c r="AL170" i="17"/>
  <c r="AL171" i="17"/>
  <c r="AL172" i="17"/>
  <c r="D77" i="17"/>
  <c r="D76" i="17"/>
  <c r="D63" i="17"/>
  <c r="AL161" i="17"/>
  <c r="AL162" i="17"/>
  <c r="AL163" i="17"/>
  <c r="D65" i="17"/>
  <c r="D64" i="17"/>
  <c r="D55" i="17"/>
  <c r="AL155" i="17"/>
  <c r="AL156" i="17"/>
  <c r="AL157" i="17"/>
  <c r="D57" i="17"/>
  <c r="D56" i="17"/>
  <c r="D35" i="17"/>
  <c r="AL140" i="17"/>
  <c r="AL141" i="17"/>
  <c r="AL142" i="17"/>
  <c r="D37" i="17"/>
  <c r="D36" i="17"/>
  <c r="D15" i="17"/>
  <c r="AL125" i="17"/>
  <c r="AL126" i="17"/>
  <c r="AL127" i="17"/>
  <c r="D17" i="17"/>
  <c r="D16" i="17"/>
  <c r="C59" i="17"/>
  <c r="AI158" i="17"/>
  <c r="C55" i="17"/>
  <c r="AI155" i="17"/>
  <c r="AI156" i="17"/>
  <c r="AI157" i="17"/>
  <c r="C57" i="17"/>
  <c r="C56" i="17"/>
  <c r="C35" i="17"/>
  <c r="AI140" i="17"/>
  <c r="AI141" i="17"/>
  <c r="AI142" i="17"/>
  <c r="C37" i="17"/>
  <c r="C36" i="17"/>
  <c r="C15" i="17"/>
  <c r="AI125" i="17"/>
  <c r="AI126" i="17"/>
  <c r="AI127" i="17"/>
  <c r="C17" i="17"/>
  <c r="C16" i="17"/>
  <c r="B79" i="17"/>
  <c r="AF173" i="17"/>
  <c r="AF174" i="17"/>
  <c r="AF175" i="17"/>
  <c r="B81" i="17"/>
  <c r="B80" i="17"/>
  <c r="B63" i="17"/>
  <c r="AF161" i="17"/>
  <c r="AF162" i="17"/>
  <c r="AF163" i="17"/>
  <c r="B65" i="17"/>
  <c r="B64" i="17"/>
  <c r="B59" i="17"/>
  <c r="B55" i="17"/>
  <c r="AF155" i="17"/>
  <c r="AF156" i="17"/>
  <c r="AF157" i="17"/>
  <c r="B57" i="17"/>
  <c r="B56" i="17"/>
  <c r="B43" i="17"/>
  <c r="AF146" i="17"/>
  <c r="AF147" i="17"/>
  <c r="AF148" i="17"/>
  <c r="B45" i="17"/>
  <c r="B44" i="17"/>
  <c r="B35" i="17"/>
  <c r="AF140" i="17"/>
  <c r="AF141" i="17"/>
  <c r="AF142" i="17"/>
  <c r="B37" i="17"/>
  <c r="B36" i="17"/>
  <c r="H67" i="14"/>
  <c r="AR132" i="14"/>
  <c r="H55" i="14"/>
  <c r="AR123" i="14"/>
  <c r="AR124" i="14"/>
  <c r="AR125" i="14"/>
  <c r="H57" i="14"/>
  <c r="H56" i="14"/>
  <c r="H3" i="14"/>
  <c r="AR84" i="14"/>
  <c r="AR85" i="14"/>
  <c r="AR86" i="14"/>
  <c r="H5" i="14"/>
  <c r="H4" i="14"/>
  <c r="G67" i="14"/>
  <c r="AO132" i="14"/>
  <c r="G55" i="14"/>
  <c r="AO123" i="14"/>
  <c r="G3" i="14"/>
  <c r="AO84" i="14"/>
  <c r="AO85" i="14"/>
  <c r="AO86" i="14"/>
  <c r="G5" i="14"/>
  <c r="G4" i="14"/>
  <c r="F75" i="14"/>
  <c r="AL138" i="14"/>
  <c r="AL139" i="14"/>
  <c r="AL140" i="14"/>
  <c r="F77" i="14"/>
  <c r="F76" i="14"/>
  <c r="F3" i="14"/>
  <c r="AL84" i="14"/>
  <c r="AL85" i="14"/>
  <c r="AL86" i="14"/>
  <c r="F5" i="14"/>
  <c r="F4" i="14"/>
  <c r="E75" i="14"/>
  <c r="AI138" i="14"/>
  <c r="AI139" i="14"/>
  <c r="AI140" i="14"/>
  <c r="E77" i="14"/>
  <c r="E76" i="14"/>
  <c r="E3" i="14"/>
  <c r="AI84" i="14"/>
  <c r="AI85" i="14"/>
  <c r="AI86" i="14"/>
  <c r="E5" i="14"/>
  <c r="E4" i="14"/>
  <c r="D47" i="14"/>
  <c r="AF117" i="14"/>
  <c r="C75" i="14"/>
  <c r="AC138" i="14"/>
  <c r="B75" i="14"/>
  <c r="Z138" i="14"/>
  <c r="B71" i="14"/>
  <c r="Z135" i="14"/>
  <c r="Z136" i="14"/>
  <c r="Z137" i="14"/>
  <c r="B73" i="14"/>
  <c r="B72" i="14"/>
  <c r="B63" i="14"/>
  <c r="Z129" i="14"/>
  <c r="Z130" i="14"/>
  <c r="B64" i="14"/>
  <c r="B55" i="14"/>
  <c r="Z123" i="14"/>
  <c r="Z124" i="14"/>
  <c r="Z125" i="14"/>
  <c r="B57" i="14"/>
  <c r="B56" i="14"/>
  <c r="B47" i="14"/>
  <c r="Z117" i="14"/>
  <c r="Z118" i="14"/>
  <c r="Z119" i="14"/>
  <c r="B49" i="14"/>
  <c r="B48" i="14"/>
  <c r="B3" i="14"/>
  <c r="Z84" i="14"/>
  <c r="Z85" i="14"/>
  <c r="Z86" i="14"/>
  <c r="B5" i="14"/>
  <c r="B4" i="14"/>
  <c r="AO110" i="14"/>
  <c r="AT155" i="16"/>
  <c r="AT156" i="16"/>
  <c r="H69" i="16"/>
  <c r="H68" i="16"/>
  <c r="AE149" i="16"/>
  <c r="AE150" i="16"/>
  <c r="C61" i="16"/>
  <c r="C60" i="16"/>
  <c r="AB149" i="16"/>
  <c r="AB150" i="16"/>
  <c r="B61" i="16"/>
  <c r="B60" i="16"/>
  <c r="AX174" i="17"/>
  <c r="AX175" i="17"/>
  <c r="H81" i="17"/>
  <c r="H80" i="17"/>
  <c r="AX147" i="17"/>
  <c r="AX148" i="17"/>
  <c r="H45" i="17"/>
  <c r="H44" i="17"/>
  <c r="AX144" i="17"/>
  <c r="H40" i="17"/>
  <c r="AU144" i="17"/>
  <c r="AU145" i="17"/>
  <c r="G41" i="17"/>
  <c r="G40" i="17"/>
  <c r="AU135" i="17"/>
  <c r="AU136" i="17"/>
  <c r="G29" i="17"/>
  <c r="G28" i="17"/>
  <c r="AR147" i="17"/>
  <c r="AR148" i="17"/>
  <c r="F45" i="17"/>
  <c r="F44" i="17"/>
  <c r="AO144" i="17"/>
  <c r="AO145" i="17"/>
  <c r="E41" i="17"/>
  <c r="E40" i="17"/>
  <c r="AL147" i="17"/>
  <c r="AL148" i="17"/>
  <c r="D45" i="17"/>
  <c r="D44" i="17"/>
  <c r="AF144" i="17"/>
  <c r="AF145" i="17"/>
  <c r="B41" i="17"/>
  <c r="B40" i="17"/>
  <c r="AR121" i="14"/>
  <c r="AR122" i="14"/>
  <c r="H53" i="14"/>
  <c r="H52" i="14"/>
  <c r="AR118" i="14"/>
  <c r="AR119" i="14"/>
  <c r="H49" i="14"/>
  <c r="H48" i="14"/>
  <c r="AR109" i="14"/>
  <c r="AR110" i="14"/>
  <c r="H37" i="14"/>
  <c r="H36" i="14"/>
  <c r="AO119" i="14"/>
  <c r="G49" i="14"/>
  <c r="G37" i="14"/>
  <c r="AO109" i="14"/>
  <c r="G36" i="14"/>
  <c r="AO88" i="14"/>
  <c r="G8" i="14"/>
  <c r="AL119" i="14"/>
  <c r="F49" i="14"/>
  <c r="AL115" i="14"/>
  <c r="AL116" i="14"/>
  <c r="F45" i="14"/>
  <c r="F44" i="14"/>
  <c r="AL100" i="14"/>
  <c r="AL101" i="14"/>
  <c r="F25" i="14"/>
  <c r="F24" i="14"/>
  <c r="AI118" i="14"/>
  <c r="AI119" i="14"/>
  <c r="E49" i="14"/>
  <c r="E48" i="14"/>
  <c r="AI116" i="14"/>
  <c r="E45" i="14"/>
  <c r="AF116" i="14"/>
  <c r="D45" i="14"/>
  <c r="AF110" i="14"/>
  <c r="D37" i="14"/>
  <c r="AC116" i="14"/>
  <c r="C45" i="14"/>
  <c r="AC110" i="14"/>
  <c r="C37" i="14"/>
  <c r="Z121" i="14"/>
  <c r="Z122" i="14"/>
  <c r="B53" i="14"/>
  <c r="B52" i="14"/>
  <c r="Z116" i="14"/>
  <c r="B45" i="14"/>
  <c r="Z110" i="14"/>
  <c r="B37" i="14"/>
  <c r="B15" i="16"/>
  <c r="AB115" i="16"/>
  <c r="AB116" i="16"/>
  <c r="AB117" i="16"/>
  <c r="B17" i="16"/>
  <c r="B16" i="16"/>
  <c r="AG45" i="22"/>
  <c r="AG69" i="22"/>
  <c r="AG75" i="22"/>
  <c r="AM19" i="22"/>
  <c r="AK75" i="22"/>
  <c r="AK19" i="22"/>
  <c r="AJ75" i="22"/>
  <c r="AI19" i="22"/>
  <c r="H87" i="17"/>
  <c r="AX179" i="17"/>
  <c r="AX180" i="17"/>
  <c r="AX181" i="17"/>
  <c r="H89" i="17"/>
  <c r="H88" i="17"/>
  <c r="H23" i="17"/>
  <c r="AX131" i="17"/>
  <c r="AX132" i="17"/>
  <c r="AX133" i="17"/>
  <c r="H25" i="17"/>
  <c r="H24" i="17"/>
  <c r="F23" i="17"/>
  <c r="AR131" i="17"/>
  <c r="AR132" i="17"/>
  <c r="AR133" i="17"/>
  <c r="F25" i="17"/>
  <c r="F24" i="17"/>
  <c r="AR118" i="17"/>
  <c r="F5" i="17"/>
  <c r="E87" i="17"/>
  <c r="AO179" i="17"/>
  <c r="AO180" i="17"/>
  <c r="AO181" i="17"/>
  <c r="E89" i="17"/>
  <c r="E88" i="17"/>
  <c r="D87" i="17"/>
  <c r="AL179" i="17"/>
  <c r="AL180" i="17"/>
  <c r="AL181" i="17"/>
  <c r="D89" i="17"/>
  <c r="D88" i="17"/>
  <c r="D23" i="17"/>
  <c r="AL131" i="17"/>
  <c r="AL132" i="17"/>
  <c r="AL133" i="17"/>
  <c r="D25" i="17"/>
  <c r="D24" i="17"/>
  <c r="C87" i="17"/>
  <c r="AI179" i="17"/>
  <c r="AI180" i="17"/>
  <c r="AI181" i="17"/>
  <c r="C89" i="17"/>
  <c r="C88" i="17"/>
  <c r="B87" i="17"/>
  <c r="AF179" i="17"/>
  <c r="AF180" i="17"/>
  <c r="AF181" i="17"/>
  <c r="B89" i="17"/>
  <c r="B88" i="17"/>
  <c r="F35" i="14"/>
  <c r="AL108" i="14"/>
  <c r="AL109" i="14"/>
  <c r="AL110" i="14"/>
  <c r="F37" i="14"/>
  <c r="F36" i="14"/>
  <c r="E35" i="14"/>
  <c r="AI108" i="14"/>
  <c r="AI109" i="14"/>
  <c r="AI110" i="14"/>
  <c r="E37" i="14"/>
  <c r="E36" i="14"/>
  <c r="AC100" i="14"/>
  <c r="C24" i="14"/>
  <c r="AG35" i="22"/>
  <c r="E35" i="22"/>
  <c r="E51" i="22"/>
  <c r="CC10" i="22"/>
  <c r="AH52" i="22"/>
  <c r="H95" i="16"/>
  <c r="AT175" i="16"/>
  <c r="AT176" i="16"/>
  <c r="AT177" i="16"/>
  <c r="H97" i="16"/>
  <c r="H96" i="16"/>
  <c r="H91" i="16"/>
  <c r="AT172" i="16"/>
  <c r="AT173" i="16"/>
  <c r="AT174" i="16"/>
  <c r="H93" i="16"/>
  <c r="H92" i="16"/>
  <c r="H87" i="16"/>
  <c r="AT169" i="16"/>
  <c r="AT170" i="16"/>
  <c r="AT171" i="16"/>
  <c r="H89" i="16"/>
  <c r="H88" i="16"/>
  <c r="H83" i="16"/>
  <c r="AT166" i="16"/>
  <c r="AT167" i="16"/>
  <c r="AT168" i="16"/>
  <c r="H85" i="16"/>
  <c r="H84" i="16"/>
  <c r="H79" i="16"/>
  <c r="AT163" i="16"/>
  <c r="AT164" i="16"/>
  <c r="AT165" i="16"/>
  <c r="H81" i="16"/>
  <c r="H80" i="16"/>
  <c r="H75" i="16"/>
  <c r="AT160" i="16"/>
  <c r="AT161" i="16"/>
  <c r="AT162" i="16"/>
  <c r="H77" i="16"/>
  <c r="H76" i="16"/>
  <c r="H71" i="16"/>
  <c r="AT157" i="16"/>
  <c r="AT158" i="16"/>
  <c r="AT159" i="16"/>
  <c r="H73" i="16"/>
  <c r="H72" i="16"/>
  <c r="H67" i="16"/>
  <c r="AT154" i="16"/>
  <c r="H63" i="16"/>
  <c r="AT151" i="16"/>
  <c r="AT152" i="16"/>
  <c r="AT153" i="16"/>
  <c r="H65" i="16"/>
  <c r="H64" i="16"/>
  <c r="H59" i="16"/>
  <c r="AT148" i="16"/>
  <c r="H55" i="16"/>
  <c r="AT145" i="16"/>
  <c r="AT146" i="16"/>
  <c r="AT147" i="16"/>
  <c r="H57" i="16"/>
  <c r="H56" i="16"/>
  <c r="B39" i="16"/>
  <c r="AB133" i="16"/>
  <c r="AB134" i="16"/>
  <c r="B40" i="16"/>
  <c r="H51" i="16"/>
  <c r="AT142" i="16"/>
  <c r="AT143" i="16"/>
  <c r="AT144" i="16"/>
  <c r="H53" i="16"/>
  <c r="H52" i="16"/>
  <c r="H47" i="16"/>
  <c r="AT139" i="16"/>
  <c r="AT140" i="16"/>
  <c r="AT141" i="16"/>
  <c r="H49" i="16"/>
  <c r="H48" i="16"/>
  <c r="H43" i="16"/>
  <c r="AT136" i="16"/>
  <c r="AT137" i="16"/>
  <c r="AT138" i="16"/>
  <c r="H45" i="16"/>
  <c r="H44" i="16"/>
  <c r="H39" i="16"/>
  <c r="AT133" i="16"/>
  <c r="H35" i="16"/>
  <c r="AT130" i="16"/>
  <c r="AT131" i="16"/>
  <c r="AT132" i="16"/>
  <c r="H37" i="16"/>
  <c r="H36" i="16"/>
  <c r="B27" i="16"/>
  <c r="AB124" i="16"/>
  <c r="AB125" i="16"/>
  <c r="AB126" i="16"/>
  <c r="B29" i="16"/>
  <c r="H27" i="16"/>
  <c r="AT124" i="16"/>
  <c r="AT125" i="16"/>
  <c r="AT126" i="16"/>
  <c r="H29" i="16"/>
  <c r="H28" i="16"/>
  <c r="B23" i="16"/>
  <c r="AB121" i="16"/>
  <c r="AB122" i="16"/>
  <c r="AB123" i="16"/>
  <c r="B25" i="16"/>
  <c r="H23" i="16"/>
  <c r="AT121" i="16"/>
  <c r="AT122" i="16"/>
  <c r="AT123" i="16"/>
  <c r="H25" i="16"/>
  <c r="H24" i="16"/>
  <c r="B11" i="16"/>
  <c r="AB112" i="16"/>
  <c r="AB113" i="16"/>
  <c r="AB114" i="16"/>
  <c r="B13" i="16"/>
  <c r="B7" i="16"/>
  <c r="AB109" i="16"/>
  <c r="AB110" i="16"/>
  <c r="AB111" i="16"/>
  <c r="B9" i="16"/>
  <c r="B3" i="16"/>
  <c r="AB106" i="16"/>
  <c r="AB107" i="16"/>
  <c r="AB108" i="16"/>
  <c r="B5" i="16"/>
  <c r="H3" i="16"/>
  <c r="AT106" i="16"/>
  <c r="AT107" i="16"/>
  <c r="AT108" i="16"/>
  <c r="H5" i="16"/>
  <c r="H4" i="16"/>
  <c r="G95" i="16"/>
  <c r="AQ175" i="16"/>
  <c r="AQ176" i="16"/>
  <c r="AQ177" i="16"/>
  <c r="G97" i="16"/>
  <c r="G96" i="16"/>
  <c r="G91" i="16"/>
  <c r="AQ172" i="16"/>
  <c r="AQ173" i="16"/>
  <c r="AQ174" i="16"/>
  <c r="G93" i="16"/>
  <c r="G92" i="16"/>
  <c r="G87" i="16"/>
  <c r="AQ169" i="16"/>
  <c r="AQ170" i="16"/>
  <c r="AQ171" i="16"/>
  <c r="G89" i="16"/>
  <c r="G88" i="16"/>
  <c r="G83" i="16"/>
  <c r="AQ166" i="16"/>
  <c r="AQ167" i="16"/>
  <c r="AQ168" i="16"/>
  <c r="G85" i="16"/>
  <c r="G84" i="16"/>
  <c r="G79" i="16"/>
  <c r="AQ163" i="16"/>
  <c r="AQ164" i="16"/>
  <c r="AQ165" i="16"/>
  <c r="G81" i="16"/>
  <c r="G80" i="16"/>
  <c r="G75" i="16"/>
  <c r="AQ160" i="16"/>
  <c r="AQ161" i="16"/>
  <c r="AQ162" i="16"/>
  <c r="G77" i="16"/>
  <c r="G76" i="16"/>
  <c r="G71" i="16"/>
  <c r="AQ157" i="16"/>
  <c r="AQ158" i="16"/>
  <c r="AQ159" i="16"/>
  <c r="G73" i="16"/>
  <c r="G72" i="16"/>
  <c r="G67" i="16"/>
  <c r="AQ154" i="16"/>
  <c r="AQ155" i="16"/>
  <c r="AQ156" i="16"/>
  <c r="G69" i="16"/>
  <c r="G68" i="16"/>
  <c r="G63" i="16"/>
  <c r="AQ151" i="16"/>
  <c r="AQ152" i="16"/>
  <c r="AQ153" i="16"/>
  <c r="G65" i="16"/>
  <c r="G64" i="16"/>
  <c r="G59" i="16"/>
  <c r="AQ148" i="16"/>
  <c r="G55" i="16"/>
  <c r="AQ145" i="16"/>
  <c r="AQ146" i="16"/>
  <c r="AQ147" i="16"/>
  <c r="G57" i="16"/>
  <c r="G56" i="16"/>
  <c r="G47" i="16"/>
  <c r="AQ139" i="16"/>
  <c r="AQ140" i="16"/>
  <c r="AQ141" i="16"/>
  <c r="G49" i="16"/>
  <c r="G48" i="16"/>
  <c r="G43" i="16"/>
  <c r="AQ136" i="16"/>
  <c r="AQ137" i="16"/>
  <c r="AQ138" i="16"/>
  <c r="G45" i="16"/>
  <c r="G44" i="16"/>
  <c r="G39" i="16"/>
  <c r="AQ133" i="16"/>
  <c r="AQ134" i="16"/>
  <c r="AQ135" i="16"/>
  <c r="G41" i="16"/>
  <c r="G40" i="16"/>
  <c r="G35" i="16"/>
  <c r="AQ130" i="16"/>
  <c r="AQ131" i="16"/>
  <c r="AQ132" i="16"/>
  <c r="G37" i="16"/>
  <c r="G36" i="16"/>
  <c r="G31" i="16"/>
  <c r="AQ127" i="16"/>
  <c r="AQ128" i="16"/>
  <c r="AQ129" i="16"/>
  <c r="G33" i="16"/>
  <c r="G32" i="16"/>
  <c r="G27" i="16"/>
  <c r="AQ124" i="16"/>
  <c r="AQ125" i="16"/>
  <c r="AQ126" i="16"/>
  <c r="G29" i="16"/>
  <c r="G28" i="16"/>
  <c r="G23" i="16"/>
  <c r="AQ121" i="16"/>
  <c r="AQ122" i="16"/>
  <c r="AQ123" i="16"/>
  <c r="G25" i="16"/>
  <c r="G24" i="16"/>
  <c r="G11" i="16"/>
  <c r="AQ112" i="16"/>
  <c r="AQ113" i="16"/>
  <c r="AQ114" i="16"/>
  <c r="G13" i="16"/>
  <c r="G12" i="16"/>
  <c r="G7" i="16"/>
  <c r="AQ109" i="16"/>
  <c r="AQ110" i="16"/>
  <c r="AQ111" i="16"/>
  <c r="G9" i="16"/>
  <c r="G8" i="16"/>
  <c r="G3" i="16"/>
  <c r="AQ106" i="16"/>
  <c r="AQ107" i="16"/>
  <c r="AQ108" i="16"/>
  <c r="G5" i="16"/>
  <c r="G4" i="16"/>
  <c r="F95" i="16"/>
  <c r="AN175" i="16"/>
  <c r="AN176" i="16"/>
  <c r="AN177" i="16"/>
  <c r="F97" i="16"/>
  <c r="F96" i="16"/>
  <c r="F91" i="16"/>
  <c r="AN172" i="16"/>
  <c r="AN173" i="16"/>
  <c r="AN174" i="16"/>
  <c r="F93" i="16"/>
  <c r="F92" i="16"/>
  <c r="F87" i="16"/>
  <c r="AN169" i="16"/>
  <c r="AN170" i="16"/>
  <c r="AN171" i="16"/>
  <c r="F89" i="16"/>
  <c r="F88" i="16"/>
  <c r="F83" i="16"/>
  <c r="AN166" i="16"/>
  <c r="AN167" i="16"/>
  <c r="AN168" i="16"/>
  <c r="F85" i="16"/>
  <c r="F84" i="16"/>
  <c r="F79" i="16"/>
  <c r="AN163" i="16"/>
  <c r="AN164" i="16"/>
  <c r="AN165" i="16"/>
  <c r="F81" i="16"/>
  <c r="F80" i="16"/>
  <c r="F75" i="16"/>
  <c r="AN160" i="16"/>
  <c r="AN161" i="16"/>
  <c r="AN162" i="16"/>
  <c r="F77" i="16"/>
  <c r="F76" i="16"/>
  <c r="F71" i="16"/>
  <c r="AN157" i="16"/>
  <c r="AN158" i="16"/>
  <c r="AN159" i="16"/>
  <c r="F73" i="16"/>
  <c r="F72" i="16"/>
  <c r="F67" i="16"/>
  <c r="AN154" i="16"/>
  <c r="F63" i="16"/>
  <c r="AN151" i="16"/>
  <c r="AN152" i="16"/>
  <c r="AN153" i="16"/>
  <c r="F65" i="16"/>
  <c r="F64" i="16"/>
  <c r="F59" i="16"/>
  <c r="AN148" i="16"/>
  <c r="AN149" i="16"/>
  <c r="AN150" i="16"/>
  <c r="F61" i="16"/>
  <c r="F60" i="16"/>
  <c r="F55" i="16"/>
  <c r="AN145" i="16"/>
  <c r="AN146" i="16"/>
  <c r="AN147" i="16"/>
  <c r="F57" i="16"/>
  <c r="F56" i="16"/>
  <c r="F51" i="16"/>
  <c r="AN142" i="16"/>
  <c r="AN143" i="16"/>
  <c r="AN144" i="16"/>
  <c r="F53" i="16"/>
  <c r="F52" i="16"/>
  <c r="F47" i="16"/>
  <c r="AN139" i="16"/>
  <c r="AN140" i="16"/>
  <c r="AN141" i="16"/>
  <c r="F49" i="16"/>
  <c r="F48" i="16"/>
  <c r="F43" i="16"/>
  <c r="AN136" i="16"/>
  <c r="AN137" i="16"/>
  <c r="AN138" i="16"/>
  <c r="F45" i="16"/>
  <c r="F44" i="16"/>
  <c r="F39" i="16"/>
  <c r="AN133" i="16"/>
  <c r="AN134" i="16"/>
  <c r="AN135" i="16"/>
  <c r="F41" i="16"/>
  <c r="F40" i="16"/>
  <c r="F35" i="16"/>
  <c r="AN130" i="16"/>
  <c r="AN131" i="16"/>
  <c r="AN132" i="16"/>
  <c r="F37" i="16"/>
  <c r="F36" i="16"/>
  <c r="F27" i="16"/>
  <c r="AN124" i="16"/>
  <c r="AN125" i="16"/>
  <c r="AN126" i="16"/>
  <c r="F29" i="16"/>
  <c r="F28" i="16"/>
  <c r="F23" i="16"/>
  <c r="AN121" i="16"/>
  <c r="AN122" i="16"/>
  <c r="AN123" i="16"/>
  <c r="F25" i="16"/>
  <c r="F24" i="16"/>
  <c r="F19" i="16"/>
  <c r="AN118" i="16"/>
  <c r="AN119" i="16"/>
  <c r="AN120" i="16"/>
  <c r="F21" i="16"/>
  <c r="F20" i="16"/>
  <c r="F11" i="16"/>
  <c r="AN112" i="16"/>
  <c r="AN113" i="16"/>
  <c r="AN114" i="16"/>
  <c r="F13" i="16"/>
  <c r="F12" i="16"/>
  <c r="F7" i="16"/>
  <c r="AN109" i="16"/>
  <c r="AN110" i="16"/>
  <c r="AN111" i="16"/>
  <c r="F9" i="16"/>
  <c r="F8" i="16"/>
  <c r="F3" i="16"/>
  <c r="AN106" i="16"/>
  <c r="AN107" i="16"/>
  <c r="AN108" i="16"/>
  <c r="F5" i="16"/>
  <c r="F4" i="16"/>
  <c r="E95" i="16"/>
  <c r="AK175" i="16"/>
  <c r="AK176" i="16"/>
  <c r="AK177" i="16"/>
  <c r="E97" i="16"/>
  <c r="E96" i="16"/>
  <c r="E91" i="16"/>
  <c r="AK172" i="16"/>
  <c r="AK173" i="16"/>
  <c r="AK174" i="16"/>
  <c r="E93" i="16"/>
  <c r="E92" i="16"/>
  <c r="E87" i="16"/>
  <c r="AK169" i="16"/>
  <c r="AK170" i="16"/>
  <c r="AK171" i="16"/>
  <c r="E89" i="16"/>
  <c r="E88" i="16"/>
  <c r="E83" i="16"/>
  <c r="AK166" i="16"/>
  <c r="AK167" i="16"/>
  <c r="AK168" i="16"/>
  <c r="E85" i="16"/>
  <c r="E84" i="16"/>
  <c r="E79" i="16"/>
  <c r="AK163" i="16"/>
  <c r="AK164" i="16"/>
  <c r="AK165" i="16"/>
  <c r="E81" i="16"/>
  <c r="E80" i="16"/>
  <c r="E75" i="16"/>
  <c r="AK160" i="16"/>
  <c r="AK161" i="16"/>
  <c r="AK162" i="16"/>
  <c r="E77" i="16"/>
  <c r="E76" i="16"/>
  <c r="E71" i="16"/>
  <c r="AK157" i="16"/>
  <c r="AK158" i="16"/>
  <c r="AK159" i="16"/>
  <c r="E73" i="16"/>
  <c r="E72" i="16"/>
  <c r="E67" i="16"/>
  <c r="AK154" i="16"/>
  <c r="AK155" i="16"/>
  <c r="AK156" i="16"/>
  <c r="E69" i="16"/>
  <c r="E68" i="16"/>
  <c r="E63" i="16"/>
  <c r="AK151" i="16"/>
  <c r="AK152" i="16"/>
  <c r="AK153" i="16"/>
  <c r="E65" i="16"/>
  <c r="E64" i="16"/>
  <c r="E59" i="16"/>
  <c r="AK148" i="16"/>
  <c r="E55" i="16"/>
  <c r="AK145" i="16"/>
  <c r="AK146" i="16"/>
  <c r="AK147" i="16"/>
  <c r="E57" i="16"/>
  <c r="E56" i="16"/>
  <c r="E51" i="16"/>
  <c r="AK142" i="16"/>
  <c r="AK143" i="16"/>
  <c r="AK144" i="16"/>
  <c r="E53" i="16"/>
  <c r="E52" i="16"/>
  <c r="E47" i="16"/>
  <c r="AK139" i="16"/>
  <c r="AK140" i="16"/>
  <c r="AK141" i="16"/>
  <c r="E49" i="16"/>
  <c r="E48" i="16"/>
  <c r="E43" i="16"/>
  <c r="AK136" i="16"/>
  <c r="AK137" i="16"/>
  <c r="AK138" i="16"/>
  <c r="E45" i="16"/>
  <c r="E44" i="16"/>
  <c r="E39" i="16"/>
  <c r="AK133" i="16"/>
  <c r="AK134" i="16"/>
  <c r="AK135" i="16"/>
  <c r="E41" i="16"/>
  <c r="E40" i="16"/>
  <c r="E35" i="16"/>
  <c r="AK130" i="16"/>
  <c r="AK131" i="16"/>
  <c r="AK132" i="16"/>
  <c r="E37" i="16"/>
  <c r="E36" i="16"/>
  <c r="E27" i="16"/>
  <c r="AK124" i="16"/>
  <c r="AK125" i="16"/>
  <c r="AK126" i="16"/>
  <c r="E29" i="16"/>
  <c r="E28" i="16"/>
  <c r="E23" i="16"/>
  <c r="AK121" i="16"/>
  <c r="AK122" i="16"/>
  <c r="AK123" i="16"/>
  <c r="E25" i="16"/>
  <c r="E24" i="16"/>
  <c r="E19" i="16"/>
  <c r="AK118" i="16"/>
  <c r="AK119" i="16"/>
  <c r="AK120" i="16"/>
  <c r="E21" i="16"/>
  <c r="E20" i="16"/>
  <c r="E11" i="16"/>
  <c r="AK112" i="16"/>
  <c r="AK113" i="16"/>
  <c r="AK114" i="16"/>
  <c r="E13" i="16"/>
  <c r="E12" i="16"/>
  <c r="E7" i="16"/>
  <c r="AK109" i="16"/>
  <c r="AK110" i="16"/>
  <c r="AK111" i="16"/>
  <c r="E9" i="16"/>
  <c r="E8" i="16"/>
  <c r="E3" i="16"/>
  <c r="AK106" i="16"/>
  <c r="AK107" i="16"/>
  <c r="AK108" i="16"/>
  <c r="E5" i="16"/>
  <c r="E4" i="16"/>
  <c r="D95" i="16"/>
  <c r="AH175" i="16"/>
  <c r="AH176" i="16"/>
  <c r="AH177" i="16"/>
  <c r="D97" i="16"/>
  <c r="D96" i="16"/>
  <c r="D91" i="16"/>
  <c r="AH172" i="16"/>
  <c r="AH173" i="16"/>
  <c r="AH174" i="16"/>
  <c r="D93" i="16"/>
  <c r="D92" i="16"/>
  <c r="D87" i="16"/>
  <c r="AH169" i="16"/>
  <c r="AH170" i="16"/>
  <c r="AH171" i="16"/>
  <c r="D89" i="16"/>
  <c r="D88" i="16"/>
  <c r="D83" i="16"/>
  <c r="AH166" i="16"/>
  <c r="AH167" i="16"/>
  <c r="AH168" i="16"/>
  <c r="D85" i="16"/>
  <c r="D84" i="16"/>
  <c r="D79" i="16"/>
  <c r="AH163" i="16"/>
  <c r="AH164" i="16"/>
  <c r="AH165" i="16"/>
  <c r="D81" i="16"/>
  <c r="D80" i="16"/>
  <c r="D75" i="16"/>
  <c r="AH160" i="16"/>
  <c r="AH161" i="16"/>
  <c r="AH162" i="16"/>
  <c r="D77" i="16"/>
  <c r="D76" i="16"/>
  <c r="D71" i="16"/>
  <c r="AH157" i="16"/>
  <c r="AH158" i="16"/>
  <c r="AH159" i="16"/>
  <c r="D73" i="16"/>
  <c r="D72" i="16"/>
  <c r="D67" i="16"/>
  <c r="AH154" i="16"/>
  <c r="AH155" i="16"/>
  <c r="AH156" i="16"/>
  <c r="D69" i="16"/>
  <c r="D68" i="16"/>
  <c r="D63" i="16"/>
  <c r="AH151" i="16"/>
  <c r="AH152" i="16"/>
  <c r="AH153" i="16"/>
  <c r="D65" i="16"/>
  <c r="D64" i="16"/>
  <c r="D59" i="16"/>
  <c r="AH148" i="16"/>
  <c r="D55" i="16"/>
  <c r="AH145" i="16"/>
  <c r="AH146" i="16"/>
  <c r="AH147" i="16"/>
  <c r="D57" i="16"/>
  <c r="D56" i="16"/>
  <c r="D51" i="16"/>
  <c r="AH142" i="16"/>
  <c r="AH143" i="16"/>
  <c r="AH144" i="16"/>
  <c r="D53" i="16"/>
  <c r="D52" i="16"/>
  <c r="D47" i="16"/>
  <c r="AH139" i="16"/>
  <c r="AH140" i="16"/>
  <c r="AH141" i="16"/>
  <c r="D49" i="16"/>
  <c r="D48" i="16"/>
  <c r="D43" i="16"/>
  <c r="AH136" i="16"/>
  <c r="AH137" i="16"/>
  <c r="AH138" i="16"/>
  <c r="D45" i="16"/>
  <c r="D44" i="16"/>
  <c r="D39" i="16"/>
  <c r="AH133" i="16"/>
  <c r="AH134" i="16"/>
  <c r="AH135" i="16"/>
  <c r="D41" i="16"/>
  <c r="D40" i="16"/>
  <c r="D35" i="16"/>
  <c r="AH130" i="16"/>
  <c r="AH131" i="16"/>
  <c r="AH132" i="16"/>
  <c r="D37" i="16"/>
  <c r="D36" i="16"/>
  <c r="D27" i="16"/>
  <c r="AH124" i="16"/>
  <c r="AH125" i="16"/>
  <c r="AH126" i="16"/>
  <c r="D29" i="16"/>
  <c r="D28" i="16"/>
  <c r="D23" i="16"/>
  <c r="AH121" i="16"/>
  <c r="AH122" i="16"/>
  <c r="AH123" i="16"/>
  <c r="D25" i="16"/>
  <c r="D24" i="16"/>
  <c r="D19" i="16"/>
  <c r="AH118" i="16"/>
  <c r="AH119" i="16"/>
  <c r="AH120" i="16"/>
  <c r="D21" i="16"/>
  <c r="D20" i="16"/>
  <c r="D11" i="16"/>
  <c r="AH112" i="16"/>
  <c r="AH113" i="16"/>
  <c r="AH114" i="16"/>
  <c r="D13" i="16"/>
  <c r="D12" i="16"/>
  <c r="D7" i="16"/>
  <c r="AH109" i="16"/>
  <c r="AH110" i="16"/>
  <c r="AH111" i="16"/>
  <c r="D9" i="16"/>
  <c r="D8" i="16"/>
  <c r="D3" i="16"/>
  <c r="AH106" i="16"/>
  <c r="AH107" i="16"/>
  <c r="AH108" i="16"/>
  <c r="D5" i="16"/>
  <c r="D4" i="16"/>
  <c r="C95" i="16"/>
  <c r="AE175" i="16"/>
  <c r="AE176" i="16"/>
  <c r="AE177" i="16"/>
  <c r="C97" i="16"/>
  <c r="C96" i="16"/>
  <c r="C91" i="16"/>
  <c r="AE172" i="16"/>
  <c r="AE173" i="16"/>
  <c r="AE174" i="16"/>
  <c r="C93" i="16"/>
  <c r="C92" i="16"/>
  <c r="C87" i="16"/>
  <c r="AE169" i="16"/>
  <c r="AE170" i="16"/>
  <c r="AE171" i="16"/>
  <c r="C89" i="16"/>
  <c r="C88" i="16"/>
  <c r="C83" i="16"/>
  <c r="AE166" i="16"/>
  <c r="AE167" i="16"/>
  <c r="AE168" i="16"/>
  <c r="C85" i="16"/>
  <c r="C84" i="16"/>
  <c r="C79" i="16"/>
  <c r="AE163" i="16"/>
  <c r="AE164" i="16"/>
  <c r="AE165" i="16"/>
  <c r="C81" i="16"/>
  <c r="C80" i="16"/>
  <c r="C75" i="16"/>
  <c r="AE160" i="16"/>
  <c r="AE161" i="16"/>
  <c r="AE162" i="16"/>
  <c r="C77" i="16"/>
  <c r="C76" i="16"/>
  <c r="C71" i="16"/>
  <c r="AE157" i="16"/>
  <c r="AE158" i="16"/>
  <c r="AE159" i="16"/>
  <c r="C73" i="16"/>
  <c r="C72" i="16"/>
  <c r="C67" i="16"/>
  <c r="AE154" i="16"/>
  <c r="C63" i="16"/>
  <c r="AE151" i="16"/>
  <c r="AE152" i="16"/>
  <c r="AE153" i="16"/>
  <c r="C65" i="16"/>
  <c r="C64" i="16"/>
  <c r="C59" i="16"/>
  <c r="AE148" i="16"/>
  <c r="C55" i="16"/>
  <c r="AE145" i="16"/>
  <c r="AE146" i="16"/>
  <c r="AE147" i="16"/>
  <c r="C57" i="16"/>
  <c r="C56" i="16"/>
  <c r="C51" i="16"/>
  <c r="AE142" i="16"/>
  <c r="AE143" i="16"/>
  <c r="AE144" i="16"/>
  <c r="C53" i="16"/>
  <c r="C52" i="16"/>
  <c r="C47" i="16"/>
  <c r="AE139" i="16"/>
  <c r="AE140" i="16"/>
  <c r="AE141" i="16"/>
  <c r="C49" i="16"/>
  <c r="C48" i="16"/>
  <c r="C43" i="16"/>
  <c r="AE136" i="16"/>
  <c r="AE137" i="16"/>
  <c r="AE138" i="16"/>
  <c r="C45" i="16"/>
  <c r="C44" i="16"/>
  <c r="C39" i="16"/>
  <c r="AE133" i="16"/>
  <c r="AE134" i="16"/>
  <c r="AE135" i="16"/>
  <c r="C41" i="16"/>
  <c r="C40" i="16"/>
  <c r="C35" i="16"/>
  <c r="AE130" i="16"/>
  <c r="AE131" i="16"/>
  <c r="AE132" i="16"/>
  <c r="C37" i="16"/>
  <c r="C36" i="16"/>
  <c r="C27" i="16"/>
  <c r="AE124" i="16"/>
  <c r="AE125" i="16"/>
  <c r="AE126" i="16"/>
  <c r="C29" i="16"/>
  <c r="C28" i="16"/>
  <c r="C23" i="16"/>
  <c r="AE121" i="16"/>
  <c r="AE122" i="16"/>
  <c r="AE123" i="16"/>
  <c r="C25" i="16"/>
  <c r="C24" i="16"/>
  <c r="C15" i="16"/>
  <c r="AE115" i="16"/>
  <c r="AE116" i="16"/>
  <c r="AE117" i="16"/>
  <c r="C17" i="16"/>
  <c r="C16" i="16"/>
  <c r="C11" i="16"/>
  <c r="AE112" i="16"/>
  <c r="AE113" i="16"/>
  <c r="AE114" i="16"/>
  <c r="C13" i="16"/>
  <c r="C12" i="16"/>
  <c r="C3" i="16"/>
  <c r="AE106" i="16"/>
  <c r="AE107" i="16"/>
  <c r="AE108" i="16"/>
  <c r="C5" i="16"/>
  <c r="C4" i="16"/>
  <c r="B95" i="16"/>
  <c r="AB175" i="16"/>
  <c r="AB176" i="16"/>
  <c r="AB177" i="16"/>
  <c r="B97" i="16"/>
  <c r="B96" i="16"/>
  <c r="B91" i="16"/>
  <c r="AB172" i="16"/>
  <c r="AB173" i="16"/>
  <c r="AB174" i="16"/>
  <c r="B93" i="16"/>
  <c r="B92" i="16"/>
  <c r="B87" i="16"/>
  <c r="AB169" i="16"/>
  <c r="AB170" i="16"/>
  <c r="AB171" i="16"/>
  <c r="B89" i="16"/>
  <c r="B88" i="16"/>
  <c r="B83" i="16"/>
  <c r="AB166" i="16"/>
  <c r="AB167" i="16"/>
  <c r="AB168" i="16"/>
  <c r="B85" i="16"/>
  <c r="B84" i="16"/>
  <c r="B79" i="16"/>
  <c r="AB163" i="16"/>
  <c r="AB164" i="16"/>
  <c r="AB165" i="16"/>
  <c r="B81" i="16"/>
  <c r="B80" i="16"/>
  <c r="B75" i="16"/>
  <c r="AB160" i="16"/>
  <c r="AB161" i="16"/>
  <c r="AB162" i="16"/>
  <c r="B77" i="16"/>
  <c r="B76" i="16"/>
  <c r="B71" i="16"/>
  <c r="AB157" i="16"/>
  <c r="AB158" i="16"/>
  <c r="AB159" i="16"/>
  <c r="B73" i="16"/>
  <c r="B72" i="16"/>
  <c r="B67" i="16"/>
  <c r="AB154" i="16"/>
  <c r="B63" i="16"/>
  <c r="AB151" i="16"/>
  <c r="AB152" i="16"/>
  <c r="AB153" i="16"/>
  <c r="B65" i="16"/>
  <c r="B64" i="16"/>
  <c r="B59" i="16"/>
  <c r="AB148" i="16"/>
  <c r="B55" i="16"/>
  <c r="AB145" i="16"/>
  <c r="AB146" i="16"/>
  <c r="AB147" i="16"/>
  <c r="B57" i="16"/>
  <c r="B56" i="16"/>
  <c r="B51" i="16"/>
  <c r="AB142" i="16"/>
  <c r="AB143" i="16"/>
  <c r="AB144" i="16"/>
  <c r="B53" i="16"/>
  <c r="B52" i="16"/>
  <c r="B47" i="16"/>
  <c r="AB139" i="16"/>
  <c r="AB140" i="16"/>
  <c r="AB141" i="16"/>
  <c r="B49" i="16"/>
  <c r="B48" i="16"/>
  <c r="B43" i="16"/>
  <c r="AB136" i="16"/>
  <c r="AB137" i="16"/>
  <c r="AB138" i="16"/>
  <c r="B45" i="16"/>
  <c r="B44" i="16"/>
  <c r="AB135" i="16"/>
  <c r="B41" i="16"/>
  <c r="B35" i="16"/>
  <c r="AB130" i="16"/>
  <c r="AB131" i="16"/>
  <c r="AB132" i="16"/>
  <c r="B37" i="16"/>
  <c r="B36" i="16"/>
  <c r="B28" i="16"/>
  <c r="B24" i="16"/>
  <c r="B12" i="16"/>
  <c r="B8" i="16"/>
  <c r="B4" i="16"/>
  <c r="H29" i="15"/>
  <c r="AQ65" i="15"/>
  <c r="AQ66" i="15"/>
  <c r="AQ67" i="15"/>
  <c r="H31" i="15"/>
  <c r="H30" i="15"/>
  <c r="H25" i="15"/>
  <c r="AQ62" i="15"/>
  <c r="AQ63" i="15"/>
  <c r="AQ64" i="15"/>
  <c r="H27" i="15"/>
  <c r="H26" i="15"/>
  <c r="H21" i="15"/>
  <c r="AQ59" i="15"/>
  <c r="AQ60" i="15"/>
  <c r="AQ61" i="15"/>
  <c r="H23" i="15"/>
  <c r="H22" i="15"/>
  <c r="H17" i="15"/>
  <c r="AQ56" i="15"/>
  <c r="AQ57" i="15"/>
  <c r="AQ58" i="15"/>
  <c r="H19" i="15"/>
  <c r="H18" i="15"/>
  <c r="H13" i="15"/>
  <c r="AQ53" i="15"/>
  <c r="AQ54" i="15"/>
  <c r="AQ55" i="15"/>
  <c r="H15" i="15"/>
  <c r="H14" i="15"/>
  <c r="H9" i="15"/>
  <c r="AQ50" i="15"/>
  <c r="AQ51" i="15"/>
  <c r="AQ52" i="15"/>
  <c r="H11" i="15"/>
  <c r="H10" i="15"/>
  <c r="G29" i="15"/>
  <c r="AN65" i="15"/>
  <c r="AN66" i="15"/>
  <c r="AN67" i="15"/>
  <c r="G31" i="15"/>
  <c r="G30" i="15"/>
  <c r="G25" i="15"/>
  <c r="AN62" i="15"/>
  <c r="AN63" i="15"/>
  <c r="AN64" i="15"/>
  <c r="G27" i="15"/>
  <c r="G26" i="15"/>
  <c r="G21" i="15"/>
  <c r="AN59" i="15"/>
  <c r="AN60" i="15"/>
  <c r="AN61" i="15"/>
  <c r="G23" i="15"/>
  <c r="G22" i="15"/>
  <c r="G17" i="15"/>
  <c r="AN56" i="15"/>
  <c r="AN57" i="15"/>
  <c r="AN58" i="15"/>
  <c r="G19" i="15"/>
  <c r="G18" i="15"/>
  <c r="G13" i="15"/>
  <c r="AN53" i="15"/>
  <c r="AN54" i="15"/>
  <c r="AN55" i="15"/>
  <c r="G15" i="15"/>
  <c r="G14" i="15"/>
  <c r="G9" i="15"/>
  <c r="AN50" i="15"/>
  <c r="AN51" i="15"/>
  <c r="AN52" i="15"/>
  <c r="G11" i="15"/>
  <c r="G10" i="15"/>
  <c r="F29" i="15"/>
  <c r="AK65" i="15"/>
  <c r="AK66" i="15"/>
  <c r="AK67" i="15"/>
  <c r="F31" i="15"/>
  <c r="F30" i="15"/>
  <c r="F25" i="15"/>
  <c r="AK62" i="15"/>
  <c r="AK63" i="15"/>
  <c r="AK64" i="15"/>
  <c r="F27" i="15"/>
  <c r="F26" i="15"/>
  <c r="F21" i="15"/>
  <c r="AK59" i="15"/>
  <c r="AK60" i="15"/>
  <c r="AK61" i="15"/>
  <c r="F23" i="15"/>
  <c r="F22" i="15"/>
  <c r="F17" i="15"/>
  <c r="AK56" i="15"/>
  <c r="AK57" i="15"/>
  <c r="AK58" i="15"/>
  <c r="F19" i="15"/>
  <c r="F18" i="15"/>
  <c r="F13" i="15"/>
  <c r="AK53" i="15"/>
  <c r="AK54" i="15"/>
  <c r="AK55" i="15"/>
  <c r="F15" i="15"/>
  <c r="F14" i="15"/>
  <c r="F9" i="15"/>
  <c r="AK50" i="15"/>
  <c r="AK51" i="15"/>
  <c r="AK52" i="15"/>
  <c r="F11" i="15"/>
  <c r="F10" i="15"/>
  <c r="E29" i="15"/>
  <c r="AH65" i="15"/>
  <c r="AH66" i="15"/>
  <c r="AH67" i="15"/>
  <c r="E31" i="15"/>
  <c r="E30" i="15"/>
  <c r="E25" i="15"/>
  <c r="AH62" i="15"/>
  <c r="AH63" i="15"/>
  <c r="AH64" i="15"/>
  <c r="E27" i="15"/>
  <c r="E26" i="15"/>
  <c r="E21" i="15"/>
  <c r="AH59" i="15"/>
  <c r="AH60" i="15"/>
  <c r="AH61" i="15"/>
  <c r="E23" i="15"/>
  <c r="E22" i="15"/>
  <c r="E17" i="15"/>
  <c r="AH56" i="15"/>
  <c r="AH57" i="15"/>
  <c r="AH58" i="15"/>
  <c r="E19" i="15"/>
  <c r="E18" i="15"/>
  <c r="E13" i="15"/>
  <c r="AH53" i="15"/>
  <c r="AH54" i="15"/>
  <c r="AH55" i="15"/>
  <c r="E15" i="15"/>
  <c r="E14" i="15"/>
  <c r="E9" i="15"/>
  <c r="AH50" i="15"/>
  <c r="AH51" i="15"/>
  <c r="AH52" i="15"/>
  <c r="E11" i="15"/>
  <c r="E10" i="15"/>
  <c r="D29" i="15"/>
  <c r="AE65" i="15"/>
  <c r="AE66" i="15"/>
  <c r="AE67" i="15"/>
  <c r="D31" i="15"/>
  <c r="D30" i="15"/>
  <c r="D25" i="15"/>
  <c r="AE62" i="15"/>
  <c r="AE63" i="15"/>
  <c r="AE64" i="15"/>
  <c r="D27" i="15"/>
  <c r="D26" i="15"/>
  <c r="D21" i="15"/>
  <c r="AE59" i="15"/>
  <c r="AE60" i="15"/>
  <c r="AE61" i="15"/>
  <c r="D23" i="15"/>
  <c r="D22" i="15"/>
  <c r="D17" i="15"/>
  <c r="AE56" i="15"/>
  <c r="AE57" i="15"/>
  <c r="AE58" i="15"/>
  <c r="D19" i="15"/>
  <c r="D18" i="15"/>
  <c r="D13" i="15"/>
  <c r="AE53" i="15"/>
  <c r="AE54" i="15"/>
  <c r="AE55" i="15"/>
  <c r="D15" i="15"/>
  <c r="D14" i="15"/>
  <c r="D9" i="15"/>
  <c r="AE50" i="15"/>
  <c r="AE51" i="15"/>
  <c r="AE52" i="15"/>
  <c r="D11" i="15"/>
  <c r="D10" i="15"/>
  <c r="C29" i="15"/>
  <c r="AB65" i="15"/>
  <c r="AB66" i="15"/>
  <c r="AB67" i="15"/>
  <c r="C31" i="15"/>
  <c r="C30" i="15"/>
  <c r="C25" i="15"/>
  <c r="AB62" i="15"/>
  <c r="AB63" i="15"/>
  <c r="AB64" i="15"/>
  <c r="C27" i="15"/>
  <c r="C26" i="15"/>
  <c r="C21" i="15"/>
  <c r="AB59" i="15"/>
  <c r="AB60" i="15"/>
  <c r="AB61" i="15"/>
  <c r="C23" i="15"/>
  <c r="C22" i="15"/>
  <c r="C17" i="15"/>
  <c r="AB56" i="15"/>
  <c r="AB57" i="15"/>
  <c r="AB58" i="15"/>
  <c r="C19" i="15"/>
  <c r="C18" i="15"/>
  <c r="C13" i="15"/>
  <c r="AB53" i="15"/>
  <c r="AB54" i="15"/>
  <c r="AB55" i="15"/>
  <c r="C15" i="15"/>
  <c r="C14" i="15"/>
  <c r="C9" i="15"/>
  <c r="AB50" i="15"/>
  <c r="AB51" i="15"/>
  <c r="AB52" i="15"/>
  <c r="C11" i="15"/>
  <c r="C10" i="15"/>
  <c r="B29" i="15"/>
  <c r="Y65" i="15"/>
  <c r="Y66" i="15"/>
  <c r="Y67" i="15"/>
  <c r="B31" i="15"/>
  <c r="B30" i="15"/>
  <c r="B25" i="15"/>
  <c r="Y62" i="15"/>
  <c r="Y63" i="15"/>
  <c r="Y64" i="15"/>
  <c r="B27" i="15"/>
  <c r="B26" i="15"/>
  <c r="B21" i="15"/>
  <c r="Y59" i="15"/>
  <c r="Y60" i="15"/>
  <c r="Y61" i="15"/>
  <c r="B23" i="15"/>
  <c r="B22" i="15"/>
  <c r="B17" i="15"/>
  <c r="Y56" i="15"/>
  <c r="Y57" i="15"/>
  <c r="Y58" i="15"/>
  <c r="B19" i="15"/>
  <c r="B18" i="15"/>
  <c r="B13" i="15"/>
  <c r="Y53" i="15"/>
  <c r="Y54" i="15"/>
  <c r="Y55" i="15"/>
  <c r="B15" i="15"/>
  <c r="B14" i="15"/>
  <c r="E85" i="22"/>
  <c r="E84" i="22"/>
  <c r="E82" i="22"/>
  <c r="E80" i="22"/>
  <c r="E79" i="22"/>
  <c r="E78" i="22"/>
  <c r="E75" i="22"/>
  <c r="E70" i="22"/>
  <c r="E67" i="22"/>
  <c r="E87" i="22"/>
  <c r="E58" i="22"/>
  <c r="E57" i="22"/>
  <c r="E56" i="22"/>
  <c r="E54" i="22"/>
  <c r="E53" i="22"/>
  <c r="E52" i="22"/>
  <c r="E49" i="22"/>
  <c r="E45" i="22"/>
  <c r="E43" i="22"/>
  <c r="E42" i="22"/>
  <c r="AM35" i="22"/>
  <c r="E34" i="22"/>
  <c r="E33" i="22"/>
  <c r="E32" i="22"/>
  <c r="E31" i="22"/>
  <c r="AM30" i="22"/>
  <c r="E29" i="22"/>
  <c r="E28" i="22"/>
  <c r="E27" i="22"/>
  <c r="E25" i="22"/>
  <c r="E24" i="22"/>
  <c r="E23" i="22"/>
  <c r="E22" i="22"/>
  <c r="E20" i="22"/>
  <c r="E19" i="22"/>
  <c r="E15" i="22"/>
  <c r="E14" i="22"/>
  <c r="AL73" i="22"/>
  <c r="AL69" i="22"/>
  <c r="E68" i="22"/>
  <c r="E44" i="22"/>
  <c r="AL35" i="22"/>
  <c r="AL30" i="22"/>
  <c r="E21" i="22"/>
  <c r="E17" i="22"/>
  <c r="E83" i="22"/>
  <c r="E77" i="22"/>
  <c r="AK73" i="22"/>
  <c r="E72" i="22"/>
  <c r="AK69" i="22"/>
  <c r="AK92" i="22"/>
  <c r="E46" i="22"/>
  <c r="E30" i="22"/>
  <c r="E18" i="22"/>
  <c r="AJ73" i="22"/>
  <c r="AJ69" i="22"/>
  <c r="AJ42" i="22"/>
  <c r="AJ35" i="22"/>
  <c r="AI73" i="22"/>
  <c r="AI69" i="22"/>
  <c r="AI35" i="22"/>
  <c r="AH73" i="22"/>
  <c r="AH69" i="22"/>
  <c r="AH35" i="22"/>
  <c r="AH23" i="22"/>
  <c r="AG32" i="22"/>
  <c r="AG23" i="22"/>
  <c r="H103" i="17"/>
  <c r="AX194" i="17"/>
  <c r="AX195" i="17"/>
  <c r="AX196" i="17"/>
  <c r="H105" i="17"/>
  <c r="H104" i="17"/>
  <c r="H95" i="17"/>
  <c r="AX185" i="17"/>
  <c r="AX186" i="17"/>
  <c r="AX187" i="17"/>
  <c r="H97" i="17"/>
  <c r="H96" i="17"/>
  <c r="H91" i="17"/>
  <c r="AX182" i="17"/>
  <c r="AX183" i="17"/>
  <c r="AX184" i="17"/>
  <c r="H93" i="17"/>
  <c r="H92" i="17"/>
  <c r="H83" i="17"/>
  <c r="AX176" i="17"/>
  <c r="AX177" i="17"/>
  <c r="AX178" i="17"/>
  <c r="H85" i="17"/>
  <c r="H84" i="17"/>
  <c r="H79" i="17"/>
  <c r="AX173" i="17"/>
  <c r="H75" i="17"/>
  <c r="AX170" i="17"/>
  <c r="AX171" i="17"/>
  <c r="AX172" i="17"/>
  <c r="H77" i="17"/>
  <c r="H76" i="17"/>
  <c r="H71" i="17"/>
  <c r="AX167" i="17"/>
  <c r="AX168" i="17"/>
  <c r="AX169" i="17"/>
  <c r="H73" i="17"/>
  <c r="H72" i="17"/>
  <c r="H67" i="17"/>
  <c r="AX164" i="17"/>
  <c r="AX165" i="17"/>
  <c r="AX166" i="17"/>
  <c r="H69" i="17"/>
  <c r="H68" i="17"/>
  <c r="H59" i="17"/>
  <c r="AX158" i="17"/>
  <c r="H51" i="17"/>
  <c r="AX152" i="17"/>
  <c r="AX153" i="17"/>
  <c r="AX154" i="17"/>
  <c r="H53" i="17"/>
  <c r="H52" i="17"/>
  <c r="H47" i="17"/>
  <c r="AX149" i="17"/>
  <c r="AX150" i="17"/>
  <c r="AX151" i="17"/>
  <c r="H49" i="17"/>
  <c r="H48" i="17"/>
  <c r="H43" i="17"/>
  <c r="AX146" i="17"/>
  <c r="H39" i="17"/>
  <c r="AX143" i="17"/>
  <c r="H31" i="17"/>
  <c r="AX137" i="17"/>
  <c r="AX138" i="17"/>
  <c r="AX139" i="17"/>
  <c r="H33" i="17"/>
  <c r="H32" i="17"/>
  <c r="H27" i="17"/>
  <c r="AX134" i="17"/>
  <c r="AX135" i="17"/>
  <c r="AX136" i="17"/>
  <c r="H29" i="17"/>
  <c r="H28" i="17"/>
  <c r="H19" i="17"/>
  <c r="AX128" i="17"/>
  <c r="AX129" i="17"/>
  <c r="AX130" i="17"/>
  <c r="H21" i="17"/>
  <c r="H20" i="17"/>
  <c r="B7" i="17"/>
  <c r="AF119" i="17"/>
  <c r="AF120" i="17"/>
  <c r="B8" i="17"/>
  <c r="H11" i="17"/>
  <c r="AX122" i="17"/>
  <c r="AX123" i="17"/>
  <c r="AX124" i="17"/>
  <c r="H13" i="17"/>
  <c r="H12" i="17"/>
  <c r="H7" i="17"/>
  <c r="AX119" i="17"/>
  <c r="AX120" i="17"/>
  <c r="AX121" i="17"/>
  <c r="H9" i="17"/>
  <c r="H8" i="17"/>
  <c r="H3" i="17"/>
  <c r="AX116" i="17"/>
  <c r="AX117" i="17"/>
  <c r="AX118" i="17"/>
  <c r="H5" i="17"/>
  <c r="H4" i="17"/>
  <c r="G103" i="17"/>
  <c r="AU194" i="17"/>
  <c r="AU195" i="17"/>
  <c r="AU196" i="17"/>
  <c r="G105" i="17"/>
  <c r="G104" i="17"/>
  <c r="G95" i="17"/>
  <c r="AU185" i="17"/>
  <c r="AU186" i="17"/>
  <c r="AU187" i="17"/>
  <c r="G97" i="17"/>
  <c r="G96" i="17"/>
  <c r="G91" i="17"/>
  <c r="AU182" i="17"/>
  <c r="AU183" i="17"/>
  <c r="AU184" i="17"/>
  <c r="G93" i="17"/>
  <c r="G92" i="17"/>
  <c r="G87" i="17"/>
  <c r="AU179" i="17"/>
  <c r="AU180" i="17"/>
  <c r="AU181" i="17"/>
  <c r="G89" i="17"/>
  <c r="G88" i="17"/>
  <c r="G83" i="17"/>
  <c r="AU176" i="17"/>
  <c r="AU177" i="17"/>
  <c r="AU178" i="17"/>
  <c r="G85" i="17"/>
  <c r="G84" i="17"/>
  <c r="G79" i="17"/>
  <c r="AU173" i="17"/>
  <c r="AU174" i="17"/>
  <c r="AU175" i="17"/>
  <c r="G81" i="17"/>
  <c r="G80" i="17"/>
  <c r="G75" i="17"/>
  <c r="AU170" i="17"/>
  <c r="AU171" i="17"/>
  <c r="AU172" i="17"/>
  <c r="G77" i="17"/>
  <c r="G76" i="17"/>
  <c r="G71" i="17"/>
  <c r="AU167" i="17"/>
  <c r="AU168" i="17"/>
  <c r="AU169" i="17"/>
  <c r="G73" i="17"/>
  <c r="G72" i="17"/>
  <c r="G67" i="17"/>
  <c r="AU164" i="17"/>
  <c r="AU165" i="17"/>
  <c r="AU166" i="17"/>
  <c r="G69" i="17"/>
  <c r="G68" i="17"/>
  <c r="G59" i="17"/>
  <c r="AU158" i="17"/>
  <c r="G55" i="17"/>
  <c r="AU155" i="17"/>
  <c r="AU156" i="17"/>
  <c r="AU157" i="17"/>
  <c r="G57" i="17"/>
  <c r="G56" i="17"/>
  <c r="G51" i="17"/>
  <c r="AU152" i="17"/>
  <c r="AU153" i="17"/>
  <c r="AU154" i="17"/>
  <c r="G53" i="17"/>
  <c r="G52" i="17"/>
  <c r="G47" i="17"/>
  <c r="AU149" i="17"/>
  <c r="AU150" i="17"/>
  <c r="AU151" i="17"/>
  <c r="G49" i="17"/>
  <c r="G48" i="17"/>
  <c r="G43" i="17"/>
  <c r="AU146" i="17"/>
  <c r="AU147" i="17"/>
  <c r="AU148" i="17"/>
  <c r="G45" i="17"/>
  <c r="G44" i="17"/>
  <c r="G39" i="17"/>
  <c r="AU143" i="17"/>
  <c r="G31" i="17"/>
  <c r="AU137" i="17"/>
  <c r="AU138" i="17"/>
  <c r="AU139" i="17"/>
  <c r="G33" i="17"/>
  <c r="G32" i="17"/>
  <c r="G27" i="17"/>
  <c r="AU134" i="17"/>
  <c r="G23" i="17"/>
  <c r="AU131" i="17"/>
  <c r="AU132" i="17"/>
  <c r="AU133" i="17"/>
  <c r="G25" i="17"/>
  <c r="G24" i="17"/>
  <c r="G19" i="17"/>
  <c r="AU128" i="17"/>
  <c r="G11" i="17"/>
  <c r="AU122" i="17"/>
  <c r="AU123" i="17"/>
  <c r="AU124" i="17"/>
  <c r="G13" i="17"/>
  <c r="G12" i="17"/>
  <c r="G7" i="17"/>
  <c r="AU119" i="17"/>
  <c r="AU120" i="17"/>
  <c r="AU121" i="17"/>
  <c r="G9" i="17"/>
  <c r="G8" i="17"/>
  <c r="G3" i="17"/>
  <c r="AU116" i="17"/>
  <c r="AU117" i="17"/>
  <c r="AU118" i="17"/>
  <c r="G5" i="17"/>
  <c r="G4" i="17"/>
  <c r="F103" i="17"/>
  <c r="AR194" i="17"/>
  <c r="AR195" i="17"/>
  <c r="AR196" i="17"/>
  <c r="F105" i="17"/>
  <c r="F104" i="17"/>
  <c r="F95" i="17"/>
  <c r="AR185" i="17"/>
  <c r="AR186" i="17"/>
  <c r="AR187" i="17"/>
  <c r="F97" i="17"/>
  <c r="F96" i="17"/>
  <c r="F91" i="17"/>
  <c r="AR182" i="17"/>
  <c r="AR183" i="17"/>
  <c r="AR184" i="17"/>
  <c r="F93" i="17"/>
  <c r="F92" i="17"/>
  <c r="F87" i="17"/>
  <c r="AR179" i="17"/>
  <c r="AR180" i="17"/>
  <c r="AR181" i="17"/>
  <c r="F89" i="17"/>
  <c r="F88" i="17"/>
  <c r="F83" i="17"/>
  <c r="AR176" i="17"/>
  <c r="AR177" i="17"/>
  <c r="AR178" i="17"/>
  <c r="F85" i="17"/>
  <c r="F84" i="17"/>
  <c r="F79" i="17"/>
  <c r="AR173" i="17"/>
  <c r="AR174" i="17"/>
  <c r="AR175" i="17"/>
  <c r="F81" i="17"/>
  <c r="F80" i="17"/>
  <c r="F75" i="17"/>
  <c r="AR170" i="17"/>
  <c r="AR171" i="17"/>
  <c r="AR172" i="17"/>
  <c r="F77" i="17"/>
  <c r="F76" i="17"/>
  <c r="F71" i="17"/>
  <c r="AR167" i="17"/>
  <c r="AR168" i="17"/>
  <c r="AR169" i="17"/>
  <c r="F73" i="17"/>
  <c r="F72" i="17"/>
  <c r="F67" i="17"/>
  <c r="AR164" i="17"/>
  <c r="AR165" i="17"/>
  <c r="AR166" i="17"/>
  <c r="F69" i="17"/>
  <c r="F68" i="17"/>
  <c r="F59" i="17"/>
  <c r="AR158" i="17"/>
  <c r="F51" i="17"/>
  <c r="AR152" i="17"/>
  <c r="AR153" i="17"/>
  <c r="AR154" i="17"/>
  <c r="F53" i="17"/>
  <c r="F52" i="17"/>
  <c r="F47" i="17"/>
  <c r="AR149" i="17"/>
  <c r="AR150" i="17"/>
  <c r="AR151" i="17"/>
  <c r="F49" i="17"/>
  <c r="F48" i="17"/>
  <c r="F43" i="17"/>
  <c r="AR146" i="17"/>
  <c r="F39" i="17"/>
  <c r="AR143" i="17"/>
  <c r="AR144" i="17"/>
  <c r="AR145" i="17"/>
  <c r="F41" i="17"/>
  <c r="F40" i="17"/>
  <c r="F31" i="17"/>
  <c r="AR137" i="17"/>
  <c r="AR138" i="17"/>
  <c r="AR139" i="17"/>
  <c r="F33" i="17"/>
  <c r="F32" i="17"/>
  <c r="F27" i="17"/>
  <c r="AR134" i="17"/>
  <c r="AR135" i="17"/>
  <c r="AR136" i="17"/>
  <c r="F29" i="17"/>
  <c r="F28" i="17"/>
  <c r="F19" i="17"/>
  <c r="AR128" i="17"/>
  <c r="AR129" i="17"/>
  <c r="AR130" i="17"/>
  <c r="F21" i="17"/>
  <c r="F20" i="17"/>
  <c r="F11" i="17"/>
  <c r="AR122" i="17"/>
  <c r="AR123" i="17"/>
  <c r="AR124" i="17"/>
  <c r="F13" i="17"/>
  <c r="F12" i="17"/>
  <c r="F7" i="17"/>
  <c r="AR119" i="17"/>
  <c r="AR120" i="17"/>
  <c r="AR121" i="17"/>
  <c r="F9" i="17"/>
  <c r="F8" i="17"/>
  <c r="F3" i="17"/>
  <c r="AR116" i="17"/>
  <c r="AR117" i="17"/>
  <c r="F4" i="17"/>
  <c r="E103" i="17"/>
  <c r="AO194" i="17"/>
  <c r="AO195" i="17"/>
  <c r="AO196" i="17"/>
  <c r="E105" i="17"/>
  <c r="E104" i="17"/>
  <c r="E95" i="17"/>
  <c r="AO185" i="17"/>
  <c r="AO186" i="17"/>
  <c r="AO187" i="17"/>
  <c r="E97" i="17"/>
  <c r="E96" i="17"/>
  <c r="E91" i="17"/>
  <c r="AO182" i="17"/>
  <c r="AO183" i="17"/>
  <c r="AO184" i="17"/>
  <c r="E93" i="17"/>
  <c r="E92" i="17"/>
  <c r="E83" i="17"/>
  <c r="AO176" i="17"/>
  <c r="AO177" i="17"/>
  <c r="AO178" i="17"/>
  <c r="E85" i="17"/>
  <c r="E84" i="17"/>
  <c r="E79" i="17"/>
  <c r="AO173" i="17"/>
  <c r="AO174" i="17"/>
  <c r="AO175" i="17"/>
  <c r="E81" i="17"/>
  <c r="E80" i="17"/>
  <c r="E75" i="17"/>
  <c r="AO170" i="17"/>
  <c r="AO171" i="17"/>
  <c r="AO172" i="17"/>
  <c r="E77" i="17"/>
  <c r="E76" i="17"/>
  <c r="E71" i="17"/>
  <c r="AO167" i="17"/>
  <c r="AO168" i="17"/>
  <c r="AO169" i="17"/>
  <c r="E73" i="17"/>
  <c r="E72" i="17"/>
  <c r="E67" i="17"/>
  <c r="AO164" i="17"/>
  <c r="AO165" i="17"/>
  <c r="AO166" i="17"/>
  <c r="E69" i="17"/>
  <c r="E68" i="17"/>
  <c r="E51" i="17"/>
  <c r="AO152" i="17"/>
  <c r="AO153" i="17"/>
  <c r="AO154" i="17"/>
  <c r="E53" i="17"/>
  <c r="E52" i="17"/>
  <c r="E47" i="17"/>
  <c r="AO149" i="17"/>
  <c r="AO150" i="17"/>
  <c r="AO151" i="17"/>
  <c r="E49" i="17"/>
  <c r="E48" i="17"/>
  <c r="E43" i="17"/>
  <c r="AO146" i="17"/>
  <c r="AO147" i="17"/>
  <c r="AO148" i="17"/>
  <c r="E45" i="17"/>
  <c r="E44" i="17"/>
  <c r="E39" i="17"/>
  <c r="AO143" i="17"/>
  <c r="E31" i="17"/>
  <c r="AO137" i="17"/>
  <c r="AO138" i="17"/>
  <c r="AO139" i="17"/>
  <c r="E33" i="17"/>
  <c r="E32" i="17"/>
  <c r="E27" i="17"/>
  <c r="AO134" i="17"/>
  <c r="AO135" i="17"/>
  <c r="AO136" i="17"/>
  <c r="E29" i="17"/>
  <c r="E28" i="17"/>
  <c r="E23" i="17"/>
  <c r="AO131" i="17"/>
  <c r="AO132" i="17"/>
  <c r="AO133" i="17"/>
  <c r="E25" i="17"/>
  <c r="E24" i="17"/>
  <c r="E19" i="17"/>
  <c r="AO128" i="17"/>
  <c r="AO129" i="17"/>
  <c r="AO130" i="17"/>
  <c r="E21" i="17"/>
  <c r="E20" i="17"/>
  <c r="E11" i="17"/>
  <c r="AO122" i="17"/>
  <c r="AO123" i="17"/>
  <c r="AO124" i="17"/>
  <c r="E13" i="17"/>
  <c r="E12" i="17"/>
  <c r="E7" i="17"/>
  <c r="AO119" i="17"/>
  <c r="AO120" i="17"/>
  <c r="AO121" i="17"/>
  <c r="E9" i="17"/>
  <c r="E8" i="17"/>
  <c r="E3" i="17"/>
  <c r="AO116" i="17"/>
  <c r="AO117" i="17"/>
  <c r="AO118" i="17"/>
  <c r="E5" i="17"/>
  <c r="E4" i="17"/>
  <c r="D103" i="17"/>
  <c r="AL194" i="17"/>
  <c r="AL195" i="17"/>
  <c r="AL196" i="17"/>
  <c r="D105" i="17"/>
  <c r="D104" i="17"/>
  <c r="D95" i="17"/>
  <c r="AL185" i="17"/>
  <c r="AL186" i="17"/>
  <c r="AL187" i="17"/>
  <c r="D97" i="17"/>
  <c r="D96" i="17"/>
  <c r="D91" i="17"/>
  <c r="AL182" i="17"/>
  <c r="AL183" i="17"/>
  <c r="AL184" i="17"/>
  <c r="D93" i="17"/>
  <c r="D92" i="17"/>
  <c r="D83" i="17"/>
  <c r="AL176" i="17"/>
  <c r="AL177" i="17"/>
  <c r="AL178" i="17"/>
  <c r="D85" i="17"/>
  <c r="D84" i="17"/>
  <c r="D79" i="17"/>
  <c r="AL173" i="17"/>
  <c r="AL174" i="17"/>
  <c r="AL175" i="17"/>
  <c r="D81" i="17"/>
  <c r="D80" i="17"/>
  <c r="D71" i="17"/>
  <c r="AL167" i="17"/>
  <c r="AL168" i="17"/>
  <c r="AL169" i="17"/>
  <c r="D73" i="17"/>
  <c r="D72" i="17"/>
  <c r="D67" i="17"/>
  <c r="AL164" i="17"/>
  <c r="AL165" i="17"/>
  <c r="AL166" i="17"/>
  <c r="D69" i="17"/>
  <c r="D68" i="17"/>
  <c r="D59" i="17"/>
  <c r="AL158" i="17"/>
  <c r="AL159" i="17"/>
  <c r="AL160" i="17"/>
  <c r="D61" i="17"/>
  <c r="D60" i="17"/>
  <c r="D51" i="17"/>
  <c r="AL152" i="17"/>
  <c r="AL153" i="17"/>
  <c r="AL154" i="17"/>
  <c r="D53" i="17"/>
  <c r="D52" i="17"/>
  <c r="D47" i="17"/>
  <c r="AL149" i="17"/>
  <c r="AL150" i="17"/>
  <c r="AL151" i="17"/>
  <c r="D49" i="17"/>
  <c r="D48" i="17"/>
  <c r="D43" i="17"/>
  <c r="AL146" i="17"/>
  <c r="D39" i="17"/>
  <c r="AL143" i="17"/>
  <c r="AL144" i="17"/>
  <c r="AL145" i="17"/>
  <c r="D41" i="17"/>
  <c r="D40" i="17"/>
  <c r="D31" i="17"/>
  <c r="AL137" i="17"/>
  <c r="AL138" i="17"/>
  <c r="AL139" i="17"/>
  <c r="D33" i="17"/>
  <c r="D32" i="17"/>
  <c r="D27" i="17"/>
  <c r="AL134" i="17"/>
  <c r="AL135" i="17"/>
  <c r="AL136" i="17"/>
  <c r="D29" i="17"/>
  <c r="D28" i="17"/>
  <c r="D19" i="17"/>
  <c r="AL128" i="17"/>
  <c r="AL129" i="17"/>
  <c r="AL130" i="17"/>
  <c r="D21" i="17"/>
  <c r="D20" i="17"/>
  <c r="D11" i="17"/>
  <c r="AL122" i="17"/>
  <c r="AL123" i="17"/>
  <c r="AL124" i="17"/>
  <c r="D13" i="17"/>
  <c r="D12" i="17"/>
  <c r="D7" i="17"/>
  <c r="AL119" i="17"/>
  <c r="AL120" i="17"/>
  <c r="AL121" i="17"/>
  <c r="D9" i="17"/>
  <c r="D8" i="17"/>
  <c r="D3" i="17"/>
  <c r="AL116" i="17"/>
  <c r="AL117" i="17"/>
  <c r="AL118" i="17"/>
  <c r="D5" i="17"/>
  <c r="D4" i="17"/>
  <c r="C103" i="17"/>
  <c r="AI194" i="17"/>
  <c r="AI195" i="17"/>
  <c r="AI196" i="17"/>
  <c r="C105" i="17"/>
  <c r="C104" i="17"/>
  <c r="C95" i="17"/>
  <c r="AI185" i="17"/>
  <c r="AI186" i="17"/>
  <c r="AI187" i="17"/>
  <c r="C97" i="17"/>
  <c r="C96" i="17"/>
  <c r="C91" i="17"/>
  <c r="AI182" i="17"/>
  <c r="AI183" i="17"/>
  <c r="AI184" i="17"/>
  <c r="C93" i="17"/>
  <c r="C92" i="17"/>
  <c r="C83" i="17"/>
  <c r="AI176" i="17"/>
  <c r="AI177" i="17"/>
  <c r="AI178" i="17"/>
  <c r="C85" i="17"/>
  <c r="C84" i="17"/>
  <c r="C79" i="17"/>
  <c r="AI173" i="17"/>
  <c r="AI174" i="17"/>
  <c r="AI175" i="17"/>
  <c r="C81" i="17"/>
  <c r="C80" i="17"/>
  <c r="C75" i="17"/>
  <c r="AI170" i="17"/>
  <c r="AI171" i="17"/>
  <c r="AI172" i="17"/>
  <c r="C77" i="17"/>
  <c r="C76" i="17"/>
  <c r="C71" i="17"/>
  <c r="AI167" i="17"/>
  <c r="AI168" i="17"/>
  <c r="AI169" i="17"/>
  <c r="C73" i="17"/>
  <c r="C72" i="17"/>
  <c r="C67" i="17"/>
  <c r="AI164" i="17"/>
  <c r="AI165" i="17"/>
  <c r="AI166" i="17"/>
  <c r="C69" i="17"/>
  <c r="C68" i="17"/>
  <c r="C63" i="17"/>
  <c r="AI161" i="17"/>
  <c r="AI162" i="17"/>
  <c r="AI163" i="17"/>
  <c r="C65" i="17"/>
  <c r="C64" i="17"/>
  <c r="C51" i="17"/>
  <c r="AI152" i="17"/>
  <c r="AI153" i="17"/>
  <c r="AI154" i="17"/>
  <c r="C53" i="17"/>
  <c r="C52" i="17"/>
  <c r="C47" i="17"/>
  <c r="AI149" i="17"/>
  <c r="AI150" i="17"/>
  <c r="AI151" i="17"/>
  <c r="C49" i="17"/>
  <c r="C48" i="17"/>
  <c r="C43" i="17"/>
  <c r="AI146" i="17"/>
  <c r="C39" i="17"/>
  <c r="AI143" i="17"/>
  <c r="AI144" i="17"/>
  <c r="AI145" i="17"/>
  <c r="C41" i="17"/>
  <c r="C40" i="17"/>
  <c r="C31" i="17"/>
  <c r="AI137" i="17"/>
  <c r="AI138" i="17"/>
  <c r="AI139" i="17"/>
  <c r="C33" i="17"/>
  <c r="C32" i="17"/>
  <c r="C27" i="17"/>
  <c r="AI134" i="17"/>
  <c r="AI135" i="17"/>
  <c r="AI136" i="17"/>
  <c r="C29" i="17"/>
  <c r="C28" i="17"/>
  <c r="C23" i="17"/>
  <c r="AI131" i="17"/>
  <c r="AI132" i="17"/>
  <c r="AI133" i="17"/>
  <c r="C25" i="17"/>
  <c r="C24" i="17"/>
  <c r="C19" i="17"/>
  <c r="AI128" i="17"/>
  <c r="C11" i="17"/>
  <c r="AI122" i="17"/>
  <c r="AI123" i="17"/>
  <c r="AI124" i="17"/>
  <c r="C13" i="17"/>
  <c r="C12" i="17"/>
  <c r="C7" i="17"/>
  <c r="AI119" i="17"/>
  <c r="AI120" i="17"/>
  <c r="AI121" i="17"/>
  <c r="C9" i="17"/>
  <c r="C8" i="17"/>
  <c r="C3" i="17"/>
  <c r="AI116" i="17"/>
  <c r="AI117" i="17"/>
  <c r="AI118" i="17"/>
  <c r="C5" i="17"/>
  <c r="C4" i="17"/>
  <c r="B95" i="17"/>
  <c r="AF185" i="17"/>
  <c r="AF186" i="17"/>
  <c r="AF187" i="17"/>
  <c r="B97" i="17"/>
  <c r="B96" i="17"/>
  <c r="B91" i="17"/>
  <c r="AF182" i="17"/>
  <c r="AF183" i="17"/>
  <c r="AF184" i="17"/>
  <c r="B93" i="17"/>
  <c r="B92" i="17"/>
  <c r="B83" i="17"/>
  <c r="AF176" i="17"/>
  <c r="AF177" i="17"/>
  <c r="AF178" i="17"/>
  <c r="B85" i="17"/>
  <c r="B84" i="17"/>
  <c r="B75" i="17"/>
  <c r="AF170" i="17"/>
  <c r="AF171" i="17"/>
  <c r="AF172" i="17"/>
  <c r="B77" i="17"/>
  <c r="B76" i="17"/>
  <c r="B71" i="17"/>
  <c r="AF167" i="17"/>
  <c r="AF168" i="17"/>
  <c r="AF169" i="17"/>
  <c r="B73" i="17"/>
  <c r="B72" i="17"/>
  <c r="B67" i="17"/>
  <c r="AF164" i="17"/>
  <c r="B51" i="17"/>
  <c r="AF152" i="17"/>
  <c r="AF153" i="17"/>
  <c r="AF154" i="17"/>
  <c r="B53" i="17"/>
  <c r="B52" i="17"/>
  <c r="B47" i="17"/>
  <c r="AF149" i="17"/>
  <c r="AF150" i="17"/>
  <c r="AF151" i="17"/>
  <c r="B49" i="17"/>
  <c r="B48" i="17"/>
  <c r="B39" i="17"/>
  <c r="AF143" i="17"/>
  <c r="B31" i="17"/>
  <c r="AF137" i="17"/>
  <c r="AF138" i="17"/>
  <c r="AF139" i="17"/>
  <c r="B33" i="17"/>
  <c r="B32" i="17"/>
  <c r="B27" i="17"/>
  <c r="AF134" i="17"/>
  <c r="AF135" i="17"/>
  <c r="AF136" i="17"/>
  <c r="B29" i="17"/>
  <c r="B28" i="17"/>
  <c r="B23" i="17"/>
  <c r="AF131" i="17"/>
  <c r="AF132" i="17"/>
  <c r="AF133" i="17"/>
  <c r="B25" i="17"/>
  <c r="B24" i="17"/>
  <c r="B19" i="17"/>
  <c r="AF128" i="17"/>
  <c r="AF129" i="17"/>
  <c r="AF130" i="17"/>
  <c r="B21" i="17"/>
  <c r="B20" i="17"/>
  <c r="B15" i="17"/>
  <c r="AF125" i="17"/>
  <c r="AF126" i="17"/>
  <c r="AF127" i="17"/>
  <c r="B17" i="17"/>
  <c r="B16" i="17"/>
  <c r="B11" i="17"/>
  <c r="AF122" i="17"/>
  <c r="AF123" i="17"/>
  <c r="AF124" i="17"/>
  <c r="B13" i="17"/>
  <c r="B12" i="17"/>
  <c r="AF121" i="17"/>
  <c r="B9" i="17"/>
  <c r="B3" i="17"/>
  <c r="AF116" i="17"/>
  <c r="AF117" i="17"/>
  <c r="AF118" i="17"/>
  <c r="B5" i="17"/>
  <c r="B4" i="17"/>
  <c r="H75" i="14"/>
  <c r="AR138" i="14"/>
  <c r="AR139" i="14"/>
  <c r="H76" i="14"/>
  <c r="H71" i="14"/>
  <c r="AR135" i="14"/>
  <c r="AR136" i="14"/>
  <c r="AR137" i="14"/>
  <c r="H73" i="14"/>
  <c r="H72" i="14"/>
  <c r="H63" i="14"/>
  <c r="AR129" i="14"/>
  <c r="AR130" i="14"/>
  <c r="AR131" i="14"/>
  <c r="H65" i="14"/>
  <c r="H64" i="14"/>
  <c r="H59" i="14"/>
  <c r="AR126" i="14"/>
  <c r="AR127" i="14"/>
  <c r="AR128" i="14"/>
  <c r="H61" i="14"/>
  <c r="H60" i="14"/>
  <c r="H51" i="14"/>
  <c r="AR120" i="14"/>
  <c r="H47" i="14"/>
  <c r="AR117" i="14"/>
  <c r="H43" i="14"/>
  <c r="AR114" i="14"/>
  <c r="AR115" i="14"/>
  <c r="AR116" i="14"/>
  <c r="H45" i="14"/>
  <c r="H44" i="14"/>
  <c r="H39" i="14"/>
  <c r="AR111" i="14"/>
  <c r="AR112" i="14"/>
  <c r="AR113" i="14"/>
  <c r="H41" i="14"/>
  <c r="H40" i="14"/>
  <c r="H35" i="14"/>
  <c r="AR108" i="14"/>
  <c r="H31" i="14"/>
  <c r="AR105" i="14"/>
  <c r="AR106" i="14"/>
  <c r="AR107" i="14"/>
  <c r="H33" i="14"/>
  <c r="H32" i="14"/>
  <c r="H27" i="14"/>
  <c r="AR102" i="14"/>
  <c r="AR103" i="14"/>
  <c r="AR104" i="14"/>
  <c r="H29" i="14"/>
  <c r="H28" i="14"/>
  <c r="H23" i="14"/>
  <c r="AR99" i="14"/>
  <c r="AR100" i="14"/>
  <c r="AR101" i="14"/>
  <c r="H25" i="14"/>
  <c r="H24" i="14"/>
  <c r="H19" i="14"/>
  <c r="AR96" i="14"/>
  <c r="AR97" i="14"/>
  <c r="AR98" i="14"/>
  <c r="H21" i="14"/>
  <c r="H20" i="14"/>
  <c r="H11" i="14"/>
  <c r="AR90" i="14"/>
  <c r="AR91" i="14"/>
  <c r="AR92" i="14"/>
  <c r="H13" i="14"/>
  <c r="H12" i="14"/>
  <c r="H7" i="14"/>
  <c r="AR87" i="14"/>
  <c r="AR88" i="14"/>
  <c r="AR89" i="14"/>
  <c r="H9" i="14"/>
  <c r="H8" i="14"/>
  <c r="G75" i="14"/>
  <c r="AO138" i="14"/>
  <c r="G71" i="14"/>
  <c r="AO135" i="14"/>
  <c r="AO136" i="14"/>
  <c r="AO137" i="14"/>
  <c r="G73" i="14"/>
  <c r="G72" i="14"/>
  <c r="G63" i="14"/>
  <c r="AO129" i="14"/>
  <c r="G59" i="14"/>
  <c r="AO126" i="14"/>
  <c r="AO127" i="14"/>
  <c r="AO128" i="14"/>
  <c r="G61" i="14"/>
  <c r="G60" i="14"/>
  <c r="G51" i="14"/>
  <c r="AO120" i="14"/>
  <c r="AO121" i="14"/>
  <c r="AO122" i="14"/>
  <c r="G53" i="14"/>
  <c r="G52" i="14"/>
  <c r="G47" i="14"/>
  <c r="AO117" i="14"/>
  <c r="AO118" i="14"/>
  <c r="G48" i="14"/>
  <c r="G43" i="14"/>
  <c r="AO114" i="14"/>
  <c r="AO115" i="14"/>
  <c r="AO116" i="14"/>
  <c r="G45" i="14"/>
  <c r="G44" i="14"/>
  <c r="G39" i="14"/>
  <c r="AO111" i="14"/>
  <c r="AO112" i="14"/>
  <c r="AO113" i="14"/>
  <c r="G41" i="14"/>
  <c r="G40" i="14"/>
  <c r="G35" i="14"/>
  <c r="AO108" i="14"/>
  <c r="G31" i="14"/>
  <c r="AO105" i="14"/>
  <c r="AO106" i="14"/>
  <c r="AO107" i="14"/>
  <c r="G33" i="14"/>
  <c r="G32" i="14"/>
  <c r="G27" i="14"/>
  <c r="AO102" i="14"/>
  <c r="G23" i="14"/>
  <c r="AO99" i="14"/>
  <c r="AO100" i="14"/>
  <c r="AO101" i="14"/>
  <c r="G25" i="14"/>
  <c r="G24" i="14"/>
  <c r="G19" i="14"/>
  <c r="AO96" i="14"/>
  <c r="AO97" i="14"/>
  <c r="AO98" i="14"/>
  <c r="G21" i="14"/>
  <c r="G20" i="14"/>
  <c r="G15" i="14"/>
  <c r="AO93" i="14"/>
  <c r="AO94" i="14"/>
  <c r="AO95" i="14"/>
  <c r="G17" i="14"/>
  <c r="G16" i="14"/>
  <c r="G11" i="14"/>
  <c r="AO90" i="14"/>
  <c r="AO91" i="14"/>
  <c r="AO92" i="14"/>
  <c r="G13" i="14"/>
  <c r="G12" i="14"/>
  <c r="G7" i="14"/>
  <c r="AO87" i="14"/>
  <c r="F71" i="14"/>
  <c r="AL135" i="14"/>
  <c r="AL136" i="14"/>
  <c r="AL137" i="14"/>
  <c r="F73" i="14"/>
  <c r="F72" i="14"/>
  <c r="F67" i="14"/>
  <c r="AL132" i="14"/>
  <c r="AL133" i="14"/>
  <c r="AL134" i="14"/>
  <c r="F69" i="14"/>
  <c r="F68" i="14"/>
  <c r="F63" i="14"/>
  <c r="AL129" i="14"/>
  <c r="AL130" i="14"/>
  <c r="F64" i="14"/>
  <c r="F59" i="14"/>
  <c r="AL126" i="14"/>
  <c r="AL127" i="14"/>
  <c r="AL128" i="14"/>
  <c r="F61" i="14"/>
  <c r="F60" i="14"/>
  <c r="F55" i="14"/>
  <c r="AL123" i="14"/>
  <c r="AL124" i="14"/>
  <c r="AL125" i="14"/>
  <c r="F57" i="14"/>
  <c r="F56" i="14"/>
  <c r="F51" i="14"/>
  <c r="AL120" i="14"/>
  <c r="AL121" i="14"/>
  <c r="AL122" i="14"/>
  <c r="F53" i="14"/>
  <c r="F52" i="14"/>
  <c r="F47" i="14"/>
  <c r="AL117" i="14"/>
  <c r="AL118" i="14"/>
  <c r="F48" i="14"/>
  <c r="F43" i="14"/>
  <c r="AL114" i="14"/>
  <c r="F39" i="14"/>
  <c r="AL111" i="14"/>
  <c r="AL112" i="14"/>
  <c r="AL113" i="14"/>
  <c r="F41" i="14"/>
  <c r="F40" i="14"/>
  <c r="F31" i="14"/>
  <c r="AL105" i="14"/>
  <c r="AL106" i="14"/>
  <c r="AL107" i="14"/>
  <c r="F33" i="14"/>
  <c r="F32" i="14"/>
  <c r="F27" i="14"/>
  <c r="AL102" i="14"/>
  <c r="F23" i="14"/>
  <c r="AL99" i="14"/>
  <c r="F19" i="14"/>
  <c r="AL96" i="14"/>
  <c r="AL97" i="14"/>
  <c r="AL98" i="14"/>
  <c r="F21" i="14"/>
  <c r="F20" i="14"/>
  <c r="F15" i="14"/>
  <c r="AL93" i="14"/>
  <c r="AL94" i="14"/>
  <c r="AL95" i="14"/>
  <c r="F17" i="14"/>
  <c r="F16" i="14"/>
  <c r="F11" i="14"/>
  <c r="AL90" i="14"/>
  <c r="AL91" i="14"/>
  <c r="AL92" i="14"/>
  <c r="F13" i="14"/>
  <c r="F12" i="14"/>
  <c r="F7" i="14"/>
  <c r="AL87" i="14"/>
  <c r="AL88" i="14"/>
  <c r="AL89" i="14"/>
  <c r="F9" i="14"/>
  <c r="F8" i="14"/>
  <c r="E71" i="14"/>
  <c r="AI135" i="14"/>
  <c r="E63" i="14"/>
  <c r="AI129" i="14"/>
  <c r="AI130" i="14"/>
  <c r="AI131" i="14"/>
  <c r="E65" i="14"/>
  <c r="E64" i="14"/>
  <c r="E59" i="14"/>
  <c r="AI126" i="14"/>
  <c r="AI127" i="14"/>
  <c r="AI128" i="14"/>
  <c r="E61" i="14"/>
  <c r="E60" i="14"/>
  <c r="E55" i="14"/>
  <c r="AI123" i="14"/>
  <c r="AI124" i="14"/>
  <c r="AI125" i="14"/>
  <c r="E57" i="14"/>
  <c r="E56" i="14"/>
  <c r="E51" i="14"/>
  <c r="AI120" i="14"/>
  <c r="AI121" i="14"/>
  <c r="AI122" i="14"/>
  <c r="E53" i="14"/>
  <c r="E52" i="14"/>
  <c r="E47" i="14"/>
  <c r="AI117" i="14"/>
  <c r="E43" i="14"/>
  <c r="AI114" i="14"/>
  <c r="AI115" i="14"/>
  <c r="E44" i="14"/>
  <c r="E39" i="14"/>
  <c r="AI111" i="14"/>
  <c r="AI112" i="14"/>
  <c r="AI113" i="14"/>
  <c r="E41" i="14"/>
  <c r="E40" i="14"/>
  <c r="E31" i="14"/>
  <c r="AI105" i="14"/>
  <c r="AI106" i="14"/>
  <c r="AI107" i="14"/>
  <c r="E33" i="14"/>
  <c r="E32" i="14"/>
  <c r="E27" i="14"/>
  <c r="AI102" i="14"/>
  <c r="E23" i="14"/>
  <c r="AI99" i="14"/>
  <c r="E19" i="14"/>
  <c r="AI96" i="14"/>
  <c r="AI97" i="14"/>
  <c r="AI98" i="14"/>
  <c r="E21" i="14"/>
  <c r="E20" i="14"/>
  <c r="E15" i="14"/>
  <c r="AI93" i="14"/>
  <c r="AI94" i="14"/>
  <c r="AI95" i="14"/>
  <c r="E17" i="14"/>
  <c r="E16" i="14"/>
  <c r="E11" i="14"/>
  <c r="AI90" i="14"/>
  <c r="AI91" i="14"/>
  <c r="AI92" i="14"/>
  <c r="E13" i="14"/>
  <c r="E12" i="14"/>
  <c r="E7" i="14"/>
  <c r="AI87" i="14"/>
  <c r="AI88" i="14"/>
  <c r="E8" i="14"/>
  <c r="D75" i="14"/>
  <c r="AF138" i="14"/>
  <c r="AF139" i="14"/>
  <c r="D76" i="14"/>
  <c r="D71" i="14"/>
  <c r="AF135" i="14"/>
  <c r="AF136" i="14"/>
  <c r="AF137" i="14"/>
  <c r="D73" i="14"/>
  <c r="D72" i="14"/>
  <c r="D59" i="14"/>
  <c r="AF126" i="14"/>
  <c r="AF127" i="14"/>
  <c r="AF128" i="14"/>
  <c r="D61" i="14"/>
  <c r="D60" i="14"/>
  <c r="D55" i="14"/>
  <c r="AF123" i="14"/>
  <c r="D51" i="14"/>
  <c r="AF120" i="14"/>
  <c r="D43" i="14"/>
  <c r="AF114" i="14"/>
  <c r="AF115" i="14"/>
  <c r="D44" i="14"/>
  <c r="D39" i="14"/>
  <c r="AF111" i="14"/>
  <c r="AF112" i="14"/>
  <c r="AF113" i="14"/>
  <c r="D41" i="14"/>
  <c r="D40" i="14"/>
  <c r="D35" i="14"/>
  <c r="AF108" i="14"/>
  <c r="AF109" i="14"/>
  <c r="D36" i="14"/>
  <c r="D31" i="14"/>
  <c r="AF105" i="14"/>
  <c r="AF106" i="14"/>
  <c r="AF107" i="14"/>
  <c r="D33" i="14"/>
  <c r="D32" i="14"/>
  <c r="D27" i="14"/>
  <c r="AF102" i="14"/>
  <c r="AF103" i="14"/>
  <c r="AF104" i="14"/>
  <c r="D29" i="14"/>
  <c r="D28" i="14"/>
  <c r="D23" i="14"/>
  <c r="AF99" i="14"/>
  <c r="D19" i="14"/>
  <c r="AF96" i="14"/>
  <c r="AF97" i="14"/>
  <c r="AF98" i="14"/>
  <c r="D21" i="14"/>
  <c r="D20" i="14"/>
  <c r="D15" i="14"/>
  <c r="AF93" i="14"/>
  <c r="AF94" i="14"/>
  <c r="AF95" i="14"/>
  <c r="D17" i="14"/>
  <c r="D16" i="14"/>
  <c r="D11" i="14"/>
  <c r="AF90" i="14"/>
  <c r="AF91" i="14"/>
  <c r="AF92" i="14"/>
  <c r="D13" i="14"/>
  <c r="D12" i="14"/>
  <c r="D7" i="14"/>
  <c r="AF87" i="14"/>
  <c r="AF88" i="14"/>
  <c r="AF89" i="14"/>
  <c r="D9" i="14"/>
  <c r="D8" i="14"/>
  <c r="D3" i="14"/>
  <c r="AF84" i="14"/>
  <c r="AF85" i="14"/>
  <c r="AF86" i="14"/>
  <c r="D5" i="14"/>
  <c r="D4" i="14"/>
  <c r="C71" i="14"/>
  <c r="AC135" i="14"/>
  <c r="AC136" i="14"/>
  <c r="C72" i="14"/>
  <c r="C63" i="14"/>
  <c r="AC129" i="14"/>
  <c r="AC130" i="14"/>
  <c r="AC131" i="14"/>
  <c r="C65" i="14"/>
  <c r="C64" i="14"/>
  <c r="C59" i="14"/>
  <c r="AC126" i="14"/>
  <c r="AC127" i="14"/>
  <c r="AC128" i="14"/>
  <c r="C61" i="14"/>
  <c r="C60" i="14"/>
  <c r="C55" i="14"/>
  <c r="AC123" i="14"/>
  <c r="C51" i="14"/>
  <c r="AC120" i="14"/>
  <c r="AC121" i="14"/>
  <c r="AC122" i="14"/>
  <c r="C53" i="14"/>
  <c r="C52" i="14"/>
  <c r="C47" i="14"/>
  <c r="AC117" i="14"/>
  <c r="AC118" i="14"/>
  <c r="AC119" i="14"/>
  <c r="C49" i="14"/>
  <c r="C48" i="14"/>
  <c r="C43" i="14"/>
  <c r="AC114" i="14"/>
  <c r="AC115" i="14"/>
  <c r="C44" i="14"/>
  <c r="C39" i="14"/>
  <c r="AC111" i="14"/>
  <c r="AC112" i="14"/>
  <c r="AC113" i="14"/>
  <c r="C41" i="14"/>
  <c r="C40" i="14"/>
  <c r="C35" i="14"/>
  <c r="AC108" i="14"/>
  <c r="AC109" i="14"/>
  <c r="C36" i="14"/>
  <c r="C31" i="14"/>
  <c r="AC105" i="14"/>
  <c r="AC106" i="14"/>
  <c r="AC107" i="14"/>
  <c r="C33" i="14"/>
  <c r="C32" i="14"/>
  <c r="C27" i="14"/>
  <c r="AC102" i="14"/>
  <c r="AC103" i="14"/>
  <c r="AC104" i="14"/>
  <c r="C29" i="14"/>
  <c r="C28" i="14"/>
  <c r="C23" i="14"/>
  <c r="AC99" i="14"/>
  <c r="C19" i="14"/>
  <c r="AC96" i="14"/>
  <c r="AC97" i="14"/>
  <c r="AC98" i="14"/>
  <c r="C21" i="14"/>
  <c r="C20" i="14"/>
  <c r="C15" i="14"/>
  <c r="AC93" i="14"/>
  <c r="AC94" i="14"/>
  <c r="AC95" i="14"/>
  <c r="C17" i="14"/>
  <c r="C16" i="14"/>
  <c r="C11" i="14"/>
  <c r="AC90" i="14"/>
  <c r="AC91" i="14"/>
  <c r="AC92" i="14"/>
  <c r="C13" i="14"/>
  <c r="C12" i="14"/>
  <c r="C7" i="14"/>
  <c r="AC87" i="14"/>
  <c r="AC88" i="14"/>
  <c r="AC89" i="14"/>
  <c r="C9" i="14"/>
  <c r="C8" i="14"/>
  <c r="C3" i="14"/>
  <c r="AC84" i="14"/>
  <c r="AC85" i="14"/>
  <c r="AC86" i="14"/>
  <c r="C5" i="14"/>
  <c r="C4" i="14"/>
  <c r="B59" i="14"/>
  <c r="Z126" i="14"/>
  <c r="Z127" i="14"/>
  <c r="Z128" i="14"/>
  <c r="B61" i="14"/>
  <c r="B60" i="14"/>
  <c r="B51" i="14"/>
  <c r="Z120" i="14"/>
  <c r="B43" i="14"/>
  <c r="Z114" i="14"/>
  <c r="Z115" i="14"/>
  <c r="B44" i="14"/>
  <c r="B39" i="14"/>
  <c r="Z111" i="14"/>
  <c r="Z112" i="14"/>
  <c r="Z113" i="14"/>
  <c r="B41" i="14"/>
  <c r="B40" i="14"/>
  <c r="B35" i="14"/>
  <c r="Z108" i="14"/>
  <c r="Z109" i="14"/>
  <c r="B36" i="14"/>
  <c r="B31" i="14"/>
  <c r="Z105" i="14"/>
  <c r="Z106" i="14"/>
  <c r="Z107" i="14"/>
  <c r="B33" i="14"/>
  <c r="B32" i="14"/>
  <c r="B23" i="14"/>
  <c r="Z99" i="14"/>
  <c r="B19" i="14"/>
  <c r="Z96" i="14"/>
  <c r="Z97" i="14"/>
  <c r="Z98" i="14"/>
  <c r="B21" i="14"/>
  <c r="B20" i="14"/>
  <c r="B11" i="14"/>
  <c r="Z90" i="14"/>
  <c r="Z91" i="14"/>
  <c r="Z92" i="14"/>
  <c r="B13" i="14"/>
  <c r="B12" i="14"/>
  <c r="B7" i="14"/>
  <c r="Z87" i="14"/>
  <c r="Z88" i="14"/>
  <c r="Z89" i="14"/>
  <c r="B9" i="14"/>
  <c r="B8" i="14"/>
  <c r="AG56" i="22"/>
  <c r="AM56" i="22"/>
  <c r="AM25" i="22"/>
  <c r="AM20" i="22"/>
  <c r="E73" i="22"/>
  <c r="E69" i="22"/>
  <c r="AL56" i="22"/>
  <c r="AL25" i="22"/>
  <c r="AK80" i="22"/>
  <c r="AK56" i="22"/>
  <c r="AK25" i="22"/>
  <c r="AJ56" i="22"/>
  <c r="AJ34" i="22"/>
  <c r="AJ25" i="22"/>
  <c r="AI56" i="22"/>
  <c r="AH56" i="22"/>
  <c r="AH18" i="22"/>
  <c r="AG25" i="22"/>
  <c r="AG19" i="22"/>
  <c r="H77" i="14"/>
  <c r="F65" i="14"/>
  <c r="E9" i="14"/>
  <c r="D77" i="14"/>
  <c r="C73" i="14"/>
  <c r="B69" i="14"/>
  <c r="AJ23" i="22"/>
  <c r="AI30" i="22"/>
  <c r="AG43" i="22"/>
  <c r="AG52" i="22"/>
  <c r="AG53" i="22"/>
  <c r="AG54" i="22"/>
  <c r="AG58" i="22"/>
  <c r="AG57" i="22"/>
  <c r="AM32" i="22"/>
  <c r="AM31" i="22"/>
  <c r="AM15" i="22"/>
  <c r="AL32" i="22"/>
  <c r="AL31" i="22"/>
  <c r="AL15" i="22"/>
  <c r="AK32" i="22"/>
  <c r="AK15" i="22"/>
  <c r="AJ32" i="22"/>
  <c r="AJ15" i="22"/>
  <c r="AI80" i="22"/>
  <c r="AI79" i="22"/>
  <c r="AI72" i="22"/>
  <c r="AI70" i="22"/>
  <c r="AI68" i="22"/>
  <c r="AI58" i="22"/>
  <c r="AI57" i="22"/>
  <c r="AI52" i="22"/>
  <c r="AI51" i="22"/>
  <c r="AI46" i="22"/>
  <c r="AI44" i="22"/>
  <c r="AI43" i="22"/>
  <c r="AI42" i="22"/>
  <c r="AI34" i="22"/>
  <c r="AI33" i="22"/>
  <c r="AI31" i="22"/>
  <c r="AI28" i="22"/>
  <c r="AI23" i="22"/>
  <c r="AI21" i="22"/>
  <c r="AI20" i="22"/>
  <c r="AI18" i="22"/>
  <c r="AI15" i="22"/>
  <c r="AI14" i="22"/>
  <c r="AH74" i="22"/>
  <c r="AH58" i="22"/>
  <c r="AH34" i="22"/>
  <c r="AH32" i="22"/>
  <c r="AH31" i="22"/>
  <c r="AH24" i="22"/>
  <c r="AG31" i="22"/>
  <c r="AG71" i="22"/>
  <c r="AM71" i="22"/>
  <c r="AL71" i="22"/>
  <c r="AK71" i="22"/>
  <c r="AJ71" i="22"/>
  <c r="AI71" i="22"/>
  <c r="AH71" i="22"/>
  <c r="AF196" i="17"/>
  <c r="B105" i="17"/>
  <c r="AG68" i="22"/>
  <c r="AG72" i="22"/>
  <c r="AG74" i="22"/>
  <c r="AG76" i="22"/>
  <c r="AG77" i="22"/>
  <c r="AG79" i="22"/>
  <c r="AG81" i="22"/>
  <c r="AG42" i="22"/>
  <c r="AG44" i="22"/>
  <c r="AG47" i="22"/>
  <c r="AG48" i="22"/>
  <c r="AG50" i="22"/>
  <c r="AG51" i="22"/>
  <c r="AG55" i="22"/>
  <c r="AG59" i="22"/>
  <c r="AG60" i="22"/>
  <c r="AG61" i="22"/>
  <c r="AG62" i="22"/>
  <c r="AG63" i="22"/>
  <c r="AG64" i="22"/>
  <c r="AG65" i="22"/>
  <c r="AM85" i="22"/>
  <c r="AM84" i="22"/>
  <c r="AM82" i="22"/>
  <c r="AM81" i="22"/>
  <c r="AM79" i="22"/>
  <c r="AM78" i="22"/>
  <c r="AM77" i="22"/>
  <c r="AM76" i="22"/>
  <c r="AM75" i="22"/>
  <c r="AM74" i="22"/>
  <c r="AM73" i="22"/>
  <c r="AM72" i="22"/>
  <c r="E71" i="22"/>
  <c r="AM69" i="22"/>
  <c r="AM68" i="22"/>
  <c r="AM92" i="22"/>
  <c r="AM91" i="22"/>
  <c r="AM90" i="22"/>
  <c r="AM89" i="22"/>
  <c r="AM88" i="22"/>
  <c r="AM87" i="22"/>
  <c r="AM65" i="22"/>
  <c r="AM64" i="22"/>
  <c r="AM63" i="22"/>
  <c r="AM62" i="22"/>
  <c r="AM61" i="22"/>
  <c r="AM60" i="22"/>
  <c r="AM59" i="22"/>
  <c r="AM58" i="22"/>
  <c r="AM57" i="22"/>
  <c r="AM55" i="22"/>
  <c r="AM54" i="22"/>
  <c r="AM53" i="22"/>
  <c r="AM52" i="22"/>
  <c r="AM51" i="22"/>
  <c r="AM50" i="22"/>
  <c r="AM48" i="22"/>
  <c r="AM47" i="22"/>
  <c r="AM42" i="22"/>
  <c r="AM40" i="22"/>
  <c r="AM38" i="22"/>
  <c r="AM37" i="22"/>
  <c r="AM36" i="22"/>
  <c r="AM34" i="22"/>
  <c r="AM33" i="22"/>
  <c r="AM28" i="22"/>
  <c r="AM26" i="22"/>
  <c r="AM24" i="22"/>
  <c r="AM23" i="22"/>
  <c r="AM21" i="22"/>
  <c r="AM18" i="22"/>
  <c r="AM16" i="22"/>
  <c r="AM14" i="22"/>
  <c r="CC22" i="22"/>
  <c r="AL85" i="22"/>
  <c r="AL84" i="22"/>
  <c r="AL82" i="22"/>
  <c r="AL81" i="22"/>
  <c r="AL79" i="22"/>
  <c r="AL78" i="22"/>
  <c r="AL77" i="22"/>
  <c r="AL76" i="22"/>
  <c r="AL75" i="22"/>
  <c r="AL74" i="22"/>
  <c r="AL72" i="22"/>
  <c r="AL70" i="22"/>
  <c r="AL68" i="22"/>
  <c r="AL92" i="22"/>
  <c r="AL91" i="22"/>
  <c r="AL90" i="22"/>
  <c r="AL89" i="22"/>
  <c r="AL88" i="22"/>
  <c r="AL87" i="22"/>
  <c r="AL65" i="22"/>
  <c r="AL64" i="22"/>
  <c r="AL63" i="22"/>
  <c r="AL62" i="22"/>
  <c r="AL61" i="22"/>
  <c r="AL60" i="22"/>
  <c r="AL59" i="22"/>
  <c r="AL58" i="22"/>
  <c r="AL57" i="22"/>
  <c r="AL55" i="22"/>
  <c r="AL53" i="22"/>
  <c r="AL52" i="22"/>
  <c r="AL51" i="22"/>
  <c r="AL50" i="22"/>
  <c r="AL49" i="22"/>
  <c r="AL48" i="22"/>
  <c r="AL47" i="22"/>
  <c r="AL44" i="22"/>
  <c r="AL43" i="22"/>
  <c r="AL42" i="22"/>
  <c r="AL40" i="22"/>
  <c r="AL38" i="22"/>
  <c r="AL37" i="22"/>
  <c r="AL36" i="22"/>
  <c r="AL34" i="22"/>
  <c r="AL33" i="22"/>
  <c r="AL28" i="22"/>
  <c r="AL27" i="22"/>
  <c r="AL26" i="22"/>
  <c r="AL24" i="22"/>
  <c r="AL23" i="22"/>
  <c r="AL21" i="22"/>
  <c r="AL20" i="22"/>
  <c r="AL19" i="22"/>
  <c r="AL18" i="22"/>
  <c r="AL16" i="22"/>
  <c r="AL14" i="22"/>
  <c r="AK84" i="22"/>
  <c r="AK83" i="22"/>
  <c r="AK82" i="22"/>
  <c r="AK81" i="22"/>
  <c r="AK79" i="22"/>
  <c r="AK78" i="22"/>
  <c r="AK77" i="22"/>
  <c r="AK76" i="22"/>
  <c r="AK74" i="22"/>
  <c r="AK72" i="22"/>
  <c r="AK70" i="22"/>
  <c r="AK68" i="22"/>
  <c r="AK91" i="22"/>
  <c r="AK90" i="22"/>
  <c r="AK89" i="22"/>
  <c r="AK88" i="22"/>
  <c r="AK87" i="22"/>
  <c r="AK65" i="22"/>
  <c r="AK64" i="22"/>
  <c r="AK63" i="22"/>
  <c r="AK62" i="22"/>
  <c r="AK61" i="22"/>
  <c r="AK60" i="22"/>
  <c r="AK59" i="22"/>
  <c r="AK58" i="22"/>
  <c r="AK57" i="22"/>
  <c r="AK55" i="22"/>
  <c r="AK54" i="22"/>
  <c r="AK53" i="22"/>
  <c r="AK52" i="22"/>
  <c r="AK51" i="22"/>
  <c r="AK50" i="22"/>
  <c r="AK48" i="22"/>
  <c r="AK47" i="22"/>
  <c r="AK46" i="22"/>
  <c r="AK44" i="22"/>
  <c r="AK43" i="22"/>
  <c r="AK42" i="22"/>
  <c r="AK40" i="22"/>
  <c r="AK38" i="22"/>
  <c r="AK37" i="22"/>
  <c r="AK36" i="22"/>
  <c r="AK35" i="22"/>
  <c r="AK34" i="22"/>
  <c r="AK33" i="22"/>
  <c r="AK31" i="22"/>
  <c r="AK30" i="22"/>
  <c r="AK28" i="22"/>
  <c r="AK26" i="22"/>
  <c r="AK24" i="22"/>
  <c r="AK23" i="22"/>
  <c r="AK21" i="22"/>
  <c r="AK20" i="22"/>
  <c r="AK18" i="22"/>
  <c r="AK16" i="22"/>
  <c r="AK14" i="22"/>
  <c r="AJ84" i="22"/>
  <c r="AJ82" i="22"/>
  <c r="AJ81" i="22"/>
  <c r="AJ80" i="22"/>
  <c r="AJ79" i="22"/>
  <c r="AJ78" i="22"/>
  <c r="AJ77" i="22"/>
  <c r="AJ76" i="22"/>
  <c r="AJ74" i="22"/>
  <c r="AJ72" i="22"/>
  <c r="AJ70" i="22"/>
  <c r="AJ68" i="22"/>
  <c r="AJ92" i="22"/>
  <c r="AJ91" i="22"/>
  <c r="AJ90" i="22"/>
  <c r="AJ89" i="22"/>
  <c r="AJ88" i="22"/>
  <c r="AJ87" i="22"/>
  <c r="AJ65" i="22"/>
  <c r="AJ64" i="22"/>
  <c r="AJ63" i="22"/>
  <c r="AJ62" i="22"/>
  <c r="AJ61" i="22"/>
  <c r="AJ60" i="22"/>
  <c r="AJ59" i="22"/>
  <c r="AJ58" i="22"/>
  <c r="AJ57" i="22"/>
  <c r="AJ55" i="22"/>
  <c r="AJ54" i="22"/>
  <c r="AJ53" i="22"/>
  <c r="AJ52" i="22"/>
  <c r="AJ51" i="22"/>
  <c r="AJ50" i="22"/>
  <c r="AJ48" i="22"/>
  <c r="AJ47" i="22"/>
  <c r="AJ46" i="22"/>
  <c r="AJ44" i="22"/>
  <c r="AJ43" i="22"/>
  <c r="AJ40" i="22"/>
  <c r="AJ39" i="22"/>
  <c r="AJ37" i="22"/>
  <c r="AJ36" i="22"/>
  <c r="AJ33" i="22"/>
  <c r="AJ31" i="22"/>
  <c r="AJ30" i="22"/>
  <c r="AJ26" i="22"/>
  <c r="AJ24" i="22"/>
  <c r="AJ21" i="22"/>
  <c r="AJ20" i="22"/>
  <c r="AJ19" i="22"/>
  <c r="AJ18" i="22"/>
  <c r="AJ16" i="22"/>
  <c r="AJ14" i="22"/>
  <c r="AI85" i="22"/>
  <c r="AI84" i="22"/>
  <c r="AI81" i="22"/>
  <c r="AI77" i="22"/>
  <c r="AI76" i="22"/>
  <c r="AI75" i="22"/>
  <c r="AI74" i="22"/>
  <c r="AI67" i="22"/>
  <c r="AI92" i="22"/>
  <c r="AI91" i="22"/>
  <c r="AI90" i="22"/>
  <c r="AI89" i="22"/>
  <c r="AI88" i="22"/>
  <c r="AI87" i="22"/>
  <c r="AI65" i="22"/>
  <c r="AI64" i="22"/>
  <c r="AI63" i="22"/>
  <c r="AI62" i="22"/>
  <c r="AI61" i="22"/>
  <c r="AI60" i="22"/>
  <c r="AI59" i="22"/>
  <c r="AI55" i="22"/>
  <c r="AI54" i="22"/>
  <c r="AI53" i="22"/>
  <c r="AI50" i="22"/>
  <c r="AI48" i="22"/>
  <c r="AI47" i="22"/>
  <c r="AI40" i="22"/>
  <c r="AI39" i="22"/>
  <c r="AI37" i="22"/>
  <c r="AI36" i="22"/>
  <c r="AI26" i="22"/>
  <c r="AI25" i="22"/>
  <c r="AI24" i="22"/>
  <c r="AI16" i="22"/>
  <c r="AH84" i="22"/>
  <c r="AH82" i="22"/>
  <c r="AH81" i="22"/>
  <c r="AH80" i="22"/>
  <c r="AH79" i="22"/>
  <c r="AH78" i="22"/>
  <c r="AH77" i="22"/>
  <c r="AH76" i="22"/>
  <c r="AH75" i="22"/>
  <c r="AH72" i="22"/>
  <c r="AH70" i="22"/>
  <c r="AH68" i="22"/>
  <c r="AH67" i="22"/>
  <c r="AH92" i="22"/>
  <c r="AH91" i="22"/>
  <c r="AH90" i="22"/>
  <c r="AH89" i="22"/>
  <c r="AH88" i="22"/>
  <c r="AH87" i="22"/>
  <c r="AH65" i="22"/>
  <c r="AH64" i="22"/>
  <c r="AH63" i="22"/>
  <c r="AH62" i="22"/>
  <c r="AH61" i="22"/>
  <c r="AH60" i="22"/>
  <c r="AH59" i="22"/>
  <c r="AH57" i="22"/>
  <c r="AH55" i="22"/>
  <c r="AH54" i="22"/>
  <c r="AH53" i="22"/>
  <c r="AH50" i="22"/>
  <c r="AH48" i="22"/>
  <c r="AH47" i="22"/>
  <c r="AH45" i="22"/>
  <c r="AH44" i="22"/>
  <c r="AH42" i="22"/>
  <c r="AH40" i="22"/>
  <c r="AH38" i="22"/>
  <c r="AH37" i="22"/>
  <c r="AH36" i="22"/>
  <c r="AH33" i="22"/>
  <c r="AH30" i="22"/>
  <c r="AH29" i="22"/>
  <c r="AH26" i="22"/>
  <c r="AH25" i="22"/>
  <c r="AH21" i="22"/>
  <c r="AH20" i="22"/>
  <c r="AH19" i="22"/>
  <c r="AH16" i="22"/>
  <c r="AH15" i="22"/>
  <c r="AH14" i="22"/>
  <c r="AG92" i="22"/>
  <c r="AG91" i="22"/>
  <c r="AG90" i="22"/>
  <c r="AG89" i="22"/>
  <c r="AG88" i="22"/>
  <c r="AG40" i="22"/>
  <c r="AG38" i="22"/>
  <c r="AG37" i="22"/>
  <c r="AG36" i="22"/>
  <c r="AG34" i="22"/>
  <c r="AG30" i="22"/>
  <c r="AG26" i="22"/>
  <c r="AG21" i="22"/>
  <c r="AG20" i="22"/>
  <c r="AG18" i="22"/>
  <c r="AG17" i="22"/>
  <c r="AG16" i="22"/>
  <c r="AG15" i="22"/>
  <c r="AG14" i="22"/>
  <c r="CC23" i="22"/>
  <c r="CC24" i="22"/>
  <c r="CC25" i="22"/>
  <c r="CC26" i="22"/>
  <c r="CC27" i="22"/>
  <c r="CC28" i="22"/>
  <c r="CC29" i="22"/>
  <c r="CC30" i="22"/>
  <c r="CC31" i="22"/>
  <c r="CC32" i="22"/>
  <c r="CC33" i="22"/>
  <c r="CC34" i="22"/>
  <c r="CC35" i="22"/>
  <c r="CC36" i="22"/>
  <c r="CC37" i="22"/>
  <c r="CC38" i="22"/>
  <c r="CC39" i="22"/>
  <c r="CC40" i="22"/>
  <c r="CC41" i="22"/>
  <c r="CC42" i="22"/>
  <c r="CC43" i="22"/>
  <c r="CC44" i="22"/>
  <c r="CC45" i="22"/>
  <c r="CC46" i="22"/>
  <c r="CC47" i="22"/>
  <c r="AH51" i="22"/>
  <c r="A8" i="14"/>
  <c r="A12" i="14"/>
  <c r="A16" i="14"/>
  <c r="A20" i="14"/>
  <c r="A24" i="14"/>
  <c r="A28" i="14"/>
  <c r="A32" i="14"/>
  <c r="A36" i="14"/>
  <c r="Y109" i="14"/>
  <c r="Y106" i="14"/>
  <c r="Y103" i="14"/>
  <c r="Y100" i="14"/>
  <c r="Y97" i="14"/>
  <c r="Y94" i="14"/>
  <c r="Y91" i="14"/>
  <c r="E74" i="22"/>
  <c r="E76" i="22"/>
  <c r="C68" i="22"/>
  <c r="C69" i="22"/>
  <c r="C70" i="22"/>
  <c r="C71" i="22"/>
  <c r="C72" i="22"/>
  <c r="C73" i="22"/>
  <c r="C74" i="22"/>
  <c r="C75" i="22"/>
  <c r="C76" i="22"/>
  <c r="C77" i="22"/>
  <c r="C78" i="22"/>
  <c r="C79" i="22"/>
  <c r="C80" i="22"/>
  <c r="C81" i="22"/>
  <c r="A68" i="22"/>
  <c r="A69" i="22"/>
  <c r="A70" i="22"/>
  <c r="A71" i="22"/>
  <c r="A72" i="22"/>
  <c r="A73" i="22"/>
  <c r="A74" i="22"/>
  <c r="A75" i="22"/>
  <c r="A76" i="22"/>
  <c r="A77" i="22"/>
  <c r="A78" i="22"/>
  <c r="A79" i="22"/>
  <c r="A80" i="22"/>
  <c r="A81" i="22"/>
  <c r="E81" i="22"/>
  <c r="E16" i="22"/>
  <c r="C86" i="22"/>
  <c r="E38" i="22"/>
  <c r="E59" i="22"/>
  <c r="E55" i="22"/>
  <c r="E60" i="22"/>
  <c r="E36" i="22"/>
  <c r="E37" i="22"/>
  <c r="B103" i="17"/>
  <c r="B104" i="17"/>
  <c r="AG39" i="22"/>
  <c r="AG13" i="22"/>
  <c r="F13" i="22"/>
  <c r="B109" i="17"/>
  <c r="AH39" i="22"/>
  <c r="AH13" i="22"/>
  <c r="G13" i="22"/>
  <c r="C109" i="17"/>
  <c r="AI38" i="22"/>
  <c r="AI13" i="22"/>
  <c r="H13" i="22"/>
  <c r="D109" i="17"/>
  <c r="AJ38" i="22"/>
  <c r="AJ13" i="22"/>
  <c r="I13" i="22"/>
  <c r="E109" i="17"/>
  <c r="AK39" i="22"/>
  <c r="AK13" i="22"/>
  <c r="J13" i="22"/>
  <c r="F109" i="17"/>
  <c r="AL39" i="22"/>
  <c r="AL13" i="22"/>
  <c r="K13" i="22"/>
  <c r="G109" i="17"/>
  <c r="AM39" i="22"/>
  <c r="AM13" i="22"/>
  <c r="L13" i="22"/>
  <c r="H109" i="17"/>
  <c r="A100" i="17"/>
  <c r="M100" i="17"/>
  <c r="AL188" i="17"/>
  <c r="AO188" i="17"/>
  <c r="AF194" i="17"/>
  <c r="AF195" i="17"/>
  <c r="AI191" i="17"/>
  <c r="AI192" i="17"/>
  <c r="AL191" i="17"/>
  <c r="AL192" i="17"/>
  <c r="AO191" i="17"/>
  <c r="AO192" i="17"/>
  <c r="AR191" i="17"/>
  <c r="AR192" i="17"/>
  <c r="AU191" i="17"/>
  <c r="AU192" i="17"/>
  <c r="AX191" i="17"/>
  <c r="AX192" i="17"/>
  <c r="AI193" i="17"/>
  <c r="AL193" i="17"/>
  <c r="AO193" i="17"/>
  <c r="AR193" i="17"/>
  <c r="AU193" i="17"/>
  <c r="AX193" i="17"/>
  <c r="AF188" i="17"/>
  <c r="AF189" i="17"/>
  <c r="AF190" i="17"/>
  <c r="AF191" i="17"/>
  <c r="AF192" i="17"/>
  <c r="AF193" i="17"/>
  <c r="E26" i="22"/>
  <c r="A23" i="22"/>
  <c r="A24" i="22"/>
  <c r="A25" i="22"/>
  <c r="A26" i="22"/>
  <c r="A27" i="22"/>
  <c r="A28" i="22"/>
  <c r="A29" i="22"/>
  <c r="A30" i="22"/>
  <c r="A31" i="22"/>
  <c r="A32" i="22"/>
  <c r="A33" i="22"/>
  <c r="A34" i="22"/>
  <c r="A35" i="22"/>
  <c r="A36" i="22"/>
  <c r="A37" i="22"/>
  <c r="A38" i="22"/>
  <c r="A15" i="22"/>
  <c r="A16" i="22"/>
  <c r="A17" i="22"/>
  <c r="A18" i="22"/>
  <c r="A19" i="22"/>
  <c r="A20" i="22"/>
  <c r="A21" i="22"/>
  <c r="A22" i="22"/>
  <c r="AX188" i="17"/>
  <c r="AX189" i="17"/>
  <c r="AX190" i="17"/>
  <c r="AU188" i="17"/>
  <c r="AU189" i="17"/>
  <c r="AU190" i="17"/>
  <c r="AR188" i="17"/>
  <c r="AR189" i="17"/>
  <c r="AR190" i="17"/>
  <c r="AO189" i="17"/>
  <c r="AO190" i="17"/>
  <c r="AL189" i="17"/>
  <c r="AL190" i="17"/>
  <c r="AI188" i="17"/>
  <c r="AI189" i="17"/>
  <c r="AI190" i="17"/>
  <c r="AE189" i="17"/>
  <c r="AE186" i="17"/>
  <c r="A90" i="22"/>
  <c r="E90" i="22"/>
  <c r="O14" i="22"/>
  <c r="O15" i="22"/>
  <c r="O16" i="22"/>
  <c r="O17" i="22"/>
  <c r="O18" i="22"/>
  <c r="O19" i="22"/>
  <c r="O20" i="22"/>
  <c r="O21" i="22"/>
  <c r="E89" i="22"/>
  <c r="E61" i="22"/>
  <c r="E88" i="22"/>
  <c r="Y139" i="14"/>
  <c r="L140" i="14"/>
  <c r="L139" i="14"/>
  <c r="Y136" i="14"/>
  <c r="L137" i="14"/>
  <c r="L136" i="14"/>
  <c r="Y133" i="14"/>
  <c r="L134" i="14"/>
  <c r="L133" i="14"/>
  <c r="Y130" i="14"/>
  <c r="L131" i="14"/>
  <c r="L130" i="14"/>
  <c r="Y127" i="14"/>
  <c r="L128" i="14"/>
  <c r="L127" i="14"/>
  <c r="Y124" i="14"/>
  <c r="L125" i="14"/>
  <c r="L124" i="14"/>
  <c r="Y121" i="14"/>
  <c r="L122" i="14"/>
  <c r="L121" i="14"/>
  <c r="Y118" i="14"/>
  <c r="L119" i="14"/>
  <c r="L118" i="14"/>
  <c r="Y115" i="14"/>
  <c r="L116" i="14"/>
  <c r="L115" i="14"/>
  <c r="Y112" i="14"/>
  <c r="L113" i="14"/>
  <c r="L110" i="14"/>
  <c r="L107" i="14"/>
  <c r="L106" i="14"/>
  <c r="L104" i="14"/>
  <c r="L103" i="14"/>
  <c r="L101" i="14"/>
  <c r="L100" i="14"/>
  <c r="L98" i="14"/>
  <c r="L97" i="14"/>
  <c r="L95" i="14"/>
  <c r="L94" i="14"/>
  <c r="L92" i="14"/>
  <c r="L91" i="14"/>
  <c r="Y88" i="14"/>
  <c r="L89" i="14"/>
  <c r="L88" i="14"/>
  <c r="Y85" i="14"/>
  <c r="L84" i="14"/>
  <c r="L86" i="14"/>
  <c r="A76" i="14"/>
  <c r="L78" i="14"/>
  <c r="L77" i="14"/>
  <c r="L75" i="14"/>
  <c r="A72" i="14"/>
  <c r="L74" i="14"/>
  <c r="L73" i="14"/>
  <c r="L72" i="14"/>
  <c r="L71" i="14"/>
  <c r="A68" i="14"/>
  <c r="L70" i="14"/>
  <c r="L69" i="14"/>
  <c r="L67" i="14"/>
  <c r="A64" i="14"/>
  <c r="L66" i="14"/>
  <c r="L65" i="14"/>
  <c r="L64" i="14"/>
  <c r="L63" i="14"/>
  <c r="A60" i="14"/>
  <c r="L62" i="14"/>
  <c r="L61" i="14"/>
  <c r="L59" i="14"/>
  <c r="A56" i="14"/>
  <c r="L58" i="14"/>
  <c r="L57" i="14"/>
  <c r="L56" i="14"/>
  <c r="L55" i="14"/>
  <c r="A52" i="14"/>
  <c r="L54" i="14"/>
  <c r="L53" i="14"/>
  <c r="L51" i="14"/>
  <c r="A48" i="14"/>
  <c r="L50" i="14"/>
  <c r="L49" i="14"/>
  <c r="L48" i="14"/>
  <c r="L47" i="14"/>
  <c r="A44" i="14"/>
  <c r="L46" i="14"/>
  <c r="L45" i="14"/>
  <c r="L43" i="14"/>
  <c r="A40" i="14"/>
  <c r="L42" i="14"/>
  <c r="L41" i="14"/>
  <c r="L40" i="14"/>
  <c r="L39" i="14"/>
  <c r="L38" i="14"/>
  <c r="L35" i="14"/>
  <c r="L34" i="14"/>
  <c r="L33" i="14"/>
  <c r="L32" i="14"/>
  <c r="L31" i="14"/>
  <c r="L30" i="14"/>
  <c r="L29" i="14"/>
  <c r="L27" i="14"/>
  <c r="L26" i="14"/>
  <c r="L25" i="14"/>
  <c r="L24" i="14"/>
  <c r="L23" i="14"/>
  <c r="L22" i="14"/>
  <c r="L21" i="14"/>
  <c r="L19" i="14"/>
  <c r="L18" i="14"/>
  <c r="L17" i="14"/>
  <c r="L16" i="14"/>
  <c r="L15" i="14"/>
  <c r="L14" i="14"/>
  <c r="L13" i="14"/>
  <c r="L11" i="14"/>
  <c r="L10" i="14"/>
  <c r="L9" i="14"/>
  <c r="L8" i="14"/>
  <c r="L7" i="14"/>
  <c r="A4" i="14"/>
  <c r="L6" i="14"/>
  <c r="L5" i="14"/>
  <c r="L3" i="14"/>
  <c r="X66" i="15"/>
  <c r="K67" i="15"/>
  <c r="K66" i="15"/>
  <c r="K65" i="15"/>
  <c r="X63" i="15"/>
  <c r="K64" i="15"/>
  <c r="K63" i="15"/>
  <c r="K62" i="15"/>
  <c r="X60" i="15"/>
  <c r="K61" i="15"/>
  <c r="K60" i="15"/>
  <c r="X57" i="15"/>
  <c r="K58" i="15"/>
  <c r="K57" i="15"/>
  <c r="X54" i="15"/>
  <c r="K55" i="15"/>
  <c r="K54" i="15"/>
  <c r="X51" i="15"/>
  <c r="K52" i="15"/>
  <c r="A30" i="15"/>
  <c r="K32" i="15"/>
  <c r="K31" i="15"/>
  <c r="K30" i="15"/>
  <c r="K29" i="15"/>
  <c r="A26" i="15"/>
  <c r="K28" i="15"/>
  <c r="K27" i="15"/>
  <c r="K25" i="15"/>
  <c r="A22" i="15"/>
  <c r="K24" i="15"/>
  <c r="K23" i="15"/>
  <c r="K21" i="15"/>
  <c r="A18" i="15"/>
  <c r="K20" i="15"/>
  <c r="K19" i="15"/>
  <c r="K18" i="15"/>
  <c r="K17" i="15"/>
  <c r="A14" i="15"/>
  <c r="K16" i="15"/>
  <c r="K15" i="15"/>
  <c r="A10" i="15"/>
  <c r="K12" i="15"/>
  <c r="AE195" i="17"/>
  <c r="M196" i="17"/>
  <c r="AE192" i="17"/>
  <c r="M193" i="17"/>
  <c r="M187" i="17"/>
  <c r="AE183" i="17"/>
  <c r="M184" i="17"/>
  <c r="AE180" i="17"/>
  <c r="M181" i="17"/>
  <c r="AE177" i="17"/>
  <c r="M178" i="17"/>
  <c r="AE174" i="17"/>
  <c r="M175" i="17"/>
  <c r="AE171" i="17"/>
  <c r="M172" i="17"/>
  <c r="AE168" i="17"/>
  <c r="M169" i="17"/>
  <c r="AE165" i="17"/>
  <c r="M166" i="17"/>
  <c r="AE162" i="17"/>
  <c r="M163" i="17"/>
  <c r="AE159" i="17"/>
  <c r="M160" i="17"/>
  <c r="AE156" i="17"/>
  <c r="M157" i="17"/>
  <c r="AE153" i="17"/>
  <c r="M154" i="17"/>
  <c r="AE150" i="17"/>
  <c r="M151" i="17"/>
  <c r="AE147" i="17"/>
  <c r="M148" i="17"/>
  <c r="AE144" i="17"/>
  <c r="M145" i="17"/>
  <c r="AE141" i="17"/>
  <c r="M142" i="17"/>
  <c r="AE138" i="17"/>
  <c r="M139" i="17"/>
  <c r="AE135" i="17"/>
  <c r="M136" i="17"/>
  <c r="AE132" i="17"/>
  <c r="M133" i="17"/>
  <c r="AE129" i="17"/>
  <c r="M130" i="17"/>
  <c r="AE126" i="17"/>
  <c r="M127" i="17"/>
  <c r="AE123" i="17"/>
  <c r="M124" i="17"/>
  <c r="AE120" i="17"/>
  <c r="M121" i="17"/>
  <c r="AE117" i="17"/>
  <c r="M116" i="17"/>
  <c r="A104" i="17"/>
  <c r="M106" i="17"/>
  <c r="M103" i="17"/>
  <c r="M102" i="17"/>
  <c r="M101" i="17"/>
  <c r="M99" i="17"/>
  <c r="A96" i="17"/>
  <c r="M98" i="17"/>
  <c r="A92" i="17"/>
  <c r="M94" i="17"/>
  <c r="M93" i="17"/>
  <c r="M91" i="17"/>
  <c r="A88" i="17"/>
  <c r="M90" i="17"/>
  <c r="A84" i="17"/>
  <c r="M86" i="17"/>
  <c r="A80" i="17"/>
  <c r="M82" i="17"/>
  <c r="M79" i="17"/>
  <c r="A76" i="17"/>
  <c r="M78" i="17"/>
  <c r="A72" i="17"/>
  <c r="M74" i="17"/>
  <c r="A68" i="17"/>
  <c r="M70" i="17"/>
  <c r="M67" i="17"/>
  <c r="A64" i="17"/>
  <c r="M66" i="17"/>
  <c r="M63" i="17"/>
  <c r="A60" i="17"/>
  <c r="M62" i="17"/>
  <c r="M59" i="17"/>
  <c r="A56" i="17"/>
  <c r="M58" i="17"/>
  <c r="M57" i="17"/>
  <c r="M55" i="17"/>
  <c r="A52" i="17"/>
  <c r="M54" i="17"/>
  <c r="A48" i="17"/>
  <c r="M50" i="17"/>
  <c r="M49" i="17"/>
  <c r="M47" i="17"/>
  <c r="A44" i="17"/>
  <c r="M46" i="17"/>
  <c r="A40" i="17"/>
  <c r="M42" i="17"/>
  <c r="M39" i="17"/>
  <c r="A36" i="17"/>
  <c r="M38" i="17"/>
  <c r="A32" i="17"/>
  <c r="M34" i="17"/>
  <c r="A28" i="17"/>
  <c r="M30" i="17"/>
  <c r="M27" i="17"/>
  <c r="A24" i="17"/>
  <c r="M26" i="17"/>
  <c r="M23" i="17"/>
  <c r="A20" i="17"/>
  <c r="M22" i="17"/>
  <c r="M21" i="17"/>
  <c r="M19" i="17"/>
  <c r="A16" i="17"/>
  <c r="M18" i="17"/>
  <c r="A12" i="17"/>
  <c r="M14" i="17"/>
  <c r="M11" i="17"/>
  <c r="A8" i="17"/>
  <c r="M10" i="17"/>
  <c r="M7" i="17"/>
  <c r="A4" i="17"/>
  <c r="M6" i="17"/>
  <c r="M5" i="17"/>
  <c r="M3" i="17"/>
  <c r="A96" i="16"/>
  <c r="K98" i="16"/>
  <c r="K97" i="16"/>
  <c r="K95" i="16"/>
  <c r="A92" i="16"/>
  <c r="K94" i="16"/>
  <c r="K93" i="16"/>
  <c r="K92" i="16"/>
  <c r="K91" i="16"/>
  <c r="A88" i="16"/>
  <c r="K90" i="16"/>
  <c r="K87" i="16"/>
  <c r="A84" i="16"/>
  <c r="K86" i="16"/>
  <c r="K85" i="16"/>
  <c r="K83" i="16"/>
  <c r="A80" i="16"/>
  <c r="K82" i="16"/>
  <c r="K81" i="16"/>
  <c r="K80" i="16"/>
  <c r="K79" i="16"/>
  <c r="A76" i="16"/>
  <c r="K78" i="16"/>
  <c r="K77" i="16"/>
  <c r="K75" i="16"/>
  <c r="A72" i="16"/>
  <c r="K74" i="16"/>
  <c r="K73" i="16"/>
  <c r="K71" i="16"/>
  <c r="A68" i="16"/>
  <c r="K70" i="16"/>
  <c r="K69" i="16"/>
  <c r="K68" i="16"/>
  <c r="K67" i="16"/>
  <c r="A64" i="16"/>
  <c r="K66" i="16"/>
  <c r="K65" i="16"/>
  <c r="K63" i="16"/>
  <c r="A60" i="16"/>
  <c r="K62" i="16"/>
  <c r="K61" i="16"/>
  <c r="K60" i="16"/>
  <c r="K59" i="16"/>
  <c r="A56" i="16"/>
  <c r="K58" i="16"/>
  <c r="K55" i="16"/>
  <c r="A52" i="16"/>
  <c r="K54" i="16"/>
  <c r="K53" i="16"/>
  <c r="K51" i="16"/>
  <c r="A48" i="16"/>
  <c r="K50" i="16"/>
  <c r="K47" i="16"/>
  <c r="A44" i="16"/>
  <c r="K46" i="16"/>
  <c r="K45" i="16"/>
  <c r="K44" i="16"/>
  <c r="K43" i="16"/>
  <c r="A40" i="16"/>
  <c r="K42" i="16"/>
  <c r="K39" i="16"/>
  <c r="A36" i="16"/>
  <c r="K38" i="16"/>
  <c r="K37" i="16"/>
  <c r="K36" i="16"/>
  <c r="K35" i="16"/>
  <c r="A32" i="16"/>
  <c r="K34" i="16"/>
  <c r="K33" i="16"/>
  <c r="K31" i="16"/>
  <c r="A28" i="16"/>
  <c r="K30" i="16"/>
  <c r="K29" i="16"/>
  <c r="K28" i="16"/>
  <c r="K27" i="16"/>
  <c r="A24" i="16"/>
  <c r="K26" i="16"/>
  <c r="K25" i="16"/>
  <c r="K23" i="16"/>
  <c r="A20" i="16"/>
  <c r="K22" i="16"/>
  <c r="K21" i="16"/>
  <c r="K20" i="16"/>
  <c r="K19" i="16"/>
  <c r="A16" i="16"/>
  <c r="K18" i="16"/>
  <c r="K17" i="16"/>
  <c r="K15" i="16"/>
  <c r="A12" i="16"/>
  <c r="K14" i="16"/>
  <c r="K13" i="16"/>
  <c r="K12" i="16"/>
  <c r="K11" i="16"/>
  <c r="A8" i="16"/>
  <c r="K10" i="16"/>
  <c r="K9" i="16"/>
  <c r="K7" i="16"/>
  <c r="A4" i="16"/>
  <c r="K6" i="16"/>
  <c r="K5" i="16"/>
  <c r="K4" i="16"/>
  <c r="K3" i="16"/>
  <c r="AA176" i="16"/>
  <c r="K177" i="16"/>
  <c r="K176" i="16"/>
  <c r="AA173" i="16"/>
  <c r="K174" i="16"/>
  <c r="K173" i="16"/>
  <c r="AA170" i="16"/>
  <c r="K171" i="16"/>
  <c r="AA167" i="16"/>
  <c r="K168" i="16"/>
  <c r="AA164" i="16"/>
  <c r="K165" i="16"/>
  <c r="K164" i="16"/>
  <c r="AA161" i="16"/>
  <c r="K162" i="16"/>
  <c r="K161" i="16"/>
  <c r="AA158" i="16"/>
  <c r="K159" i="16"/>
  <c r="K158" i="16"/>
  <c r="AA155" i="16"/>
  <c r="K156" i="16"/>
  <c r="K155" i="16"/>
  <c r="K154" i="16"/>
  <c r="AA152" i="16"/>
  <c r="K153" i="16"/>
  <c r="K152" i="16"/>
  <c r="K151" i="16"/>
  <c r="AA149" i="16"/>
  <c r="K150" i="16"/>
  <c r="K149" i="16"/>
  <c r="K148" i="16"/>
  <c r="AA146" i="16"/>
  <c r="K147" i="16"/>
  <c r="K146" i="16"/>
  <c r="K145" i="16"/>
  <c r="AA143" i="16"/>
  <c r="K144" i="16"/>
  <c r="K143" i="16"/>
  <c r="AA140" i="16"/>
  <c r="K141" i="16"/>
  <c r="K140" i="16"/>
  <c r="K139" i="16"/>
  <c r="AA137" i="16"/>
  <c r="K138" i="16"/>
  <c r="K137" i="16"/>
  <c r="K136" i="16"/>
  <c r="AA134" i="16"/>
  <c r="K135" i="16"/>
  <c r="K134" i="16"/>
  <c r="AA131" i="16"/>
  <c r="K132" i="16"/>
  <c r="K131" i="16"/>
  <c r="K130" i="16"/>
  <c r="AA128" i="16"/>
  <c r="K129" i="16"/>
  <c r="K128" i="16"/>
  <c r="K127" i="16"/>
  <c r="AA125" i="16"/>
  <c r="K126" i="16"/>
  <c r="K125" i="16"/>
  <c r="K124" i="16"/>
  <c r="AA122" i="16"/>
  <c r="K123" i="16"/>
  <c r="K122" i="16"/>
  <c r="K121" i="16"/>
  <c r="AA119" i="16"/>
  <c r="K120" i="16"/>
  <c r="K119" i="16"/>
  <c r="K118" i="16"/>
  <c r="AA116" i="16"/>
  <c r="K117" i="16"/>
  <c r="K116" i="16"/>
  <c r="K115" i="16"/>
  <c r="AA113" i="16"/>
  <c r="K114" i="16"/>
  <c r="K113" i="16"/>
  <c r="K112" i="16"/>
  <c r="AA110" i="16"/>
  <c r="K111" i="16"/>
  <c r="K110" i="16"/>
  <c r="K109" i="16"/>
  <c r="AA107" i="16"/>
  <c r="K108" i="16"/>
  <c r="K107" i="16"/>
  <c r="K106" i="16"/>
  <c r="A91" i="22"/>
  <c r="A92" i="22"/>
  <c r="A82" i="22"/>
  <c r="A83" i="22"/>
  <c r="A84" i="22"/>
  <c r="A85" i="22"/>
  <c r="A62" i="22"/>
  <c r="E62" i="22"/>
  <c r="A63" i="22"/>
  <c r="E63" i="22"/>
  <c r="A64" i="22"/>
  <c r="E64" i="22"/>
  <c r="A65" i="22"/>
  <c r="E65" i="22"/>
  <c r="E50" i="22"/>
  <c r="A53" i="22"/>
  <c r="A54" i="22"/>
  <c r="A55" i="22"/>
  <c r="A56" i="22"/>
  <c r="A61" i="22"/>
  <c r="A52" i="22"/>
  <c r="E39" i="22"/>
  <c r="E40" i="22"/>
  <c r="A39" i="22"/>
  <c r="A40" i="22"/>
  <c r="A89" i="22"/>
  <c r="A51" i="22"/>
  <c r="A50" i="22"/>
  <c r="A14" i="22"/>
  <c r="E41" i="22"/>
  <c r="E66" i="22"/>
  <c r="A59" i="22"/>
  <c r="A60" i="22"/>
  <c r="A58" i="22"/>
  <c r="A57" i="22"/>
  <c r="A49" i="22"/>
  <c r="O104" i="22"/>
  <c r="O23" i="22"/>
  <c r="O26" i="22"/>
  <c r="O27" i="22"/>
  <c r="O28" i="22"/>
  <c r="O107" i="22"/>
  <c r="A67" i="22"/>
  <c r="A66" i="22"/>
  <c r="A48" i="22"/>
  <c r="A47" i="22"/>
  <c r="A45" i="22"/>
  <c r="A44" i="22"/>
  <c r="O105" i="22"/>
  <c r="A41" i="22"/>
  <c r="A42" i="22"/>
  <c r="E47" i="22"/>
  <c r="E48" i="22"/>
  <c r="A43" i="22"/>
  <c r="A102" i="22"/>
  <c r="AK86" i="22"/>
  <c r="J86" i="22"/>
  <c r="AI41" i="22"/>
  <c r="H41" i="22"/>
  <c r="A4" i="25"/>
  <c r="A5" i="25"/>
  <c r="A4" i="24"/>
  <c r="A5" i="24"/>
  <c r="A13" i="22"/>
  <c r="E13" i="22"/>
  <c r="A86" i="22"/>
  <c r="A87" i="22"/>
  <c r="A88" i="22"/>
  <c r="F99" i="22"/>
  <c r="G99" i="22"/>
  <c r="H99" i="22"/>
  <c r="I99" i="22"/>
  <c r="J99" i="22"/>
  <c r="K99" i="22"/>
  <c r="L99" i="22"/>
  <c r="K35" i="17"/>
  <c r="K39" i="17"/>
  <c r="AS100" i="16"/>
  <c r="B7" i="15"/>
  <c r="C7" i="15"/>
  <c r="D7" i="15"/>
  <c r="E7" i="15"/>
  <c r="F7" i="15"/>
  <c r="G7" i="15"/>
  <c r="H7" i="15"/>
  <c r="C1" i="14"/>
  <c r="D1" i="14"/>
  <c r="E1" i="14"/>
  <c r="F1" i="14"/>
  <c r="G1" i="14"/>
  <c r="H1" i="14"/>
  <c r="R1" i="1"/>
  <c r="R2" i="1"/>
  <c r="O30" i="22"/>
  <c r="AL86" i="22"/>
  <c r="K86" i="22"/>
  <c r="AG86" i="22"/>
  <c r="F86" i="22"/>
  <c r="AL66" i="22"/>
  <c r="K66" i="22"/>
  <c r="AH66" i="22"/>
  <c r="G66" i="22"/>
  <c r="AJ66" i="22"/>
  <c r="I66" i="22"/>
  <c r="AM86" i="22"/>
  <c r="L86" i="22"/>
  <c r="AM66" i="22"/>
  <c r="L66" i="22"/>
  <c r="AI66" i="22"/>
  <c r="H66" i="22"/>
  <c r="AJ41" i="22"/>
  <c r="I41" i="22"/>
  <c r="AM41" i="22"/>
  <c r="L41" i="22"/>
  <c r="AH41" i="22"/>
  <c r="G41" i="22"/>
  <c r="AK66" i="22"/>
  <c r="J66" i="22"/>
  <c r="AK41" i="22"/>
  <c r="J41" i="22"/>
  <c r="AP199" i="17"/>
  <c r="AL41" i="22"/>
  <c r="K41" i="22"/>
  <c r="AH86" i="22"/>
  <c r="G86" i="22"/>
  <c r="K9" i="15"/>
  <c r="K51" i="15"/>
  <c r="AJ86" i="22"/>
  <c r="I86" i="22"/>
  <c r="AI86" i="22"/>
  <c r="H86" i="22"/>
  <c r="K56" i="15"/>
  <c r="K11" i="15"/>
  <c r="K10" i="15"/>
  <c r="K14" i="15"/>
  <c r="K50" i="15"/>
  <c r="K53" i="15"/>
  <c r="K22" i="15"/>
  <c r="K59" i="15"/>
  <c r="O66" i="22"/>
  <c r="K170" i="16"/>
  <c r="K167" i="16"/>
  <c r="K157" i="16"/>
  <c r="K72" i="16"/>
  <c r="K169" i="16"/>
  <c r="K84" i="16"/>
  <c r="L37" i="14"/>
  <c r="L109" i="14"/>
  <c r="L112" i="14"/>
  <c r="K133" i="16"/>
  <c r="K41" i="16"/>
  <c r="M13" i="17"/>
  <c r="M15" i="17"/>
  <c r="M29" i="17"/>
  <c r="M31" i="17"/>
  <c r="M69" i="17"/>
  <c r="M71" i="17"/>
  <c r="M87" i="17"/>
  <c r="M9" i="17"/>
  <c r="M17" i="17"/>
  <c r="M25" i="17"/>
  <c r="M33" i="17"/>
  <c r="M41" i="17"/>
  <c r="M43" i="17"/>
  <c r="M65" i="17"/>
  <c r="M73" i="17"/>
  <c r="M81" i="17"/>
  <c r="M89" i="17"/>
  <c r="M35" i="17"/>
  <c r="M37" i="17"/>
  <c r="M75" i="17"/>
  <c r="M77" i="17"/>
  <c r="M45" i="17"/>
  <c r="M51" i="17"/>
  <c r="M53" i="17"/>
  <c r="M61" i="17"/>
  <c r="M83" i="17"/>
  <c r="M85" i="17"/>
  <c r="M4" i="17"/>
  <c r="M12" i="17"/>
  <c r="M20" i="17"/>
  <c r="M28" i="17"/>
  <c r="M36" i="17"/>
  <c r="M44" i="17"/>
  <c r="M52" i="17"/>
  <c r="M60" i="17"/>
  <c r="M68" i="17"/>
  <c r="M76" i="17"/>
  <c r="M84" i="17"/>
  <c r="M92" i="17"/>
  <c r="M95" i="17"/>
  <c r="M105" i="17"/>
  <c r="M118" i="17"/>
  <c r="M120" i="17"/>
  <c r="M123" i="17"/>
  <c r="M126" i="17"/>
  <c r="M129" i="17"/>
  <c r="M132" i="17"/>
  <c r="M135" i="17"/>
  <c r="M138" i="17"/>
  <c r="M141" i="17"/>
  <c r="M144" i="17"/>
  <c r="M147" i="17"/>
  <c r="M150" i="17"/>
  <c r="M153" i="17"/>
  <c r="M156" i="17"/>
  <c r="M159" i="17"/>
  <c r="M162" i="17"/>
  <c r="M165" i="17"/>
  <c r="M168" i="17"/>
  <c r="M171" i="17"/>
  <c r="M174" i="17"/>
  <c r="M177" i="17"/>
  <c r="M180" i="17"/>
  <c r="AY199" i="17"/>
  <c r="AV199" i="17"/>
  <c r="AS199" i="17"/>
  <c r="C58" i="14"/>
  <c r="D6" i="14"/>
  <c r="D10" i="14"/>
  <c r="D14" i="14"/>
  <c r="D22" i="14"/>
  <c r="D30" i="14"/>
  <c r="D46" i="14"/>
  <c r="D50" i="14"/>
  <c r="D58" i="14"/>
  <c r="E6" i="14"/>
  <c r="E14" i="14"/>
  <c r="E18" i="14"/>
  <c r="E22" i="14"/>
  <c r="E26" i="14"/>
  <c r="E30" i="14"/>
  <c r="E34" i="14"/>
  <c r="E46" i="14"/>
  <c r="E50" i="14"/>
  <c r="E54" i="14"/>
  <c r="E58" i="14"/>
  <c r="F10" i="14"/>
  <c r="F18" i="14"/>
  <c r="F26" i="14"/>
  <c r="F30" i="14"/>
  <c r="F34" i="14"/>
  <c r="F46" i="14"/>
  <c r="F50" i="14"/>
  <c r="F54" i="14"/>
  <c r="B70" i="14"/>
  <c r="B74" i="14"/>
  <c r="B78" i="14"/>
  <c r="C70" i="14"/>
  <c r="C74" i="14"/>
  <c r="C78" i="14"/>
  <c r="D70" i="14"/>
  <c r="D74" i="14"/>
  <c r="D78" i="14"/>
  <c r="E70" i="14"/>
  <c r="E74" i="14"/>
  <c r="E78" i="14"/>
  <c r="F70" i="14"/>
  <c r="F74" i="14"/>
  <c r="F78" i="14"/>
  <c r="G70" i="14"/>
  <c r="G74" i="14"/>
  <c r="G78" i="14"/>
  <c r="H70" i="14"/>
  <c r="H78" i="14"/>
  <c r="CC48" i="22"/>
  <c r="B10" i="14"/>
  <c r="B18" i="14"/>
  <c r="B26" i="14"/>
  <c r="B30" i="14"/>
  <c r="B34" i="14"/>
  <c r="B46" i="14"/>
  <c r="B50" i="14"/>
  <c r="B58" i="14"/>
  <c r="D18" i="14"/>
  <c r="D26" i="14"/>
  <c r="D34" i="14"/>
  <c r="D54" i="14"/>
  <c r="E10" i="14"/>
  <c r="F6" i="14"/>
  <c r="F14" i="14"/>
  <c r="F22" i="14"/>
  <c r="G18" i="14"/>
  <c r="G26" i="14"/>
  <c r="G30" i="14"/>
  <c r="G34" i="14"/>
  <c r="G46" i="14"/>
  <c r="G50" i="14"/>
  <c r="G54" i="14"/>
  <c r="H10" i="14"/>
  <c r="H18" i="14"/>
  <c r="H26" i="14"/>
  <c r="H30" i="14"/>
  <c r="H34" i="14"/>
  <c r="H46" i="14"/>
  <c r="H50" i="14"/>
  <c r="H54" i="14"/>
  <c r="H58" i="14"/>
  <c r="D38" i="14"/>
  <c r="D42" i="14"/>
  <c r="E38" i="14"/>
  <c r="E42" i="14"/>
  <c r="F42" i="14"/>
  <c r="H74" i="14"/>
  <c r="B6" i="14"/>
  <c r="B14" i="14"/>
  <c r="B22" i="14"/>
  <c r="C6" i="14"/>
  <c r="C10" i="14"/>
  <c r="C14" i="14"/>
  <c r="C18" i="14"/>
  <c r="C22" i="14"/>
  <c r="C26" i="14"/>
  <c r="C30" i="14"/>
  <c r="C34" i="14"/>
  <c r="C46" i="14"/>
  <c r="C50" i="14"/>
  <c r="C54" i="14"/>
  <c r="F58" i="14"/>
  <c r="G6" i="14"/>
  <c r="G10" i="14"/>
  <c r="G14" i="14"/>
  <c r="G22" i="14"/>
  <c r="H6" i="14"/>
  <c r="H14" i="14"/>
  <c r="H22" i="14"/>
  <c r="B38" i="14"/>
  <c r="B42" i="14"/>
  <c r="B54" i="14"/>
  <c r="C38" i="14"/>
  <c r="C42" i="14"/>
  <c r="F38" i="14"/>
  <c r="G38" i="14"/>
  <c r="G42" i="14"/>
  <c r="G58" i="14"/>
  <c r="H38" i="14"/>
  <c r="H42" i="14"/>
  <c r="AM199" i="17"/>
  <c r="AG199" i="17"/>
  <c r="AJ199" i="17"/>
  <c r="AR100" i="16"/>
  <c r="M195" i="17"/>
  <c r="M192" i="17"/>
  <c r="M97" i="17"/>
  <c r="M183" i="17"/>
  <c r="M186" i="17"/>
  <c r="K88" i="16"/>
  <c r="K166" i="16"/>
  <c r="K89" i="16"/>
  <c r="K160" i="16"/>
  <c r="K163" i="16"/>
  <c r="K172" i="16"/>
  <c r="K175" i="16"/>
  <c r="K8" i="16"/>
  <c r="K16" i="16"/>
  <c r="K24" i="16"/>
  <c r="K32" i="16"/>
  <c r="K40" i="16"/>
  <c r="K49" i="16"/>
  <c r="K57" i="16"/>
  <c r="K64" i="16"/>
  <c r="K76" i="16"/>
  <c r="K96" i="16"/>
  <c r="M8" i="17"/>
  <c r="M16" i="17"/>
  <c r="M24" i="17"/>
  <c r="M32" i="17"/>
  <c r="M40" i="17"/>
  <c r="M48" i="17"/>
  <c r="M56" i="17"/>
  <c r="M64" i="17"/>
  <c r="M72" i="17"/>
  <c r="M80" i="17"/>
  <c r="M88" i="17"/>
  <c r="M96" i="17"/>
  <c r="M104" i="17"/>
  <c r="M117" i="17"/>
  <c r="M119" i="17"/>
  <c r="M122" i="17"/>
  <c r="M125" i="17"/>
  <c r="M128" i="17"/>
  <c r="M131" i="17"/>
  <c r="M134" i="17"/>
  <c r="M137" i="17"/>
  <c r="M140" i="17"/>
  <c r="M143" i="17"/>
  <c r="M146" i="17"/>
  <c r="M149" i="17"/>
  <c r="M152" i="17"/>
  <c r="M155" i="17"/>
  <c r="M158" i="17"/>
  <c r="M161" i="17"/>
  <c r="M164" i="17"/>
  <c r="M167" i="17"/>
  <c r="M170" i="17"/>
  <c r="M173" i="17"/>
  <c r="M176" i="17"/>
  <c r="M179" i="17"/>
  <c r="M182" i="17"/>
  <c r="M185" i="17"/>
  <c r="M191" i="17"/>
  <c r="M194" i="17"/>
  <c r="K13" i="15"/>
  <c r="K26" i="15"/>
  <c r="L4" i="14"/>
  <c r="L12" i="14"/>
  <c r="L20" i="14"/>
  <c r="L28" i="14"/>
  <c r="L36" i="14"/>
  <c r="L44" i="14"/>
  <c r="L52" i="14"/>
  <c r="L60" i="14"/>
  <c r="L68" i="14"/>
  <c r="L76" i="14"/>
  <c r="L85" i="14"/>
  <c r="L87" i="14"/>
  <c r="L90" i="14"/>
  <c r="L93" i="14"/>
  <c r="L96" i="14"/>
  <c r="L99" i="14"/>
  <c r="L102" i="14"/>
  <c r="L105" i="14"/>
  <c r="L108" i="14"/>
  <c r="L111" i="14"/>
  <c r="L114" i="14"/>
  <c r="L117" i="14"/>
  <c r="L120" i="14"/>
  <c r="L123" i="14"/>
  <c r="L126" i="14"/>
  <c r="L129" i="14"/>
  <c r="L132" i="14"/>
  <c r="L135" i="14"/>
  <c r="L138" i="14"/>
  <c r="K56" i="16"/>
  <c r="K142" i="16"/>
  <c r="K52" i="16"/>
  <c r="K48" i="16"/>
  <c r="B2" i="14"/>
  <c r="F12" i="22"/>
  <c r="B8" i="15"/>
  <c r="C8" i="15"/>
  <c r="D8" i="15"/>
  <c r="E8" i="15"/>
  <c r="F8" i="15"/>
  <c r="G8" i="15"/>
  <c r="H8" i="15"/>
  <c r="J9" i="22"/>
  <c r="B2" i="16"/>
  <c r="C2" i="16"/>
  <c r="D2" i="16"/>
  <c r="E2" i="16"/>
  <c r="F2" i="16"/>
  <c r="G2" i="16"/>
  <c r="H2" i="16"/>
  <c r="F11" i="22"/>
  <c r="B1" i="17"/>
  <c r="C1" i="17"/>
  <c r="D1" i="17"/>
  <c r="E1" i="17"/>
  <c r="F1" i="17"/>
  <c r="G1" i="17"/>
  <c r="H1" i="17"/>
  <c r="G11" i="22"/>
  <c r="H11" i="22"/>
  <c r="I11" i="22"/>
  <c r="J11" i="22"/>
  <c r="K11" i="22"/>
  <c r="L11" i="22"/>
  <c r="B1" i="16"/>
  <c r="C1" i="16"/>
  <c r="D1" i="16"/>
  <c r="E1" i="16"/>
  <c r="F1" i="16"/>
  <c r="G1" i="16"/>
  <c r="H1" i="16"/>
  <c r="G12" i="22"/>
  <c r="B2" i="17"/>
  <c r="C2" i="17"/>
  <c r="D2" i="17"/>
  <c r="E2" i="17"/>
  <c r="F2" i="17"/>
  <c r="G2" i="17"/>
  <c r="H2" i="17"/>
  <c r="F101" i="22"/>
  <c r="F100" i="22"/>
  <c r="G100" i="22"/>
  <c r="H100" i="22"/>
  <c r="I100" i="22"/>
  <c r="J100" i="22"/>
  <c r="K100" i="22"/>
  <c r="L100" i="22"/>
  <c r="C2" i="14"/>
  <c r="D2" i="14"/>
  <c r="E2" i="14"/>
  <c r="F2" i="14"/>
  <c r="G2" i="14"/>
  <c r="H2" i="14"/>
  <c r="Z80" i="14"/>
  <c r="AC80" i="14"/>
  <c r="AF80" i="14"/>
  <c r="AI80" i="14"/>
  <c r="AL80" i="14"/>
  <c r="AO80" i="14"/>
  <c r="AR80" i="14"/>
  <c r="G101" i="22"/>
  <c r="H12" i="22"/>
  <c r="I12" i="22"/>
  <c r="H101" i="22"/>
  <c r="J12" i="22"/>
  <c r="I101" i="22"/>
  <c r="J101" i="22"/>
  <c r="K12" i="22"/>
  <c r="L12" i="22"/>
  <c r="L101" i="22"/>
  <c r="K101" i="22"/>
</calcChain>
</file>

<file path=xl/comments1.xml><?xml version="1.0" encoding="utf-8"?>
<comments xmlns="http://schemas.openxmlformats.org/spreadsheetml/2006/main">
  <authors>
    <author>A satisfied Microsoft Office user</author>
  </authors>
  <commentList>
    <comment ref="Z1" authorId="0">
      <text>
        <r>
          <rPr>
            <sz val="8"/>
            <color indexed="81"/>
            <rFont val="Tahoma"/>
            <family val="2"/>
          </rPr>
          <t xml:space="preserve">[Sound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t>
        </r>
      </text>
    </comment>
    <comment ref="Z2" authorId="0">
      <text>
        <r>
          <rPr>
            <sz val="8"/>
            <color indexed="81"/>
            <rFont val="Tahoma"/>
            <family val="2"/>
          </rPr>
          <t xml:space="preserve">[Sound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t>
        </r>
      </text>
    </comment>
    <comment ref="Z3" authorId="0">
      <text>
        <r>
          <rPr>
            <sz val="8"/>
            <color indexed="81"/>
            <rFont val="Tahoma"/>
            <family val="2"/>
          </rPr>
          <t xml:space="preserve">[Sound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t>
        </r>
      </text>
    </comment>
    <comment ref="Z4" authorId="0">
      <text>
        <r>
          <rPr>
            <sz val="8"/>
            <color indexed="81"/>
            <rFont val="Tahoma"/>
            <family val="2"/>
          </rPr>
          <t xml:space="preserve">[Sound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t>
        </r>
      </text>
    </comment>
    <comment ref="Z5" authorId="0">
      <text>
        <r>
          <rPr>
            <sz val="8"/>
            <color indexed="81"/>
            <rFont val="Tahoma"/>
            <family val="2"/>
          </rPr>
          <t xml:space="preserve">[Sound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t>
        </r>
      </text>
    </comment>
    <comment ref="Z6" authorId="0">
      <text>
        <r>
          <rPr>
            <sz val="8"/>
            <color indexed="81"/>
            <rFont val="Tahoma"/>
            <family val="2"/>
          </rPr>
          <t xml:space="preserve">[Sound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t>
        </r>
      </text>
    </comment>
    <comment ref="Z7" authorId="0">
      <text>
        <r>
          <rPr>
            <sz val="8"/>
            <color indexed="81"/>
            <rFont val="Tahoma"/>
            <family val="2"/>
          </rPr>
          <t xml:space="preserve">[Sound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t>
        </r>
      </text>
    </comment>
    <comment ref="Z8" authorId="0">
      <text>
        <r>
          <rPr>
            <sz val="8"/>
            <color indexed="81"/>
            <rFont val="Tahoma"/>
            <family val="2"/>
          </rPr>
          <t xml:space="preserve">[Sound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t>
        </r>
      </text>
    </comment>
    <comment ref="Z9" authorId="0">
      <text>
        <r>
          <rPr>
            <sz val="8"/>
            <color indexed="81"/>
            <rFont val="Tahoma"/>
            <family val="2"/>
          </rPr>
          <t xml:space="preserve">[Sound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t>
        </r>
      </text>
    </comment>
    <comment ref="Z10" authorId="0">
      <text>
        <r>
          <rPr>
            <sz val="8"/>
            <color indexed="81"/>
            <rFont val="Tahoma"/>
            <family val="2"/>
          </rPr>
          <t xml:space="preserve">[Sound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t>
        </r>
      </text>
    </comment>
    <comment ref="Z11" authorId="0">
      <text>
        <r>
          <rPr>
            <sz val="8"/>
            <color indexed="81"/>
            <rFont val="Tahoma"/>
            <family val="2"/>
          </rPr>
          <t xml:space="preserve">[Sound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t>
        </r>
      </text>
    </comment>
    <comment ref="Z12" authorId="0">
      <text>
        <r>
          <rPr>
            <sz val="8"/>
            <color indexed="81"/>
            <rFont val="Tahoma"/>
            <family val="2"/>
          </rPr>
          <t xml:space="preserve">[Sound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t>
        </r>
      </text>
    </comment>
    <comment ref="Z13" authorId="0">
      <text>
        <r>
          <rPr>
            <sz val="8"/>
            <color indexed="81"/>
            <rFont val="Tahoma"/>
            <family val="2"/>
          </rPr>
          <t xml:space="preserve">[Sound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t>
        </r>
      </text>
    </comment>
    <comment ref="Z14" authorId="0">
      <text>
        <r>
          <rPr>
            <sz val="8"/>
            <color indexed="81"/>
            <rFont val="Tahoma"/>
            <family val="2"/>
          </rPr>
          <t xml:space="preserve">[Sound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t>
        </r>
      </text>
    </comment>
    <comment ref="Z15" authorId="0">
      <text>
        <r>
          <rPr>
            <sz val="8"/>
            <color indexed="81"/>
            <rFont val="Tahoma"/>
            <family val="2"/>
          </rPr>
          <t xml:space="preserve">[Sound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t>
        </r>
      </text>
    </comment>
    <comment ref="Z16" authorId="0">
      <text>
        <r>
          <rPr>
            <sz val="8"/>
            <color indexed="81"/>
            <rFont val="Tahoma"/>
            <family val="2"/>
          </rPr>
          <t xml:space="preserve">[Sound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t>
        </r>
      </text>
    </comment>
    <comment ref="Z17" authorId="0">
      <text>
        <r>
          <rPr>
            <sz val="8"/>
            <color indexed="81"/>
            <rFont val="Tahoma"/>
            <family val="2"/>
          </rPr>
          <t xml:space="preserve">[Sound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[Sound not converted]
</t>
        </r>
      </text>
    </comment>
  </commentList>
</comments>
</file>

<file path=xl/comments2.xml><?xml version="1.0" encoding="utf-8"?>
<comments xmlns="http://schemas.openxmlformats.org/spreadsheetml/2006/main">
  <authors>
    <author>Singh, Sarvjit - Houston, TX</author>
    <author>Charles Brian Ensey</author>
  </authors>
  <commentList>
    <comment ref="M48" authorId="0">
      <text>
        <r>
          <rPr>
            <b/>
            <sz val="9"/>
            <color indexed="81"/>
            <rFont val="Tahoma"/>
            <family val="2"/>
          </rPr>
          <t>SSL THRU 9/24/15</t>
        </r>
        <r>
          <rPr>
            <sz val="9"/>
            <color indexed="81"/>
            <rFont val="Tahoma"/>
            <family val="2"/>
          </rPr>
          <t xml:space="preserve">
</t>
        </r>
      </text>
    </comment>
    <comment ref="M74" authorId="1">
      <text>
        <r>
          <rPr>
            <b/>
            <sz val="9"/>
            <color indexed="81"/>
            <rFont val="Tahoma"/>
            <family val="2"/>
          </rPr>
          <t>Charles Brian Ensey:</t>
        </r>
        <r>
          <rPr>
            <sz val="9"/>
            <color indexed="81"/>
            <rFont val="Tahoma"/>
            <family val="2"/>
          </rPr>
          <t xml:space="preserve">
SL THRU 12/31/15</t>
        </r>
      </text>
    </comment>
  </commentList>
</comments>
</file>

<file path=xl/comments3.xml><?xml version="1.0" encoding="utf-8"?>
<comments xmlns="http://schemas.openxmlformats.org/spreadsheetml/2006/main">
  <authors>
    <author>Singh, Sarvjit - Houston, TX</author>
  </authors>
  <commentList>
    <comment ref="J8" authorId="0">
      <text>
        <r>
          <rPr>
            <b/>
            <sz val="9"/>
            <color indexed="81"/>
            <rFont val="Tahoma"/>
            <family val="2"/>
          </rPr>
          <t xml:space="preserve">TACS 
</t>
        </r>
        <r>
          <rPr>
            <sz val="9"/>
            <color indexed="81"/>
            <rFont val="Tahoma"/>
            <family val="2"/>
          </rPr>
          <t>BEGIN 3/24 
END 3/28
TRVL 3/23 &amp; 3/28</t>
        </r>
        <r>
          <rPr>
            <b/>
            <sz val="9"/>
            <color indexed="81"/>
            <rFont val="Tahoma"/>
            <family val="2"/>
          </rPr>
          <t xml:space="preserve">
</t>
        </r>
      </text>
    </comment>
    <comment ref="J10" authorId="0">
      <text>
        <r>
          <rPr>
            <b/>
            <sz val="9"/>
            <color indexed="81"/>
            <rFont val="Tahoma"/>
            <family val="2"/>
          </rPr>
          <t xml:space="preserve">FSS PHASE III
</t>
        </r>
        <r>
          <rPr>
            <sz val="9"/>
            <color indexed="81"/>
            <rFont val="Tahoma"/>
            <family val="2"/>
          </rPr>
          <t>START 3/3 END 4/8
TRVL 3/2 AND 4/9</t>
        </r>
      </text>
    </comment>
  </commentList>
</comments>
</file>

<file path=xl/sharedStrings.xml><?xml version="1.0" encoding="utf-8"?>
<sst xmlns="http://schemas.openxmlformats.org/spreadsheetml/2006/main" count="1158" uniqueCount="377">
  <si>
    <t>T</t>
  </si>
  <si>
    <t>R + E</t>
  </si>
  <si>
    <t>H + K</t>
  </si>
  <si>
    <t>M + P</t>
  </si>
  <si>
    <t>Select Crew to Edit</t>
  </si>
  <si>
    <t>Main Menu</t>
  </si>
  <si>
    <t>computer</t>
  </si>
  <si>
    <t>ET's</t>
  </si>
  <si>
    <t>welcome</t>
  </si>
  <si>
    <t>MPE's</t>
  </si>
  <si>
    <t>password</t>
  </si>
  <si>
    <t>BEM"s</t>
  </si>
  <si>
    <t>denied</t>
  </si>
  <si>
    <t>CUST's</t>
  </si>
  <si>
    <t>tryagain</t>
  </si>
  <si>
    <t>Not Approved</t>
  </si>
  <si>
    <t>select</t>
  </si>
  <si>
    <t>R-U-sure</t>
  </si>
  <si>
    <t>complete</t>
  </si>
  <si>
    <t>visable</t>
  </si>
  <si>
    <t>hidden</t>
  </si>
  <si>
    <t>reminder</t>
  </si>
  <si>
    <t>GoodBuy</t>
  </si>
  <si>
    <t>CUST Weekly Asignments</t>
  </si>
  <si>
    <t>Startup</t>
  </si>
  <si>
    <t>BEM Weekly Asignments</t>
  </si>
  <si>
    <t>Shutdown</t>
  </si>
  <si>
    <t>MPE Weekly Asignments</t>
  </si>
  <si>
    <t>Warning</t>
  </si>
  <si>
    <t>ET Weekly Asignments</t>
  </si>
  <si>
    <t>Wow</t>
  </si>
  <si>
    <t>Master List</t>
  </si>
  <si>
    <t>Selected Crew</t>
  </si>
  <si>
    <t>Print Selected Sheet</t>
  </si>
  <si>
    <t>Schedule</t>
  </si>
  <si>
    <t>View Selected Sheet</t>
  </si>
  <si>
    <t>Save Menu</t>
  </si>
  <si>
    <t>Print Menu</t>
  </si>
  <si>
    <t>Scheduling Macros</t>
  </si>
  <si>
    <t>Auto_Open Macros</t>
  </si>
  <si>
    <t>Print &amp; Filter Macros</t>
  </si>
  <si>
    <t>View &amp; Hide Macros</t>
  </si>
  <si>
    <t>MsgBoxes</t>
  </si>
  <si>
    <t>Dialog1</t>
  </si>
  <si>
    <t>Dialog2</t>
  </si>
  <si>
    <t>Dialog3</t>
  </si>
  <si>
    <t>Dialog4</t>
  </si>
  <si>
    <t>Dialog5</t>
  </si>
  <si>
    <t>Dialog6</t>
  </si>
  <si>
    <t>Dialog7</t>
  </si>
  <si>
    <t>Dialog8</t>
  </si>
  <si>
    <t>DialogA</t>
  </si>
  <si>
    <t>DialogB</t>
  </si>
  <si>
    <t>DialogC</t>
  </si>
  <si>
    <t>Dialog Macros</t>
  </si>
  <si>
    <t>Module1</t>
  </si>
  <si>
    <t xml:space="preserve"> </t>
  </si>
  <si>
    <t>Pay Period</t>
  </si>
  <si>
    <t>For the week of</t>
  </si>
  <si>
    <t>thru</t>
  </si>
  <si>
    <t>Title</t>
  </si>
  <si>
    <t>Name</t>
  </si>
  <si>
    <t>Remarks</t>
  </si>
  <si>
    <t xml:space="preserve">  </t>
  </si>
  <si>
    <t>E</t>
  </si>
  <si>
    <t>F</t>
  </si>
  <si>
    <t>H</t>
  </si>
  <si>
    <t>K</t>
  </si>
  <si>
    <t>M</t>
  </si>
  <si>
    <t>P</t>
  </si>
  <si>
    <t>RECYCLE</t>
  </si>
  <si>
    <t>R</t>
  </si>
  <si>
    <t>AS ASSIGNED</t>
  </si>
  <si>
    <t>NO ASSIGNMENT</t>
  </si>
  <si>
    <t>ROUTES</t>
  </si>
  <si>
    <t>FLOAT</t>
  </si>
  <si>
    <t>Job#</t>
  </si>
  <si>
    <t>Lvl</t>
  </si>
  <si>
    <t>ET</t>
  </si>
  <si>
    <t>CREW  030  P/L 530</t>
  </si>
  <si>
    <t>L. TURNER</t>
  </si>
  <si>
    <t>BEM</t>
  </si>
  <si>
    <t>CUST</t>
  </si>
  <si>
    <t>W. COHEN</t>
  </si>
  <si>
    <t>J. PALACIOS</t>
  </si>
  <si>
    <t>SMO</t>
  </si>
  <si>
    <t>204B</t>
  </si>
  <si>
    <t>BEGIN TOUR  1400</t>
  </si>
  <si>
    <t>END  TOUR     2250</t>
  </si>
  <si>
    <t>BA</t>
  </si>
  <si>
    <t>NS</t>
  </si>
  <si>
    <t>3V</t>
  </si>
  <si>
    <t>.......Volunteer for Work on Employee's Holiday</t>
  </si>
  <si>
    <t>OT</t>
  </si>
  <si>
    <t>REGULAR WORK</t>
  </si>
  <si>
    <t>3NV</t>
  </si>
  <si>
    <t>.......Draftee for Work on Employee's Holiday</t>
  </si>
  <si>
    <t>NON-WORK</t>
  </si>
  <si>
    <t>.......Volunteer for Work on Non-Scheduled Day over Holiday Period</t>
  </si>
  <si>
    <t>LEAVE</t>
  </si>
  <si>
    <t>.......Draftee for Work on Non-Scheduled Day over Holiday Period</t>
  </si>
  <si>
    <t>.......Regular Tour 3 Work Day</t>
  </si>
  <si>
    <t>.......Regular Tour 3 OverTime Day</t>
  </si>
  <si>
    <t>TRNG</t>
  </si>
  <si>
    <t>.......Non-Scheduled Day</t>
  </si>
  <si>
    <t>.......Holiday (No Work)</t>
  </si>
  <si>
    <t>.......Detailed elsewhere/Not on Schedule at present time</t>
  </si>
  <si>
    <t>SL</t>
  </si>
  <si>
    <t>.......Sick Leave</t>
  </si>
  <si>
    <t>FMLA</t>
  </si>
  <si>
    <t>.......Family &amp; Medical Leave Act (SL, AL or LWOP)</t>
  </si>
  <si>
    <t>SSL</t>
  </si>
  <si>
    <t>.......Scheduled Sick Leave (in advance)</t>
  </si>
  <si>
    <t>LWOP</t>
  </si>
  <si>
    <t>.......Leave WithOut Pay</t>
  </si>
  <si>
    <t>CL</t>
  </si>
  <si>
    <t>.......Court Leave</t>
  </si>
  <si>
    <t>ML</t>
  </si>
  <si>
    <t>.......Military Leave</t>
  </si>
  <si>
    <t>FLSA work week for Tour 1 employees is 1400 hours on Friday through 1400 hours the following Friday.</t>
  </si>
  <si>
    <t>FLSA work week for Tour 2 employees is 2200 hours on Friday through 2200 hours the following Friday.</t>
  </si>
  <si>
    <t>FLSA work week for Tour 3 employees is 0600 hours on Saturday through 0600 hours the following Saturday.</t>
  </si>
  <si>
    <t>CREW  033  P/L 530</t>
  </si>
  <si>
    <t>CREW 032 P/L 530</t>
  </si>
  <si>
    <t>CREW 033 P/L 530</t>
  </si>
  <si>
    <t>** 16:00 TO 00:30</t>
  </si>
  <si>
    <t>APPS</t>
  </si>
  <si>
    <t>EID</t>
  </si>
  <si>
    <t>02416028</t>
  </si>
  <si>
    <t>02409964</t>
  </si>
  <si>
    <t>AFCS</t>
  </si>
  <si>
    <t>010</t>
  </si>
  <si>
    <t>J. ADAMS</t>
  </si>
  <si>
    <t># Day of Observance</t>
  </si>
  <si>
    <t>P. WHEELER</t>
  </si>
  <si>
    <t>1.75 hrs after</t>
  </si>
  <si>
    <t>DBCS</t>
  </si>
  <si>
    <t>AFSM</t>
  </si>
  <si>
    <t>** 12:15 TO 20:45</t>
  </si>
  <si>
    <t>*1.75 HRS AFTER TOUR</t>
  </si>
  <si>
    <t>TROUBLE CALLS</t>
  </si>
  <si>
    <t>CFS/DBCS</t>
  </si>
  <si>
    <t>BDS</t>
  </si>
  <si>
    <t>**2 hrs BT OT</t>
  </si>
  <si>
    <t>1.75 hrs BT OT</t>
  </si>
  <si>
    <t>R. WISEMAN</t>
  </si>
  <si>
    <t>D + T</t>
  </si>
  <si>
    <t>^</t>
  </si>
  <si>
    <t>.......Training Day - Local/NCED or Travel over Regular Work Day</t>
  </si>
  <si>
    <t>D. BRINKLEY</t>
  </si>
  <si>
    <t>D. BRUMIT</t>
  </si>
  <si>
    <t>T. SERRANO</t>
  </si>
  <si>
    <t>SATURDAY</t>
  </si>
  <si>
    <t>SUNDAY</t>
  </si>
  <si>
    <t>MONDAY</t>
  </si>
  <si>
    <t>TUESDAY</t>
  </si>
  <si>
    <t>WEDNESDAY</t>
  </si>
  <si>
    <t>THURSDAY</t>
  </si>
  <si>
    <t>FRIDAY</t>
  </si>
  <si>
    <t>line 1</t>
  </si>
  <si>
    <t>line2</t>
  </si>
  <si>
    <t>line 2</t>
  </si>
  <si>
    <t>BDS/IPSS</t>
  </si>
  <si>
    <t>CARS/PARS</t>
  </si>
  <si>
    <t>NO SECOND LINE</t>
  </si>
  <si>
    <t>ENGINE ROOM</t>
  </si>
  <si>
    <t>PARKING LOT LIGHTS</t>
  </si>
  <si>
    <t>DOCK DOOR LIGHTS</t>
  </si>
  <si>
    <t>D</t>
  </si>
  <si>
    <t xml:space="preserve"> &amp; RECYCLE</t>
  </si>
  <si>
    <t>W. BROWN</t>
  </si>
  <si>
    <t>BDS/IJP</t>
  </si>
  <si>
    <t>010/CFS</t>
  </si>
  <si>
    <t>D + F</t>
  </si>
  <si>
    <t>R + T</t>
  </si>
  <si>
    <t>E + F</t>
  </si>
  <si>
    <t>IPSS</t>
  </si>
  <si>
    <t>CFS/APPS RELIEF</t>
  </si>
  <si>
    <t>010 &amp; DBCS</t>
  </si>
  <si>
    <t>CARS/PARS/IPSS</t>
  </si>
  <si>
    <t>4 &amp; 5</t>
  </si>
  <si>
    <t xml:space="preserve">6 &amp; 7 </t>
  </si>
  <si>
    <t>8 &amp; 2</t>
  </si>
  <si>
    <t>1 &amp; 9</t>
  </si>
  <si>
    <t>1 &amp; 3</t>
  </si>
  <si>
    <t>8 &amp; 9</t>
  </si>
  <si>
    <t>2 &amp; 3</t>
  </si>
  <si>
    <t>M. ALLEN</t>
  </si>
  <si>
    <t>T. PHAM</t>
  </si>
  <si>
    <t>TEST DECKS</t>
  </si>
  <si>
    <t>DBCS 6</t>
  </si>
  <si>
    <t>GAP</t>
  </si>
  <si>
    <t>SORT PLAN/GAP</t>
  </si>
  <si>
    <t>DB6/sortplan-gap</t>
  </si>
  <si>
    <t>Srt Plan/Test Deck</t>
  </si>
  <si>
    <t>DB6/Test Deck</t>
  </si>
  <si>
    <t>A. CLIMACO</t>
  </si>
  <si>
    <t>APPS BIN CHECK</t>
  </si>
  <si>
    <t>J. MAYER</t>
  </si>
  <si>
    <t>FSS</t>
  </si>
  <si>
    <t>*</t>
  </si>
  <si>
    <t>AFSM 13-14</t>
  </si>
  <si>
    <t>L. JONES</t>
  </si>
  <si>
    <t>L. WHITTEN</t>
  </si>
  <si>
    <t>DBCS 6 feeder</t>
  </si>
  <si>
    <t>CarsPars/SortPlan</t>
  </si>
  <si>
    <t>CarsPars/Gap</t>
  </si>
  <si>
    <t>H +K &amp; Recycle</t>
  </si>
  <si>
    <t>M + P &amp; Recycle</t>
  </si>
  <si>
    <t>R + E &amp; Recycle</t>
  </si>
  <si>
    <t>D + T &amp; Recycle</t>
  </si>
  <si>
    <t>D + F &amp; Recycle</t>
  </si>
  <si>
    <t>R + T &amp; Recycle</t>
  </si>
  <si>
    <t>E + F &amp; Recycle</t>
  </si>
  <si>
    <t>D + E &amp; Recycle</t>
  </si>
  <si>
    <t>H + M &amp; Recycle</t>
  </si>
  <si>
    <t>APPS RELIEF</t>
  </si>
  <si>
    <t>AFCS/IJP</t>
  </si>
  <si>
    <t>AFSM/OSSTS</t>
  </si>
  <si>
    <t>AFSM/DBCS</t>
  </si>
  <si>
    <t>E STOP</t>
  </si>
  <si>
    <r>
      <rPr>
        <b/>
        <sz val="10"/>
        <color indexed="62"/>
        <rFont val="Arial"/>
        <family val="2"/>
      </rPr>
      <t>AFSM 14</t>
    </r>
    <r>
      <rPr>
        <b/>
        <sz val="10"/>
        <rFont val="Arial"/>
        <family val="2"/>
      </rPr>
      <t>/APPS</t>
    </r>
  </si>
  <si>
    <r>
      <rPr>
        <b/>
        <sz val="10"/>
        <color indexed="62"/>
        <rFont val="Arial"/>
        <family val="2"/>
      </rPr>
      <t>AFSM 12</t>
    </r>
    <r>
      <rPr>
        <b/>
        <sz val="10"/>
        <rFont val="Arial"/>
        <family val="2"/>
      </rPr>
      <t>/Scan verify</t>
    </r>
  </si>
  <si>
    <r>
      <rPr>
        <b/>
        <sz val="10"/>
        <color indexed="62"/>
        <rFont val="Arial"/>
        <family val="2"/>
      </rPr>
      <t>AFSM 13</t>
    </r>
    <r>
      <rPr>
        <b/>
        <sz val="10"/>
        <rFont val="Arial"/>
        <family val="2"/>
      </rPr>
      <t>/13 Report</t>
    </r>
  </si>
  <si>
    <t>AFSM 11, 12, 15</t>
  </si>
  <si>
    <t>CarsPars/FSS relief</t>
  </si>
  <si>
    <t>OTNV</t>
  </si>
  <si>
    <t>OTV</t>
  </si>
  <si>
    <t>AFSM/APPS</t>
  </si>
  <si>
    <t>TEST DECK</t>
  </si>
  <si>
    <t>FSS RELIEF</t>
  </si>
  <si>
    <t>AFCS/DBCS</t>
  </si>
  <si>
    <t>FLOAT - AFSM</t>
  </si>
  <si>
    <t>DBCS/IPSS</t>
  </si>
  <si>
    <t>T. SHIELDS</t>
  </si>
  <si>
    <t>SA</t>
  </si>
  <si>
    <t>SU</t>
  </si>
  <si>
    <t>TU</t>
  </si>
  <si>
    <t>WE</t>
  </si>
  <si>
    <t>TH</t>
  </si>
  <si>
    <t>FR</t>
  </si>
  <si>
    <t>FSS/ DB 6</t>
  </si>
  <si>
    <t>010 FLOAT</t>
  </si>
  <si>
    <t>T. CHEN</t>
  </si>
  <si>
    <t>APPS/APBS</t>
  </si>
  <si>
    <t>M. FRANTZ</t>
  </si>
  <si>
    <t>AFSM/APBS</t>
  </si>
  <si>
    <t>MMO</t>
  </si>
  <si>
    <t>D. SMITH</t>
  </si>
  <si>
    <t>C. PAN</t>
  </si>
  <si>
    <t>APPS/APBS/FSS</t>
  </si>
  <si>
    <t>W. BATES</t>
  </si>
  <si>
    <t>SORT PLAN/FSS</t>
  </si>
  <si>
    <t>M + P + R</t>
  </si>
  <si>
    <t>FSS/APPS</t>
  </si>
  <si>
    <t>M. RESENDEZ</t>
  </si>
  <si>
    <t>C. SANGEL</t>
  </si>
  <si>
    <t>P. BRUCE</t>
  </si>
  <si>
    <t>FSS/APBS</t>
  </si>
  <si>
    <t>SAT/SUN</t>
  </si>
  <si>
    <t>SAT/FRI</t>
  </si>
  <si>
    <t>THU/FRI</t>
  </si>
  <si>
    <t>TUE/WED</t>
  </si>
  <si>
    <t>WED/THU</t>
  </si>
  <si>
    <t>SUN/MON</t>
  </si>
  <si>
    <t>MON/TUE</t>
  </si>
  <si>
    <t>FRI/SAT</t>
  </si>
  <si>
    <t>NS DAYS</t>
  </si>
  <si>
    <t>PP</t>
  </si>
  <si>
    <t>wk 1</t>
  </si>
  <si>
    <t xml:space="preserve">   DBCS/010</t>
  </si>
  <si>
    <t xml:space="preserve">   APPS/APBS</t>
  </si>
  <si>
    <t>K. CRAWFORD</t>
  </si>
  <si>
    <t>APBS  TROUBLE CALLS</t>
  </si>
  <si>
    <t>CFS/APPS</t>
  </si>
  <si>
    <t xml:space="preserve">    AFSM/APBS</t>
  </si>
  <si>
    <t>MPE</t>
  </si>
  <si>
    <t xml:space="preserve">     FSS RELIEF</t>
  </si>
  <si>
    <t>AFSM/CFS</t>
  </si>
  <si>
    <t>B. ENSEY</t>
  </si>
  <si>
    <t>Sheet1</t>
  </si>
  <si>
    <t xml:space="preserve">         APBS</t>
  </si>
  <si>
    <t>PSE</t>
  </si>
  <si>
    <t>B. LILLY</t>
  </si>
  <si>
    <t>K. HUFFMAN</t>
  </si>
  <si>
    <t>R. MALVO</t>
  </si>
  <si>
    <t>J. ESTER</t>
  </si>
  <si>
    <t xml:space="preserve">   APPS RELIEF</t>
  </si>
  <si>
    <t>W. STIERS</t>
  </si>
  <si>
    <t>WEEK</t>
  </si>
  <si>
    <t>APBS/AFSM/DBCS</t>
  </si>
  <si>
    <t>DBCS/AFCS</t>
  </si>
  <si>
    <t xml:space="preserve">     HSTS/APBS</t>
  </si>
  <si>
    <t>Sheet2</t>
  </si>
  <si>
    <t>Sheet3</t>
  </si>
  <si>
    <t>AT 20:00 GOTO 010</t>
  </si>
  <si>
    <t>UniBuEur</t>
  </si>
  <si>
    <t>J. HILL</t>
  </si>
  <si>
    <t>T. GILES</t>
  </si>
  <si>
    <t>S. HERNANDEZ</t>
  </si>
  <si>
    <t xml:space="preserve">     UniBuEur</t>
  </si>
  <si>
    <t>FLOAT DBCS</t>
  </si>
  <si>
    <t>V. VARKEY</t>
  </si>
  <si>
    <t>S. RAJAN</t>
  </si>
  <si>
    <t>D. WALLACE</t>
  </si>
  <si>
    <t>C. FERNANDEZ JR</t>
  </si>
  <si>
    <t>R. MALONE</t>
  </si>
  <si>
    <t>M. RAY</t>
  </si>
  <si>
    <t>F. TITUS</t>
  </si>
  <si>
    <t>J. ROCHELLE</t>
  </si>
  <si>
    <t>J. BRADHAM</t>
  </si>
  <si>
    <t>BATTERY ROOM</t>
  </si>
  <si>
    <t>HSTS/Tray sys/strapper</t>
  </si>
  <si>
    <t>HSTS/STRAPPER</t>
  </si>
  <si>
    <t>&lt;---------  START OF NEXT YEAR</t>
  </si>
  <si>
    <t>ECBM ROUTES</t>
  </si>
  <si>
    <t>FSS/SORTPLAN/GAP</t>
  </si>
  <si>
    <t>working</t>
  </si>
  <si>
    <t>*EXT. LEAVE</t>
  </si>
  <si>
    <t xml:space="preserve">        DBCS FLOAT</t>
  </si>
  <si>
    <t>Belt Kit</t>
  </si>
  <si>
    <t>P. DEWAN</t>
  </si>
  <si>
    <t>SPSS</t>
  </si>
  <si>
    <t>UNIBUEUR</t>
  </si>
  <si>
    <t>FLOAT AFSM</t>
  </si>
  <si>
    <t>AT 18:00 GOTO AFSM</t>
  </si>
  <si>
    <t>AT 19:00 GO TO AFSM</t>
  </si>
  <si>
    <t>DBCS / ECBM</t>
  </si>
  <si>
    <t>AT 22:00 go to 010</t>
  </si>
  <si>
    <t>M. LEE</t>
  </si>
  <si>
    <t>R. JACKSON</t>
  </si>
  <si>
    <t>DBCS/APPS</t>
  </si>
  <si>
    <t>CREW  031  P/L 530</t>
  </si>
  <si>
    <t>.</t>
  </si>
  <si>
    <t>`</t>
  </si>
  <si>
    <t>R. BAIWIR</t>
  </si>
  <si>
    <t>T. SZYMCZAK</t>
  </si>
  <si>
    <t>K + R</t>
  </si>
  <si>
    <t>E. BONTON</t>
  </si>
  <si>
    <t>R. AQUINO</t>
  </si>
  <si>
    <t>D. CURRY</t>
  </si>
  <si>
    <t>S. ALEXANDER</t>
  </si>
  <si>
    <t>*T2</t>
  </si>
  <si>
    <t>APPS 1</t>
  </si>
  <si>
    <t>APPS 2</t>
  </si>
  <si>
    <t>Y. KWAN</t>
  </si>
  <si>
    <t>A. BEECHING</t>
  </si>
  <si>
    <t>C. ENSEY</t>
  </si>
  <si>
    <t>M. BURNS</t>
  </si>
  <si>
    <t>P. BIRRING</t>
  </si>
  <si>
    <t>C. TO</t>
  </si>
  <si>
    <t>C. CHENG</t>
  </si>
  <si>
    <t>M. PILLAI</t>
  </si>
  <si>
    <t>G. HINES</t>
  </si>
  <si>
    <t>*DETAIL</t>
  </si>
  <si>
    <t>*RETIRED</t>
  </si>
  <si>
    <t>J. RUBIO</t>
  </si>
  <si>
    <t xml:space="preserve">          CFS</t>
  </si>
  <si>
    <t>D.BRINKLEY</t>
  </si>
  <si>
    <t>AL</t>
  </si>
  <si>
    <t>S. HAWKINS</t>
  </si>
  <si>
    <t>SL THRU 4/30</t>
  </si>
  <si>
    <t>N. ANNEX</t>
  </si>
  <si>
    <t>LEAD</t>
  </si>
  <si>
    <t>J RUBIO</t>
  </si>
  <si>
    <t>TRVL</t>
  </si>
  <si>
    <t>TRNG THRU 3/31</t>
  </si>
  <si>
    <t xml:space="preserve">*COS </t>
  </si>
  <si>
    <t>SL THRU 2/27</t>
  </si>
  <si>
    <t>AL THRU 2/28</t>
  </si>
  <si>
    <t>*DETAIL MPE</t>
  </si>
  <si>
    <t>*DETAIL ET</t>
  </si>
  <si>
    <t>TRNG THRU 3/18</t>
  </si>
  <si>
    <t>TRNG THRU 3/4</t>
  </si>
  <si>
    <t>*COS</t>
  </si>
  <si>
    <t>*DETAIL ET *COS</t>
  </si>
  <si>
    <t xml:space="preserve">D. BRINKLEY </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</si>
</sst>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164" formatCode="dd"/>
    <numFmt numFmtId="165" formatCode="ddd"/>
    <numFmt numFmtId="166" formatCode=";;;"/>
    <numFmt numFmtId="167" formatCode="m/d/yy;@"/>
    <numFmt numFmtId="168" formatCode="000"/>
  </numFmts>
  <fonts count="82" x14ac:knownFonts="1">
    <font>
      <sz val="10"/>
      <name val="Arial"/>
    </font>
    <font>
      <b/>
      <sz val="10"/>
      <name val="Arial"/>
      <family val="2"/>
    </font>
    <font>
      <sz val="10"/>
      <name val="Arial"/>
      <family val="2"/>
    </font>
    <font>
      <sz val="12"/>
      <name val="Arial"/>
      <family val="2"/>
    </font>
    <font>
      <sz val="12"/>
      <name val="Arial"/>
      <family val="2"/>
    </font>
    <font>
      <sz val="12"/>
      <name val="Times New Roman"/>
      <family val="1"/>
    </font>
    <font>
      <b/>
      <sz val="16"/>
      <name val="Times New Roman"/>
      <family val="1"/>
    </font>
    <font>
      <sz val="14"/>
      <name val="Times New Roman"/>
      <family val="1"/>
    </font>
    <font>
      <sz val="18"/>
      <name val="Times New Roman"/>
      <family val="1"/>
    </font>
    <font>
      <b/>
      <sz val="12"/>
      <color indexed="10"/>
      <name val="Arial"/>
      <family val="2"/>
    </font>
    <font>
      <b/>
      <sz val="12"/>
      <color indexed="12"/>
      <name val="Arial"/>
      <family val="2"/>
    </font>
    <font>
      <b/>
      <sz val="14"/>
      <name val="Times New Roman"/>
      <family val="1"/>
    </font>
    <font>
      <b/>
      <sz val="14"/>
      <name val="Arial"/>
      <family val="2"/>
    </font>
    <font>
      <b/>
      <sz val="14"/>
      <name val="Arial"/>
      <family val="2"/>
    </font>
    <font>
      <sz val="8"/>
      <name val="Arial"/>
      <family val="2"/>
    </font>
    <font>
      <b/>
      <sz val="11"/>
      <name val="Arial"/>
      <family val="2"/>
    </font>
    <font>
      <b/>
      <sz val="11"/>
      <name val="Arial"/>
      <family val="2"/>
    </font>
    <font>
      <b/>
      <sz val="12"/>
      <name val="Arial"/>
      <family val="2"/>
    </font>
    <font>
      <sz val="16"/>
      <name val="Arial"/>
      <family val="2"/>
    </font>
    <font>
      <b/>
      <sz val="16"/>
      <name val="Times New Roman"/>
      <family val="1"/>
    </font>
    <font>
      <sz val="13"/>
      <name val="Arial"/>
      <family val="2"/>
    </font>
    <font>
      <sz val="12"/>
      <color indexed="10"/>
      <name val="Arial"/>
      <family val="2"/>
    </font>
    <font>
      <b/>
      <sz val="13"/>
      <name val="Arial"/>
      <family val="2"/>
    </font>
    <font>
      <b/>
      <sz val="14"/>
      <color indexed="8"/>
      <name val="Arial"/>
      <family val="2"/>
    </font>
    <font>
      <sz val="11"/>
      <name val="Arial"/>
      <family val="2"/>
    </font>
    <font>
      <sz val="11"/>
      <name val="Arial"/>
      <family val="2"/>
    </font>
    <font>
      <sz val="11"/>
      <color indexed="10"/>
      <name val="Arial"/>
      <family val="2"/>
    </font>
    <font>
      <sz val="10"/>
      <name val="Arial"/>
      <family val="2"/>
    </font>
    <font>
      <b/>
      <sz val="10"/>
      <name val="Arial"/>
      <family val="2"/>
    </font>
    <font>
      <sz val="14"/>
      <name val="Arial"/>
      <family val="2"/>
    </font>
    <font>
      <b/>
      <sz val="18"/>
      <name val="Arial"/>
      <family val="2"/>
    </font>
    <font>
      <b/>
      <sz val="16"/>
      <name val="Arial"/>
      <family val="2"/>
    </font>
    <font>
      <sz val="10"/>
      <color indexed="10"/>
      <name val="Arial"/>
      <family val="2"/>
    </font>
    <font>
      <b/>
      <u/>
      <sz val="12"/>
      <color indexed="10"/>
      <name val="Arial"/>
      <family val="2"/>
    </font>
    <font>
      <b/>
      <sz val="7.5"/>
      <name val="Arial"/>
      <family val="2"/>
    </font>
    <font>
      <b/>
      <sz val="12"/>
      <color indexed="50"/>
      <name val="Arial"/>
      <family val="2"/>
    </font>
    <font>
      <sz val="10"/>
      <color indexed="48"/>
      <name val="Arial"/>
      <family val="2"/>
    </font>
    <font>
      <sz val="10"/>
      <color indexed="34"/>
      <name val="Arial"/>
      <family val="2"/>
    </font>
    <font>
      <sz val="8"/>
      <name val="Tahoma"/>
      <family val="2"/>
    </font>
    <font>
      <sz val="8"/>
      <color indexed="81"/>
      <name val="Tahoma"/>
      <family val="2"/>
    </font>
    <font>
      <sz val="8"/>
      <name val="Arial"/>
      <family val="2"/>
    </font>
    <font>
      <b/>
      <sz val="22"/>
      <name val="Arial"/>
      <family val="2"/>
    </font>
    <font>
      <sz val="16"/>
      <name val="Arial"/>
      <family val="2"/>
    </font>
    <font>
      <sz val="18"/>
      <name val="Arial"/>
      <family val="2"/>
    </font>
    <font>
      <sz val="18"/>
      <name val="Arial"/>
      <family val="2"/>
    </font>
    <font>
      <sz val="24"/>
      <name val="Arial"/>
      <family val="2"/>
    </font>
    <font>
      <b/>
      <i/>
      <sz val="10"/>
      <name val="Arial"/>
      <family val="2"/>
    </font>
    <font>
      <sz val="13"/>
      <color indexed="8"/>
      <name val="Arial"/>
      <family val="2"/>
    </font>
    <font>
      <sz val="12"/>
      <color indexed="12"/>
      <name val="Arial"/>
      <family val="2"/>
    </font>
    <font>
      <sz val="9"/>
      <name val="Arial"/>
      <family val="2"/>
    </font>
    <font>
      <sz val="9"/>
      <color indexed="8"/>
      <name val="Arial"/>
      <family val="2"/>
    </font>
    <font>
      <sz val="12"/>
      <color indexed="18"/>
      <name val="Arial"/>
      <family val="2"/>
    </font>
    <font>
      <sz val="9"/>
      <color indexed="18"/>
      <name val="Arial"/>
      <family val="2"/>
    </font>
    <font>
      <sz val="14"/>
      <color indexed="18"/>
      <name val="Arial"/>
      <family val="2"/>
    </font>
    <font>
      <sz val="12"/>
      <color indexed="10"/>
      <name val="Arial"/>
      <family val="2"/>
    </font>
    <font>
      <sz val="14"/>
      <color indexed="10"/>
      <name val="Arial"/>
      <family val="2"/>
    </font>
    <font>
      <b/>
      <sz val="8"/>
      <name val="Arial"/>
      <family val="2"/>
    </font>
    <font>
      <b/>
      <sz val="10"/>
      <color indexed="62"/>
      <name val="Arial"/>
      <family val="2"/>
    </font>
    <font>
      <b/>
      <sz val="12"/>
      <color indexed="56"/>
      <name val="Arial"/>
      <family val="2"/>
    </font>
    <font>
      <sz val="11"/>
      <name val="Times New Roman"/>
      <family val="1"/>
    </font>
    <font>
      <sz val="9"/>
      <color indexed="81"/>
      <name val="Tahoma"/>
      <family val="2"/>
    </font>
    <font>
      <b/>
      <sz val="9"/>
      <color indexed="81"/>
      <name val="Tahoma"/>
      <family val="2"/>
    </font>
    <font>
      <b/>
      <sz val="9"/>
      <name val="Arial"/>
      <family val="2"/>
    </font>
    <font>
      <sz val="12"/>
      <name val="Forte"/>
      <family val="4"/>
    </font>
    <font>
      <b/>
      <sz val="10"/>
      <name val="Arial"/>
      <family val="2"/>
    </font>
    <font>
      <b/>
      <sz val="10"/>
      <name val="Arial"/>
      <family val="2"/>
    </font>
    <font>
      <b/>
      <sz val="10"/>
      <color theme="3"/>
      <name val="Arial"/>
      <family val="2"/>
    </font>
    <font>
      <sz val="9"/>
      <color rgb="FF002060"/>
      <name val="Arial"/>
      <family val="2"/>
    </font>
    <font>
      <b/>
      <sz val="10"/>
      <color rgb="FFFF0000"/>
      <name val="Arial"/>
      <family val="2"/>
    </font>
    <font>
      <b/>
      <sz val="10"/>
      <color rgb="FF002060"/>
      <name val="Arial"/>
      <family val="2"/>
    </font>
    <font>
      <b/>
      <sz val="9"/>
      <color rgb="FF002060"/>
      <name val="Arial"/>
      <family val="2"/>
    </font>
    <font>
      <sz val="12"/>
      <color rgb="FF002060"/>
      <name val="Arial"/>
      <family val="2"/>
    </font>
    <font>
      <sz val="20"/>
      <color theme="0"/>
      <name val="Arial"/>
      <family val="2"/>
    </font>
    <font>
      <sz val="12"/>
      <color rgb="FFFF0000"/>
      <name val="Arial"/>
      <family val="2"/>
    </font>
    <font>
      <b/>
      <sz val="12"/>
      <color theme="8" tint="0.59999389629810485"/>
      <name val="Arial"/>
      <family val="2"/>
    </font>
    <font>
      <b/>
      <sz val="12"/>
      <color rgb="FF339933"/>
      <name val="Arial"/>
      <family val="2"/>
    </font>
    <font>
      <b/>
      <sz val="12"/>
      <color rgb="FFFF0000"/>
      <name val="Arial"/>
      <family val="2"/>
    </font>
    <font>
      <b/>
      <sz val="12"/>
      <color rgb="FFFFFF00"/>
      <name val="Arial"/>
      <family val="2"/>
    </font>
    <font>
      <b/>
      <sz val="12"/>
      <color rgb="FF3366FF"/>
      <name val="Arial"/>
      <family val="2"/>
    </font>
    <font>
      <sz val="8"/>
      <color rgb="FF000000"/>
      <name val="Helv"/>
    </font>
    <font>
      <sz val="10"/>
      <color rgb="FF000000"/>
      <name val="Helv"/>
    </font>
    <font>
      <sz val="8"/>
      <color rgb="FF000000"/>
      <name val="Tahoma"/>
      <family val="2"/>
    </font>
  </fonts>
  <fills count="33">
    <fill>
      <patternFill patternType="none"/>
    </fill>
    <fill>
      <patternFill patternType="gray125"/>
    </fill>
    <fill>
      <patternFill patternType="solid">
        <fgColor indexed="65"/>
        <bgColor indexed="64"/>
      </patternFill>
    </fill>
    <fill>
      <patternFill patternType="mediumGray"/>
    </fill>
    <fill>
      <patternFill patternType="solid">
        <fgColor indexed="9"/>
        <bgColor indexed="64"/>
      </patternFill>
    </fill>
    <fill>
      <patternFill patternType="solid">
        <fgColor indexed="23"/>
        <bgColor indexed="64"/>
      </patternFill>
    </fill>
    <fill>
      <patternFill patternType="solid">
        <fgColor indexed="22"/>
        <bgColor indexed="64"/>
      </patternFill>
    </fill>
    <fill>
      <patternFill patternType="solid">
        <fgColor indexed="26"/>
        <bgColor indexed="64"/>
      </patternFill>
    </fill>
    <fill>
      <patternFill patternType="solid">
        <fgColor indexed="31"/>
        <bgColor indexed="64"/>
      </patternFill>
    </fill>
    <fill>
      <patternFill patternType="solid">
        <fgColor indexed="18"/>
        <bgColor indexed="64"/>
      </patternFill>
    </fill>
    <fill>
      <patternFill patternType="solid">
        <fgColor indexed="48"/>
        <bgColor indexed="64"/>
      </patternFill>
    </fill>
    <fill>
      <patternFill patternType="solid">
        <fgColor indexed="44"/>
        <bgColor indexed="64"/>
      </patternFill>
    </fill>
    <fill>
      <patternFill patternType="solid">
        <fgColor indexed="34"/>
        <bgColor indexed="64"/>
      </patternFill>
    </fill>
    <fill>
      <patternFill patternType="gray0625"/>
    </fill>
    <fill>
      <patternFill patternType="solid">
        <fgColor indexed="41"/>
        <bgColor indexed="64"/>
      </patternFill>
    </fill>
    <fill>
      <patternFill patternType="solid">
        <fgColor theme="0"/>
        <bgColor indexed="64"/>
      </patternFill>
    </fill>
    <fill>
      <patternFill patternType="solid">
        <fgColor rgb="FFFFFF00"/>
        <bgColor indexed="64"/>
      </patternFill>
    </fill>
    <fill>
      <patternFill patternType="solid">
        <fgColor theme="8" tint="0.59999389629810485"/>
        <bgColor indexed="64"/>
      </patternFill>
    </fill>
    <fill>
      <patternFill patternType="solid">
        <fgColor theme="3" tint="0.79998168889431442"/>
        <bgColor indexed="64"/>
      </patternFill>
    </fill>
    <fill>
      <patternFill patternType="solid">
        <fgColor theme="6"/>
        <bgColor indexed="64"/>
      </patternFill>
    </fill>
    <fill>
      <patternFill patternType="solid">
        <fgColor rgb="FFFF0000"/>
        <bgColor indexed="64"/>
      </patternFill>
    </fill>
    <fill>
      <patternFill patternType="solid">
        <fgColor rgb="FFC00000"/>
        <bgColor indexed="64"/>
      </patternFill>
    </fill>
    <fill>
      <patternFill patternType="solid">
        <fgColor theme="9" tint="0.59999389629810485"/>
        <bgColor indexed="64"/>
      </patternFill>
    </fill>
    <fill>
      <patternFill patternType="solid">
        <fgColor rgb="FF00B0F0"/>
        <bgColor indexed="64"/>
      </patternFill>
    </fill>
    <fill>
      <patternFill patternType="solid">
        <fgColor rgb="FFFFFFFF"/>
        <bgColor rgb="FF000000"/>
      </patternFill>
    </fill>
    <fill>
      <patternFill patternType="solid">
        <fgColor theme="9" tint="0.79998168889431442"/>
        <bgColor indexed="64"/>
      </patternFill>
    </fill>
    <fill>
      <patternFill patternType="solid">
        <fgColor rgb="FFC00000"/>
        <bgColor rgb="FF000000"/>
      </patternFill>
    </fill>
    <fill>
      <patternFill patternType="solid">
        <fgColor theme="5" tint="0.59999389629810485"/>
        <bgColor indexed="64"/>
      </patternFill>
    </fill>
    <fill>
      <patternFill patternType="solid">
        <fgColor rgb="FFE6B8B7"/>
        <bgColor rgb="FF000000"/>
      </patternFill>
    </fill>
    <fill>
      <patternFill patternType="solid">
        <fgColor theme="4" tint="0.39997558519241921"/>
        <bgColor indexed="64"/>
      </patternFill>
    </fill>
    <fill>
      <patternFill patternType="solid">
        <fgColor theme="0"/>
        <bgColor rgb="FF000000"/>
      </patternFill>
    </fill>
    <fill>
      <patternFill patternType="solid">
        <fgColor theme="5" tint="0.59999389629810485"/>
        <bgColor rgb="FF000000"/>
      </patternFill>
    </fill>
    <fill>
      <patternFill patternType="solid">
        <fgColor theme="9" tint="0.39997558519241921"/>
        <bgColor indexed="64"/>
      </patternFill>
    </fill>
  </fills>
  <borders count="93">
    <border>
      <left/>
      <right/>
      <top/>
      <bottom/>
      <diagonal/>
    </border>
    <border>
      <left style="medium">
        <color indexed="64"/>
      </left>
      <right style="medium">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diagonal/>
    </border>
    <border>
      <left style="medium">
        <color indexed="64"/>
      </left>
      <right/>
      <top/>
      <bottom style="medium">
        <color indexed="64"/>
      </bottom>
      <diagonal/>
    </border>
    <border>
      <left style="medium">
        <color indexed="64"/>
      </left>
      <right style="thin">
        <color indexed="64"/>
      </right>
      <top style="medium">
        <color indexed="64"/>
      </top>
      <bottom style="thin">
        <color indexed="64"/>
      </bottom>
      <diagonal/>
    </border>
    <border>
      <left/>
      <right/>
      <top style="medium">
        <color indexed="64"/>
      </top>
      <bottom style="thin">
        <color indexed="64"/>
      </bottom>
      <diagonal/>
    </border>
    <border>
      <left style="thin">
        <color indexed="64"/>
      </left>
      <right style="thin">
        <color indexed="64"/>
      </right>
      <top style="medium">
        <color indexed="64"/>
      </top>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top/>
      <bottom style="thin">
        <color indexed="64"/>
      </bottom>
      <diagonal/>
    </border>
    <border>
      <left/>
      <right style="medium">
        <color indexed="64"/>
      </right>
      <top/>
      <bottom style="thin">
        <color indexed="64"/>
      </bottom>
      <diagonal/>
    </border>
    <border>
      <left style="medium">
        <color indexed="64"/>
      </left>
      <right style="hair">
        <color indexed="64"/>
      </right>
      <top style="thin">
        <color indexed="64"/>
      </top>
      <bottom style="thin">
        <color indexed="64"/>
      </bottom>
      <diagonal/>
    </border>
    <border>
      <left style="hair">
        <color indexed="64"/>
      </left>
      <right style="hair">
        <color indexed="64"/>
      </right>
      <top style="hair">
        <color indexed="64"/>
      </top>
      <bottom style="hair">
        <color indexed="64"/>
      </bottom>
      <diagonal/>
    </border>
    <border>
      <left style="medium">
        <color indexed="64"/>
      </left>
      <right style="hair">
        <color indexed="64"/>
      </right>
      <top/>
      <bottom style="hair">
        <color indexed="64"/>
      </bottom>
      <diagonal/>
    </border>
    <border>
      <left/>
      <right/>
      <top/>
      <bottom style="hair">
        <color indexed="64"/>
      </bottom>
      <diagonal/>
    </border>
    <border>
      <left style="medium">
        <color indexed="64"/>
      </left>
      <right style="hair">
        <color indexed="64"/>
      </right>
      <top style="hair">
        <color indexed="64"/>
      </top>
      <bottom style="hair">
        <color indexed="64"/>
      </bottom>
      <diagonal/>
    </border>
    <border>
      <left/>
      <right/>
      <top style="hair">
        <color indexed="64"/>
      </top>
      <bottom style="hair">
        <color indexed="64"/>
      </bottom>
      <diagonal/>
    </border>
    <border>
      <left style="hair">
        <color indexed="64"/>
      </left>
      <right style="hair">
        <color indexed="64"/>
      </right>
      <top style="thin">
        <color indexed="64"/>
      </top>
      <bottom style="thin">
        <color indexed="64"/>
      </bottom>
      <diagonal/>
    </border>
    <border>
      <left style="hair">
        <color indexed="64"/>
      </left>
      <right style="thin">
        <color indexed="64"/>
      </right>
      <top style="thin">
        <color indexed="64"/>
      </top>
      <bottom style="thin">
        <color indexed="64"/>
      </bottom>
      <diagonal/>
    </border>
    <border>
      <left/>
      <right/>
      <top style="hair">
        <color indexed="64"/>
      </top>
      <bottom style="thin">
        <color indexed="64"/>
      </bottom>
      <diagonal/>
    </border>
    <border>
      <left style="medium">
        <color indexed="64"/>
      </left>
      <right/>
      <top/>
      <bottom/>
      <diagonal/>
    </border>
    <border>
      <left/>
      <right style="medium">
        <color indexed="64"/>
      </right>
      <top style="thin">
        <color indexed="64"/>
      </top>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right style="thin">
        <color indexed="64"/>
      </right>
      <top style="medium">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hair">
        <color indexed="64"/>
      </left>
      <right/>
      <top style="hair">
        <color indexed="64"/>
      </top>
      <bottom style="hair">
        <color indexed="64"/>
      </bottom>
      <diagonal/>
    </border>
    <border>
      <left/>
      <right style="medium">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hair">
        <color indexed="64"/>
      </right>
      <top style="thin">
        <color indexed="64"/>
      </top>
      <bottom style="hair">
        <color indexed="64"/>
      </bottom>
      <diagonal/>
    </border>
    <border>
      <left style="thin">
        <color indexed="64"/>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style="thin">
        <color indexed="64"/>
      </top>
      <bottom/>
      <diagonal/>
    </border>
    <border>
      <left style="thin">
        <color indexed="64"/>
      </left>
      <right/>
      <top/>
      <bottom/>
      <diagonal/>
    </border>
    <border>
      <left/>
      <right style="thin">
        <color indexed="64"/>
      </right>
      <top/>
      <bottom/>
      <diagonal/>
    </border>
    <border>
      <left/>
      <right/>
      <top style="thin">
        <color indexed="64"/>
      </top>
      <bottom/>
      <diagonal/>
    </border>
    <border>
      <left style="hair">
        <color indexed="64"/>
      </left>
      <right style="hair">
        <color indexed="64"/>
      </right>
      <top style="thin">
        <color indexed="64"/>
      </top>
      <bottom style="hair">
        <color indexed="64"/>
      </bottom>
      <diagonal/>
    </border>
    <border>
      <left style="hair">
        <color indexed="64"/>
      </left>
      <right style="thin">
        <color indexed="64"/>
      </right>
      <top style="thin">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thin">
        <color indexed="64"/>
      </left>
      <right style="hair">
        <color indexed="64"/>
      </right>
      <top style="thin">
        <color indexed="64"/>
      </top>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medium">
        <color indexed="64"/>
      </left>
      <right style="medium">
        <color indexed="64"/>
      </right>
      <top style="thin">
        <color indexed="64"/>
      </top>
      <bottom/>
      <diagonal/>
    </border>
    <border>
      <left style="thin">
        <color indexed="64"/>
      </left>
      <right/>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right style="hair">
        <color indexed="64"/>
      </right>
      <top style="hair">
        <color indexed="64"/>
      </top>
      <bottom style="hair">
        <color indexed="64"/>
      </bottom>
      <diagonal/>
    </border>
    <border>
      <left/>
      <right style="hair">
        <color indexed="64"/>
      </right>
      <top/>
      <bottom style="hair">
        <color indexed="64"/>
      </bottom>
      <diagonal/>
    </border>
    <border>
      <left style="hair">
        <color indexed="64"/>
      </left>
      <right/>
      <top/>
      <bottom style="hair">
        <color indexed="64"/>
      </bottom>
      <diagonal/>
    </border>
    <border>
      <left style="thin">
        <color indexed="64"/>
      </left>
      <right/>
      <top style="hair">
        <color indexed="64"/>
      </top>
      <bottom style="thin">
        <color indexed="64"/>
      </bottom>
      <diagonal/>
    </border>
    <border>
      <left/>
      <right style="medium">
        <color indexed="64"/>
      </right>
      <top style="thin">
        <color indexed="64"/>
      </top>
      <bottom style="hair">
        <color indexed="64"/>
      </bottom>
      <diagonal/>
    </border>
    <border>
      <left/>
      <right style="medium">
        <color indexed="64"/>
      </right>
      <top style="hair">
        <color indexed="64"/>
      </top>
      <bottom style="hair">
        <color indexed="64"/>
      </bottom>
      <diagonal/>
    </border>
    <border>
      <left/>
      <right style="medium">
        <color indexed="64"/>
      </right>
      <top style="hair">
        <color indexed="64"/>
      </top>
      <bottom style="thin">
        <color indexed="64"/>
      </bottom>
      <diagonal/>
    </border>
    <border>
      <left/>
      <right/>
      <top style="thin">
        <color indexed="64"/>
      </top>
      <bottom style="hair">
        <color indexed="64"/>
      </bottom>
      <diagonal/>
    </border>
    <border>
      <left/>
      <right style="medium">
        <color indexed="64"/>
      </right>
      <top style="hair">
        <color indexed="64"/>
      </top>
      <bottom/>
      <diagonal/>
    </border>
    <border>
      <left/>
      <right/>
      <top style="medium">
        <color indexed="64"/>
      </top>
      <bottom/>
      <diagonal/>
    </border>
    <border>
      <left style="hair">
        <color indexed="64"/>
      </left>
      <right/>
      <top style="hair">
        <color indexed="64"/>
      </top>
      <bottom style="thin">
        <color indexed="64"/>
      </bottom>
      <diagonal/>
    </border>
    <border>
      <left style="hair">
        <color indexed="64"/>
      </left>
      <right style="thin">
        <color indexed="64"/>
      </right>
      <top style="hair">
        <color indexed="64"/>
      </top>
      <bottom style="hair">
        <color indexed="64"/>
      </bottom>
      <diagonal/>
    </border>
    <border>
      <left style="hair">
        <color indexed="64"/>
      </left>
      <right style="thin">
        <color indexed="64"/>
      </right>
      <top style="hair">
        <color indexed="64"/>
      </top>
      <bottom style="thin">
        <color indexed="64"/>
      </bottom>
      <diagonal/>
    </border>
    <border>
      <left style="thin">
        <color indexed="64"/>
      </left>
      <right style="hair">
        <color indexed="64"/>
      </right>
      <top style="hair">
        <color indexed="64"/>
      </top>
      <bottom style="hair">
        <color indexed="64"/>
      </bottom>
      <diagonal/>
    </border>
    <border>
      <left style="thin">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style="hair">
        <color indexed="64"/>
      </right>
      <top style="hair">
        <color indexed="64"/>
      </top>
      <bottom/>
      <diagonal/>
    </border>
    <border>
      <left style="hair">
        <color indexed="64"/>
      </left>
      <right style="hair">
        <color indexed="64"/>
      </right>
      <top style="hair">
        <color indexed="64"/>
      </top>
      <bottom/>
      <diagonal/>
    </border>
    <border>
      <left style="hair">
        <color indexed="64"/>
      </left>
      <right style="thin">
        <color indexed="64"/>
      </right>
      <top style="hair">
        <color indexed="64"/>
      </top>
      <bottom/>
      <diagonal/>
    </border>
    <border>
      <left style="thin">
        <color indexed="64"/>
      </left>
      <right style="thin">
        <color indexed="64"/>
      </right>
      <top style="hair">
        <color indexed="64"/>
      </top>
      <bottom/>
      <diagonal/>
    </border>
    <border>
      <left style="thin">
        <color indexed="64"/>
      </left>
      <right/>
      <top style="thin">
        <color indexed="64"/>
      </top>
      <bottom style="hair">
        <color indexed="64"/>
      </bottom>
      <diagonal/>
    </border>
    <border>
      <left/>
      <right style="hair">
        <color indexed="64"/>
      </right>
      <top style="thin">
        <color indexed="64"/>
      </top>
      <bottom style="hair">
        <color indexed="64"/>
      </bottom>
      <diagonal/>
    </border>
    <border>
      <left style="hair">
        <color indexed="64"/>
      </left>
      <right/>
      <top style="thin">
        <color indexed="64"/>
      </top>
      <bottom style="hair">
        <color indexed="64"/>
      </bottom>
      <diagonal/>
    </border>
    <border>
      <left/>
      <right style="hair">
        <color indexed="64"/>
      </right>
      <top style="hair">
        <color indexed="64"/>
      </top>
      <bottom/>
      <diagonal/>
    </border>
    <border>
      <left/>
      <right style="hair">
        <color indexed="64"/>
      </right>
      <top/>
      <bottom style="thin">
        <color indexed="64"/>
      </bottom>
      <diagonal/>
    </border>
    <border>
      <left style="hair">
        <color indexed="64"/>
      </left>
      <right style="hair">
        <color indexed="64"/>
      </right>
      <top/>
      <bottom style="thin">
        <color indexed="64"/>
      </bottom>
      <diagonal/>
    </border>
    <border>
      <left style="hair">
        <color indexed="64"/>
      </left>
      <right style="thin">
        <color indexed="64"/>
      </right>
      <top/>
      <bottom style="thin">
        <color indexed="64"/>
      </bottom>
      <diagonal/>
    </border>
    <border>
      <left/>
      <right style="hair">
        <color indexed="64"/>
      </right>
      <top style="hair">
        <color indexed="64"/>
      </top>
      <bottom style="thin">
        <color indexed="64"/>
      </bottom>
      <diagonal/>
    </border>
    <border>
      <left style="hair">
        <color indexed="64"/>
      </left>
      <right style="hair">
        <color indexed="64"/>
      </right>
      <top style="thin">
        <color indexed="64"/>
      </top>
      <bottom/>
      <diagonal/>
    </border>
    <border>
      <left/>
      <right style="hair">
        <color indexed="64"/>
      </right>
      <top style="thin">
        <color indexed="64"/>
      </top>
      <bottom/>
      <diagonal/>
    </border>
  </borders>
  <cellStyleXfs count="10">
    <xf numFmtId="0" fontId="0"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4" fillId="2" borderId="0"/>
  </cellStyleXfs>
  <cellXfs count="865">
    <xf numFmtId="0" fontId="0" fillId="0" borderId="0" xfId="0"/>
    <xf numFmtId="0" fontId="3" fillId="0" borderId="0" xfId="2" applyProtection="1"/>
    <xf numFmtId="0" fontId="3" fillId="0" borderId="0" xfId="2"/>
    <xf numFmtId="0" fontId="3" fillId="0" borderId="0" xfId="1"/>
    <xf numFmtId="0" fontId="15" fillId="2" borderId="1" xfId="9" applyFont="1" applyFill="1" applyBorder="1" applyAlignment="1" applyProtection="1">
      <alignment horizontal="center" vertical="center"/>
    </xf>
    <xf numFmtId="0" fontId="16" fillId="0" borderId="0" xfId="1" applyFont="1" applyAlignment="1">
      <alignment horizontal="right"/>
    </xf>
    <xf numFmtId="0" fontId="16" fillId="0" borderId="0" xfId="1" applyFont="1" applyAlignment="1">
      <alignment horizontal="left"/>
    </xf>
    <xf numFmtId="0" fontId="25" fillId="0" borderId="0" xfId="6" applyFont="1" applyAlignment="1" applyProtection="1">
      <alignment vertical="center"/>
    </xf>
    <xf numFmtId="0" fontId="3" fillId="0" borderId="0" xfId="6"/>
    <xf numFmtId="0" fontId="24" fillId="2" borderId="2" xfId="6" applyFont="1" applyFill="1" applyBorder="1" applyAlignment="1" applyProtection="1">
      <alignment vertical="center"/>
    </xf>
    <xf numFmtId="0" fontId="26" fillId="2" borderId="2" xfId="9" applyFont="1" applyBorder="1" applyAlignment="1" applyProtection="1">
      <alignment horizontal="center" vertical="center"/>
    </xf>
    <xf numFmtId="0" fontId="16" fillId="2" borderId="1" xfId="6" applyFont="1" applyFill="1" applyBorder="1" applyAlignment="1" applyProtection="1">
      <alignment vertical="center"/>
    </xf>
    <xf numFmtId="0" fontId="16" fillId="2" borderId="3" xfId="6" applyFont="1" applyFill="1" applyBorder="1" applyAlignment="1" applyProtection="1">
      <alignment vertical="center"/>
    </xf>
    <xf numFmtId="0" fontId="25" fillId="0" borderId="2" xfId="6" applyFont="1" applyBorder="1" applyAlignment="1" applyProtection="1">
      <alignment vertical="center"/>
    </xf>
    <xf numFmtId="0" fontId="15" fillId="0" borderId="1" xfId="6" applyFont="1" applyBorder="1" applyAlignment="1" applyProtection="1">
      <alignment vertical="center"/>
    </xf>
    <xf numFmtId="0" fontId="16" fillId="0" borderId="3" xfId="6" applyFont="1" applyBorder="1" applyAlignment="1" applyProtection="1">
      <alignment vertical="center"/>
    </xf>
    <xf numFmtId="165" fontId="19" fillId="0" borderId="0" xfId="3" applyNumberFormat="1" applyFont="1" applyBorder="1" applyAlignment="1" applyProtection="1">
      <alignment horizontal="center" vertical="center"/>
      <protection hidden="1"/>
    </xf>
    <xf numFmtId="0" fontId="3" fillId="0" borderId="0" xfId="3"/>
    <xf numFmtId="164" fontId="11" fillId="0" borderId="0" xfId="3" applyNumberFormat="1" applyFont="1" applyBorder="1" applyAlignment="1" applyProtection="1">
      <alignment horizontal="center" vertical="center"/>
      <protection hidden="1"/>
    </xf>
    <xf numFmtId="0" fontId="4" fillId="2" borderId="0" xfId="9" applyFont="1" applyBorder="1" applyAlignment="1" applyProtection="1">
      <alignment horizontal="center"/>
    </xf>
    <xf numFmtId="0" fontId="2" fillId="2" borderId="0" xfId="9" applyFont="1" applyBorder="1" applyAlignment="1" applyProtection="1">
      <alignment horizontal="center"/>
    </xf>
    <xf numFmtId="166" fontId="27" fillId="0" borderId="0" xfId="3" applyNumberFormat="1" applyFont="1" applyBorder="1" applyAlignment="1" applyProtection="1">
      <alignment horizontal="center"/>
    </xf>
    <xf numFmtId="0" fontId="3" fillId="0" borderId="0" xfId="5"/>
    <xf numFmtId="0" fontId="7" fillId="3" borderId="0" xfId="5" applyFont="1" applyFill="1" applyBorder="1" applyAlignment="1" applyProtection="1">
      <alignment horizontal="center" vertical="center"/>
    </xf>
    <xf numFmtId="0" fontId="7" fillId="3" borderId="0" xfId="5" applyFont="1" applyFill="1" applyBorder="1" applyAlignment="1" applyProtection="1">
      <alignment horizontal="left" vertical="center"/>
    </xf>
    <xf numFmtId="0" fontId="25" fillId="4" borderId="2" xfId="6" applyFont="1" applyFill="1" applyBorder="1" applyAlignment="1" applyProtection="1">
      <alignment vertical="center"/>
    </xf>
    <xf numFmtId="0" fontId="15" fillId="4" borderId="1" xfId="6" applyFont="1" applyFill="1" applyBorder="1" applyAlignment="1" applyProtection="1">
      <alignment vertical="center"/>
    </xf>
    <xf numFmtId="0" fontId="15" fillId="4" borderId="1" xfId="9" applyFont="1" applyFill="1" applyBorder="1" applyAlignment="1" applyProtection="1">
      <alignment horizontal="center" vertical="center"/>
    </xf>
    <xf numFmtId="0" fontId="16" fillId="4" borderId="3" xfId="6" applyFont="1" applyFill="1" applyBorder="1" applyAlignment="1" applyProtection="1">
      <alignment vertical="center"/>
    </xf>
    <xf numFmtId="0" fontId="20" fillId="4" borderId="2" xfId="2" applyFont="1" applyFill="1" applyBorder="1" applyAlignment="1" applyProtection="1">
      <alignment vertical="center"/>
    </xf>
    <xf numFmtId="0" fontId="21" fillId="4" borderId="2" xfId="9" applyFont="1" applyFill="1" applyBorder="1" applyAlignment="1" applyProtection="1">
      <alignment horizontal="center" vertical="center"/>
    </xf>
    <xf numFmtId="0" fontId="22" fillId="4" borderId="1" xfId="2" applyFont="1" applyFill="1" applyBorder="1" applyAlignment="1" applyProtection="1">
      <alignment horizontal="left" vertical="center"/>
    </xf>
    <xf numFmtId="0" fontId="23" fillId="4" borderId="1" xfId="9" applyFont="1" applyFill="1" applyBorder="1" applyAlignment="1" applyProtection="1">
      <alignment horizontal="center" vertical="center"/>
    </xf>
    <xf numFmtId="0" fontId="22" fillId="4" borderId="3" xfId="2" applyFont="1" applyFill="1" applyBorder="1" applyAlignment="1" applyProtection="1">
      <alignment horizontal="left" vertical="center"/>
    </xf>
    <xf numFmtId="0" fontId="7" fillId="3" borderId="0" xfId="5" applyFont="1" applyFill="1" applyBorder="1" applyProtection="1"/>
    <xf numFmtId="0" fontId="7" fillId="3" borderId="0" xfId="5" applyFont="1" applyFill="1" applyProtection="1"/>
    <xf numFmtId="0" fontId="25" fillId="2" borderId="2" xfId="6" applyFont="1" applyFill="1" applyBorder="1" applyAlignment="1" applyProtection="1">
      <alignment vertical="center"/>
    </xf>
    <xf numFmtId="0" fontId="15" fillId="2" borderId="1" xfId="6" applyFont="1" applyFill="1" applyBorder="1" applyAlignment="1" applyProtection="1">
      <alignment vertical="center"/>
    </xf>
    <xf numFmtId="166" fontId="24" fillId="0" borderId="3" xfId="6" applyNumberFormat="1" applyFont="1" applyBorder="1" applyProtection="1"/>
    <xf numFmtId="0" fontId="3" fillId="0" borderId="0" xfId="6" applyProtection="1"/>
    <xf numFmtId="166" fontId="24" fillId="0" borderId="3" xfId="6" applyNumberFormat="1" applyFont="1" applyBorder="1" applyProtection="1">
      <protection locked="0"/>
    </xf>
    <xf numFmtId="166" fontId="24" fillId="0" borderId="1" xfId="6" applyNumberFormat="1" applyFont="1" applyBorder="1" applyProtection="1">
      <protection locked="0"/>
    </xf>
    <xf numFmtId="166" fontId="24" fillId="2" borderId="3" xfId="6" applyNumberFormat="1" applyFont="1" applyFill="1" applyBorder="1" applyProtection="1">
      <protection locked="0"/>
    </xf>
    <xf numFmtId="0" fontId="4" fillId="4" borderId="2" xfId="1" applyFont="1" applyFill="1" applyBorder="1" applyAlignment="1" applyProtection="1">
      <alignment horizontal="left"/>
    </xf>
    <xf numFmtId="0" fontId="16" fillId="4" borderId="1" xfId="1" applyFont="1" applyFill="1" applyBorder="1" applyProtection="1"/>
    <xf numFmtId="165" fontId="19" fillId="4" borderId="2" xfId="1" applyNumberFormat="1" applyFont="1" applyFill="1" applyBorder="1" applyAlignment="1" applyProtection="1">
      <alignment horizontal="center" vertical="center"/>
    </xf>
    <xf numFmtId="0" fontId="1" fillId="4" borderId="3" xfId="1" applyFont="1" applyFill="1" applyBorder="1" applyAlignment="1" applyProtection="1">
      <alignment horizontal="left"/>
    </xf>
    <xf numFmtId="0" fontId="3" fillId="4" borderId="2" xfId="1" applyFill="1" applyBorder="1" applyProtection="1"/>
    <xf numFmtId="0" fontId="15" fillId="4" borderId="1" xfId="1" applyFont="1" applyFill="1" applyBorder="1" applyAlignment="1" applyProtection="1">
      <alignment horizontal="left"/>
    </xf>
    <xf numFmtId="0" fontId="1" fillId="4" borderId="3" xfId="1" applyFont="1" applyFill="1" applyBorder="1" applyAlignment="1" applyProtection="1">
      <alignment horizontal="center"/>
    </xf>
    <xf numFmtId="0" fontId="3" fillId="2" borderId="2" xfId="1" applyFill="1" applyBorder="1" applyProtection="1"/>
    <xf numFmtId="0" fontId="15" fillId="2" borderId="1" xfId="1" applyFont="1" applyFill="1" applyBorder="1" applyAlignment="1" applyProtection="1">
      <alignment horizontal="left"/>
    </xf>
    <xf numFmtId="0" fontId="1" fillId="2" borderId="3" xfId="1" applyFont="1" applyFill="1" applyBorder="1" applyAlignment="1" applyProtection="1">
      <alignment horizontal="left"/>
    </xf>
    <xf numFmtId="0" fontId="3" fillId="0" borderId="0" xfId="1" applyProtection="1">
      <protection locked="0"/>
    </xf>
    <xf numFmtId="0" fontId="16" fillId="0" borderId="0" xfId="1" applyFont="1" applyAlignment="1" applyProtection="1">
      <alignment horizontal="right"/>
      <protection locked="0"/>
    </xf>
    <xf numFmtId="0" fontId="16" fillId="0" borderId="0" xfId="1" applyFont="1" applyAlignment="1" applyProtection="1">
      <alignment horizontal="left"/>
      <protection locked="0"/>
    </xf>
    <xf numFmtId="166" fontId="24" fillId="0" borderId="3" xfId="1" applyNumberFormat="1" applyFont="1" applyBorder="1" applyProtection="1">
      <protection locked="0"/>
    </xf>
    <xf numFmtId="166" fontId="24" fillId="2" borderId="3" xfId="1" applyNumberFormat="1" applyFont="1" applyFill="1" applyBorder="1" applyProtection="1">
      <protection locked="0"/>
    </xf>
    <xf numFmtId="166" fontId="24" fillId="4" borderId="3" xfId="1" applyNumberFormat="1" applyFont="1" applyFill="1" applyBorder="1" applyProtection="1">
      <protection locked="0"/>
    </xf>
    <xf numFmtId="165" fontId="19" fillId="4" borderId="2" xfId="2" applyNumberFormat="1" applyFont="1" applyFill="1" applyBorder="1" applyAlignment="1" applyProtection="1">
      <alignment horizontal="center" vertical="center"/>
    </xf>
    <xf numFmtId="0" fontId="20" fillId="4" borderId="2" xfId="2" applyFont="1" applyFill="1" applyBorder="1" applyAlignment="1" applyProtection="1">
      <alignment horizontal="left" vertical="center"/>
    </xf>
    <xf numFmtId="0" fontId="22" fillId="4" borderId="1" xfId="2" applyFont="1" applyFill="1" applyBorder="1" applyAlignment="1" applyProtection="1">
      <alignment vertical="center"/>
    </xf>
    <xf numFmtId="0" fontId="22" fillId="4" borderId="3" xfId="2" applyFont="1" applyFill="1" applyBorder="1" applyAlignment="1" applyProtection="1">
      <alignment horizontal="center" vertical="center"/>
    </xf>
    <xf numFmtId="0" fontId="3" fillId="0" borderId="0" xfId="2" applyFont="1" applyAlignment="1" applyProtection="1">
      <alignment vertical="center"/>
      <protection locked="0"/>
    </xf>
    <xf numFmtId="0" fontId="3" fillId="0" borderId="0" xfId="2" applyAlignment="1" applyProtection="1">
      <alignment vertical="center"/>
      <protection locked="0"/>
    </xf>
    <xf numFmtId="0" fontId="3" fillId="0" borderId="0" xfId="2" applyProtection="1">
      <protection locked="0"/>
    </xf>
    <xf numFmtId="0" fontId="13" fillId="0" borderId="0" xfId="2" applyFont="1" applyAlignment="1" applyProtection="1">
      <alignment horizontal="right" vertical="center"/>
      <protection locked="0"/>
    </xf>
    <xf numFmtId="0" fontId="0" fillId="0" borderId="0" xfId="0" applyProtection="1">
      <protection locked="0"/>
    </xf>
    <xf numFmtId="0" fontId="3" fillId="4" borderId="0" xfId="3" applyFill="1" applyProtection="1"/>
    <xf numFmtId="165" fontId="11" fillId="4" borderId="2" xfId="3" applyNumberFormat="1" applyFont="1" applyFill="1" applyBorder="1" applyAlignment="1" applyProtection="1">
      <alignment horizontal="center" vertical="center"/>
      <protection hidden="1"/>
    </xf>
    <xf numFmtId="165" fontId="19" fillId="4" borderId="2" xfId="3" applyNumberFormat="1" applyFont="1" applyFill="1" applyBorder="1" applyAlignment="1" applyProtection="1">
      <alignment horizontal="center" vertical="center"/>
      <protection hidden="1"/>
    </xf>
    <xf numFmtId="0" fontId="4" fillId="4" borderId="2" xfId="3" applyFont="1" applyFill="1" applyBorder="1" applyAlignment="1" applyProtection="1">
      <alignment horizontal="left"/>
    </xf>
    <xf numFmtId="0" fontId="15" fillId="4" borderId="1" xfId="3" applyFont="1" applyFill="1" applyBorder="1" applyAlignment="1" applyProtection="1">
      <alignment horizontal="left"/>
    </xf>
    <xf numFmtId="0" fontId="1" fillId="4" borderId="3" xfId="3" applyFont="1" applyFill="1" applyBorder="1" applyAlignment="1" applyProtection="1">
      <alignment horizontal="left"/>
    </xf>
    <xf numFmtId="166" fontId="24" fillId="4" borderId="3" xfId="3" applyNumberFormat="1" applyFont="1" applyFill="1" applyBorder="1" applyProtection="1">
      <protection locked="0" hidden="1"/>
    </xf>
    <xf numFmtId="0" fontId="3" fillId="4" borderId="2" xfId="3" applyFill="1" applyBorder="1" applyProtection="1"/>
    <xf numFmtId="0" fontId="1" fillId="4" borderId="3" xfId="3" applyFont="1" applyFill="1" applyBorder="1" applyAlignment="1" applyProtection="1">
      <alignment horizontal="center"/>
    </xf>
    <xf numFmtId="0" fontId="15" fillId="4" borderId="1" xfId="3" applyFont="1" applyFill="1" applyBorder="1" applyProtection="1"/>
    <xf numFmtId="166" fontId="25" fillId="4" borderId="3" xfId="3" applyNumberFormat="1" applyFont="1" applyFill="1" applyBorder="1" applyProtection="1">
      <protection locked="0" hidden="1"/>
    </xf>
    <xf numFmtId="0" fontId="3" fillId="0" borderId="0" xfId="5" applyProtection="1"/>
    <xf numFmtId="0" fontId="7" fillId="0" borderId="0" xfId="5" applyFont="1" applyBorder="1" applyAlignment="1" applyProtection="1">
      <alignment horizontal="center" vertical="center"/>
      <protection locked="0"/>
    </xf>
    <xf numFmtId="0" fontId="7" fillId="0" borderId="0" xfId="5" applyFont="1" applyBorder="1" applyAlignment="1" applyProtection="1">
      <alignment horizontal="left" vertical="center"/>
      <protection locked="0"/>
    </xf>
    <xf numFmtId="0" fontId="7" fillId="0" borderId="0" xfId="5" applyFont="1" applyBorder="1" applyProtection="1">
      <protection locked="0"/>
    </xf>
    <xf numFmtId="0" fontId="7" fillId="0" borderId="0" xfId="5" applyFont="1" applyProtection="1">
      <protection locked="0"/>
    </xf>
    <xf numFmtId="0" fontId="7" fillId="0" borderId="0" xfId="5" applyFont="1" applyAlignment="1" applyProtection="1">
      <alignment horizontal="center"/>
      <protection locked="0"/>
    </xf>
    <xf numFmtId="0" fontId="3" fillId="4" borderId="0" xfId="5" applyFill="1" applyProtection="1"/>
    <xf numFmtId="0" fontId="3" fillId="4" borderId="0" xfId="5" applyFill="1"/>
    <xf numFmtId="0" fontId="7" fillId="4" borderId="0" xfId="5" applyFont="1" applyFill="1" applyProtection="1"/>
    <xf numFmtId="0" fontId="8" fillId="4" borderId="0" xfId="5" applyFont="1" applyFill="1" applyBorder="1" applyAlignment="1" applyProtection="1">
      <alignment horizontal="center" vertical="center"/>
    </xf>
    <xf numFmtId="0" fontId="8" fillId="4" borderId="0" xfId="5" applyFont="1" applyFill="1" applyBorder="1" applyAlignment="1" applyProtection="1">
      <alignment horizontal="left" vertical="center"/>
    </xf>
    <xf numFmtId="0" fontId="8" fillId="4" borderId="0" xfId="5" applyFont="1" applyFill="1" applyBorder="1" applyAlignment="1" applyProtection="1">
      <alignment vertical="center"/>
    </xf>
    <xf numFmtId="0" fontId="3" fillId="0" borderId="0" xfId="3" applyProtection="1">
      <protection locked="0"/>
    </xf>
    <xf numFmtId="0" fontId="24" fillId="0" borderId="0" xfId="3" applyFont="1" applyProtection="1">
      <protection locked="0"/>
    </xf>
    <xf numFmtId="0" fontId="16" fillId="0" borderId="0" xfId="3" applyFont="1" applyAlignment="1" applyProtection="1">
      <alignment horizontal="right"/>
      <protection locked="0"/>
    </xf>
    <xf numFmtId="0" fontId="15" fillId="0" borderId="0" xfId="3" applyFont="1" applyAlignment="1" applyProtection="1">
      <alignment horizontal="left" vertical="center"/>
      <protection locked="0"/>
    </xf>
    <xf numFmtId="0" fontId="15" fillId="0" borderId="0" xfId="6" applyFont="1" applyAlignment="1" applyProtection="1">
      <alignment horizontal="center" vertical="center"/>
      <protection locked="0"/>
    </xf>
    <xf numFmtId="0" fontId="16" fillId="0" borderId="0" xfId="6" applyFont="1" applyAlignment="1" applyProtection="1">
      <alignment vertical="center"/>
      <protection locked="0"/>
    </xf>
    <xf numFmtId="0" fontId="3" fillId="0" borderId="0" xfId="6" applyProtection="1">
      <protection locked="0"/>
    </xf>
    <xf numFmtId="0" fontId="24" fillId="0" borderId="0" xfId="6" applyFont="1" applyAlignment="1" applyProtection="1">
      <alignment vertical="center"/>
      <protection locked="0"/>
    </xf>
    <xf numFmtId="0" fontId="15" fillId="0" borderId="0" xfId="6" applyFont="1" applyAlignment="1" applyProtection="1">
      <alignment horizontal="left" vertical="center"/>
      <protection locked="0"/>
    </xf>
    <xf numFmtId="0" fontId="33" fillId="0" borderId="0" xfId="0" applyFont="1" applyAlignment="1" applyProtection="1">
      <alignment horizontal="left"/>
      <protection locked="0"/>
    </xf>
    <xf numFmtId="0" fontId="4" fillId="0" borderId="0" xfId="0" applyFont="1" applyAlignment="1" applyProtection="1">
      <alignment horizontal="left"/>
      <protection locked="0"/>
    </xf>
    <xf numFmtId="0" fontId="3" fillId="0" borderId="0" xfId="4" applyFont="1" applyProtection="1">
      <protection locked="0"/>
    </xf>
    <xf numFmtId="0" fontId="3" fillId="0" borderId="0" xfId="4" applyProtection="1">
      <protection locked="0"/>
    </xf>
    <xf numFmtId="0" fontId="3" fillId="5" borderId="0" xfId="7" applyFill="1"/>
    <xf numFmtId="0" fontId="3" fillId="6" borderId="0" xfId="7" applyFill="1"/>
    <xf numFmtId="0" fontId="3" fillId="7" borderId="0" xfId="4" applyFill="1"/>
    <xf numFmtId="0" fontId="0" fillId="7" borderId="0" xfId="0" applyFill="1"/>
    <xf numFmtId="0" fontId="4" fillId="0" borderId="0" xfId="0" applyFont="1"/>
    <xf numFmtId="49" fontId="4" fillId="0" borderId="0" xfId="0" applyNumberFormat="1" applyFont="1" applyProtection="1"/>
    <xf numFmtId="0" fontId="0" fillId="0" borderId="0" xfId="0" applyFill="1"/>
    <xf numFmtId="0" fontId="3" fillId="8" borderId="0" xfId="4" applyFill="1"/>
    <xf numFmtId="0" fontId="0" fillId="8" borderId="0" xfId="0" applyFill="1"/>
    <xf numFmtId="0" fontId="3" fillId="8" borderId="0" xfId="4" applyFill="1" applyProtection="1">
      <protection locked="0"/>
    </xf>
    <xf numFmtId="0" fontId="27" fillId="0" borderId="0" xfId="4" applyFont="1" applyProtection="1">
      <protection locked="0"/>
    </xf>
    <xf numFmtId="0" fontId="0" fillId="0" borderId="0" xfId="0" applyFill="1" applyProtection="1">
      <protection locked="0"/>
    </xf>
    <xf numFmtId="0" fontId="3" fillId="9" borderId="0" xfId="4" applyFill="1"/>
    <xf numFmtId="0" fontId="0" fillId="9" borderId="0" xfId="0" applyFill="1"/>
    <xf numFmtId="0" fontId="36" fillId="10" borderId="0" xfId="0" applyFont="1" applyFill="1" applyProtection="1">
      <protection locked="0"/>
    </xf>
    <xf numFmtId="0" fontId="36" fillId="10" borderId="0" xfId="0" applyFont="1" applyFill="1"/>
    <xf numFmtId="0" fontId="0" fillId="10" borderId="0" xfId="0" applyFill="1"/>
    <xf numFmtId="0" fontId="0" fillId="11" borderId="0" xfId="0" applyFill="1"/>
    <xf numFmtId="0" fontId="0" fillId="12" borderId="0" xfId="0" applyFill="1"/>
    <xf numFmtId="0" fontId="37" fillId="12" borderId="0" xfId="0" applyFont="1" applyFill="1" applyProtection="1">
      <protection locked="0"/>
    </xf>
    <xf numFmtId="0" fontId="37" fillId="12" borderId="0" xfId="0" applyFont="1" applyFill="1"/>
    <xf numFmtId="0" fontId="13" fillId="0" borderId="0" xfId="2" applyFont="1" applyAlignment="1">
      <alignment horizontal="centerContinuous" vertical="center"/>
    </xf>
    <xf numFmtId="0" fontId="12" fillId="0" borderId="0" xfId="2" applyFont="1" applyAlignment="1" applyProtection="1">
      <alignment horizontal="centerContinuous" vertical="center"/>
      <protection locked="0"/>
    </xf>
    <xf numFmtId="0" fontId="3" fillId="8" borderId="0" xfId="4" applyFont="1" applyFill="1"/>
    <xf numFmtId="0" fontId="21" fillId="4" borderId="2" xfId="1" applyFont="1" applyFill="1" applyBorder="1" applyAlignment="1" applyProtection="1">
      <alignment horizontal="center"/>
    </xf>
    <xf numFmtId="0" fontId="3" fillId="4" borderId="4" xfId="1" applyFill="1" applyBorder="1" applyProtection="1"/>
    <xf numFmtId="165" fontId="11" fillId="4" borderId="2" xfId="1" applyNumberFormat="1" applyFont="1" applyFill="1" applyBorder="1" applyAlignment="1" applyProtection="1">
      <alignment horizontal="center" vertical="center"/>
    </xf>
    <xf numFmtId="0" fontId="3" fillId="4" borderId="5" xfId="1" applyFill="1" applyBorder="1" applyProtection="1"/>
    <xf numFmtId="166" fontId="24" fillId="4" borderId="1" xfId="3" applyNumberFormat="1" applyFont="1" applyFill="1" applyBorder="1" applyProtection="1">
      <protection locked="0" hidden="1"/>
    </xf>
    <xf numFmtId="0" fontId="8" fillId="4" borderId="0" xfId="5" quotePrefix="1" applyFont="1" applyFill="1" applyBorder="1" applyAlignment="1" applyProtection="1">
      <alignment horizontal="left" vertical="center"/>
    </xf>
    <xf numFmtId="0" fontId="7" fillId="0" borderId="0" xfId="5" applyFont="1" applyBorder="1" applyAlignment="1" applyProtection="1">
      <alignment horizontal="left"/>
      <protection locked="0"/>
    </xf>
    <xf numFmtId="0" fontId="7" fillId="0" borderId="0" xfId="5" applyFont="1" applyAlignment="1">
      <alignment horizontal="center"/>
    </xf>
    <xf numFmtId="0" fontId="3" fillId="0" borderId="0" xfId="5" applyFont="1"/>
    <xf numFmtId="166" fontId="24" fillId="4" borderId="5" xfId="3" applyNumberFormat="1" applyFont="1" applyFill="1" applyBorder="1" applyProtection="1">
      <protection locked="0" hidden="1"/>
    </xf>
    <xf numFmtId="0" fontId="7" fillId="0" borderId="0" xfId="5" applyFont="1" applyAlignment="1">
      <alignment horizontal="left"/>
    </xf>
    <xf numFmtId="0" fontId="15" fillId="0" borderId="0" xfId="6" applyFont="1"/>
    <xf numFmtId="165" fontId="11" fillId="0" borderId="2" xfId="6" applyNumberFormat="1" applyFont="1" applyBorder="1" applyAlignment="1" applyProtection="1">
      <alignment horizontal="center" vertical="center"/>
    </xf>
    <xf numFmtId="49" fontId="15" fillId="0" borderId="0" xfId="3" applyNumberFormat="1" applyFont="1" applyAlignment="1" applyProtection="1">
      <alignment horizontal="center"/>
      <protection locked="0"/>
    </xf>
    <xf numFmtId="0" fontId="15" fillId="0" borderId="0" xfId="6" applyFont="1" applyAlignment="1" applyProtection="1">
      <alignment horizontal="center"/>
    </xf>
    <xf numFmtId="0" fontId="3" fillId="0" borderId="0" xfId="5" applyAlignment="1">
      <alignment horizontal="center"/>
    </xf>
    <xf numFmtId="166" fontId="24" fillId="4" borderId="3" xfId="6" applyNumberFormat="1" applyFont="1" applyFill="1" applyBorder="1" applyProtection="1">
      <protection locked="0"/>
    </xf>
    <xf numFmtId="0" fontId="3" fillId="0" borderId="0" xfId="2" applyFont="1"/>
    <xf numFmtId="0" fontId="3" fillId="0" borderId="0" xfId="2" applyAlignment="1"/>
    <xf numFmtId="0" fontId="41" fillId="0" borderId="0" xfId="2" applyFont="1" applyAlignment="1">
      <alignment horizontal="center" vertical="center"/>
    </xf>
    <xf numFmtId="167" fontId="11" fillId="4" borderId="3" xfId="3" applyNumberFormat="1" applyFont="1" applyFill="1" applyBorder="1" applyAlignment="1" applyProtection="1">
      <alignment horizontal="center" vertical="center"/>
      <protection hidden="1"/>
    </xf>
    <xf numFmtId="14" fontId="11" fillId="0" borderId="3" xfId="6" applyNumberFormat="1" applyFont="1" applyBorder="1" applyAlignment="1" applyProtection="1">
      <alignment horizontal="center" vertical="center"/>
    </xf>
    <xf numFmtId="14" fontId="11" fillId="4" borderId="3" xfId="1" applyNumberFormat="1" applyFont="1" applyFill="1" applyBorder="1" applyAlignment="1" applyProtection="1">
      <alignment horizontal="center" vertical="center"/>
    </xf>
    <xf numFmtId="14" fontId="11" fillId="4" borderId="3" xfId="2" applyNumberFormat="1" applyFont="1" applyFill="1" applyBorder="1" applyAlignment="1" applyProtection="1">
      <alignment horizontal="center" vertical="center"/>
    </xf>
    <xf numFmtId="0" fontId="3" fillId="0" borderId="0" xfId="1" applyFont="1"/>
    <xf numFmtId="0" fontId="5" fillId="0" borderId="0" xfId="5" applyFont="1" applyProtection="1">
      <protection locked="0"/>
    </xf>
    <xf numFmtId="0" fontId="26" fillId="4" borderId="2" xfId="9" applyFont="1" applyFill="1" applyBorder="1" applyAlignment="1" applyProtection="1">
      <alignment horizontal="center" vertical="center"/>
    </xf>
    <xf numFmtId="166" fontId="24" fillId="4" borderId="1" xfId="6" applyNumberFormat="1" applyFont="1" applyFill="1" applyBorder="1" applyProtection="1">
      <protection locked="0"/>
    </xf>
    <xf numFmtId="0" fontId="3" fillId="0" borderId="0" xfId="3" applyFont="1" applyProtection="1">
      <protection locked="0"/>
    </xf>
    <xf numFmtId="0" fontId="44" fillId="0" borderId="0" xfId="2" applyFont="1" applyAlignment="1">
      <alignment horizontal="center" vertical="center"/>
    </xf>
    <xf numFmtId="0" fontId="7" fillId="3" borderId="0" xfId="5" applyFont="1" applyFill="1" applyBorder="1" applyAlignment="1" applyProtection="1">
      <alignment horizontal="center"/>
    </xf>
    <xf numFmtId="49" fontId="7" fillId="0" borderId="0" xfId="5" applyNumberFormat="1" applyFont="1" applyBorder="1" applyAlignment="1" applyProtection="1">
      <alignment horizontal="center"/>
      <protection locked="0"/>
    </xf>
    <xf numFmtId="49" fontId="3" fillId="0" borderId="0" xfId="5" applyNumberFormat="1" applyAlignment="1">
      <alignment horizontal="center"/>
    </xf>
    <xf numFmtId="0" fontId="7" fillId="0" borderId="0" xfId="5" applyFont="1" applyBorder="1" applyAlignment="1" applyProtection="1">
      <alignment horizontal="center"/>
      <protection locked="0"/>
    </xf>
    <xf numFmtId="0" fontId="7" fillId="3" borderId="0" xfId="5" applyFont="1" applyFill="1" applyAlignment="1" applyProtection="1">
      <alignment horizontal="center"/>
    </xf>
    <xf numFmtId="0" fontId="7" fillId="4" borderId="0" xfId="5" applyFont="1" applyFill="1" applyAlignment="1" applyProtection="1">
      <alignment horizontal="center"/>
    </xf>
    <xf numFmtId="0" fontId="3" fillId="4" borderId="0" xfId="5" applyFill="1" applyAlignment="1" applyProtection="1">
      <alignment horizontal="center"/>
    </xf>
    <xf numFmtId="0" fontId="3" fillId="0" borderId="0" xfId="5" applyAlignment="1" applyProtection="1">
      <alignment horizontal="center"/>
    </xf>
    <xf numFmtId="166" fontId="3" fillId="0" borderId="0" xfId="3" applyNumberFormat="1"/>
    <xf numFmtId="0" fontId="3" fillId="0" borderId="0" xfId="3" applyFont="1"/>
    <xf numFmtId="165" fontId="11" fillId="4" borderId="2" xfId="6" applyNumberFormat="1" applyFont="1" applyFill="1" applyBorder="1" applyAlignment="1" applyProtection="1">
      <alignment horizontal="center" vertical="center"/>
    </xf>
    <xf numFmtId="14" fontId="11" fillId="4" borderId="3" xfId="6" applyNumberFormat="1" applyFont="1" applyFill="1" applyBorder="1" applyAlignment="1" applyProtection="1">
      <alignment horizontal="center" vertical="center"/>
    </xf>
    <xf numFmtId="0" fontId="3" fillId="4" borderId="0" xfId="6" applyFill="1"/>
    <xf numFmtId="0" fontId="15" fillId="0" borderId="0" xfId="3" applyFont="1" applyAlignment="1" applyProtection="1">
      <alignment horizontal="center" vertical="center"/>
      <protection locked="0"/>
    </xf>
    <xf numFmtId="0" fontId="13" fillId="0" borderId="0" xfId="2" applyFont="1" applyAlignment="1">
      <alignment horizontal="center"/>
    </xf>
    <xf numFmtId="0" fontId="42" fillId="0" borderId="0" xfId="3" applyFont="1" applyAlignment="1">
      <alignment horizontal="center"/>
    </xf>
    <xf numFmtId="14" fontId="3" fillId="0" borderId="0" xfId="5" applyNumberFormat="1" applyAlignment="1">
      <alignment horizontal="left"/>
    </xf>
    <xf numFmtId="0" fontId="16" fillId="4" borderId="2" xfId="6" applyFont="1" applyFill="1" applyBorder="1" applyAlignment="1" applyProtection="1">
      <alignment vertical="center"/>
    </xf>
    <xf numFmtId="0" fontId="16" fillId="4" borderId="1" xfId="6" applyFont="1" applyFill="1" applyBorder="1" applyAlignment="1" applyProtection="1">
      <alignment vertical="center"/>
    </xf>
    <xf numFmtId="0" fontId="3" fillId="0" borderId="0" xfId="3" applyFill="1" applyProtection="1">
      <protection locked="0"/>
    </xf>
    <xf numFmtId="0" fontId="28" fillId="0" borderId="0" xfId="3" applyFont="1" applyFill="1" applyProtection="1">
      <protection locked="0"/>
    </xf>
    <xf numFmtId="0" fontId="28" fillId="0" borderId="0" xfId="3" applyFont="1" applyFill="1"/>
    <xf numFmtId="0" fontId="3" fillId="0" borderId="0" xfId="3" applyFill="1"/>
    <xf numFmtId="0" fontId="17" fillId="0" borderId="0" xfId="3" applyFont="1" applyAlignment="1" applyProtection="1">
      <alignment horizontal="center"/>
      <protection locked="0"/>
    </xf>
    <xf numFmtId="0" fontId="15" fillId="0" borderId="0" xfId="3" applyFont="1" applyFill="1" applyAlignment="1" applyProtection="1">
      <alignment horizontal="center" vertical="center"/>
      <protection locked="0"/>
    </xf>
    <xf numFmtId="0" fontId="15" fillId="0" borderId="0" xfId="3" applyFont="1" applyFill="1" applyBorder="1" applyAlignment="1" applyProtection="1">
      <alignment horizontal="center" vertical="center"/>
      <protection locked="0"/>
    </xf>
    <xf numFmtId="0" fontId="15" fillId="0" borderId="0" xfId="3" applyFont="1" applyAlignment="1">
      <alignment horizontal="left" vertical="center"/>
    </xf>
    <xf numFmtId="0" fontId="28" fillId="0" borderId="0" xfId="3" applyFont="1" applyFill="1" applyAlignment="1" applyProtection="1">
      <alignment horizontal="center" vertical="center"/>
    </xf>
    <xf numFmtId="0" fontId="17" fillId="0" borderId="0" xfId="3" applyFont="1" applyAlignment="1" applyProtection="1">
      <alignment horizontal="center" vertical="center"/>
    </xf>
    <xf numFmtId="0" fontId="45" fillId="0" borderId="0" xfId="8" applyFont="1" applyAlignment="1" applyProtection="1">
      <alignment horizontal="centerContinuous"/>
      <protection hidden="1"/>
    </xf>
    <xf numFmtId="0" fontId="27" fillId="0" borderId="0" xfId="8" applyFont="1" applyAlignment="1" applyProtection="1">
      <alignment horizontal="centerContinuous"/>
      <protection hidden="1"/>
    </xf>
    <xf numFmtId="0" fontId="4" fillId="0" borderId="0" xfId="8" applyFont="1" applyAlignment="1">
      <alignment horizontal="centerContinuous"/>
    </xf>
    <xf numFmtId="0" fontId="4" fillId="0" borderId="0" xfId="8" applyFont="1" applyProtection="1">
      <protection hidden="1"/>
    </xf>
    <xf numFmtId="0" fontId="27" fillId="0" borderId="0" xfId="8" applyFont="1" applyProtection="1">
      <protection hidden="1"/>
    </xf>
    <xf numFmtId="0" fontId="4" fillId="0" borderId="0" xfId="8" applyFont="1"/>
    <xf numFmtId="0" fontId="46" fillId="0" borderId="0" xfId="8" applyFont="1" applyProtection="1">
      <protection hidden="1"/>
    </xf>
    <xf numFmtId="0" fontId="30" fillId="0" borderId="0" xfId="8" applyFont="1" applyAlignment="1" applyProtection="1">
      <alignment horizontal="centerContinuous"/>
      <protection locked="0"/>
    </xf>
    <xf numFmtId="0" fontId="28" fillId="0" borderId="0" xfId="8" applyFont="1" applyAlignment="1" applyProtection="1">
      <alignment horizontal="centerContinuous"/>
      <protection locked="0"/>
    </xf>
    <xf numFmtId="0" fontId="27" fillId="0" borderId="0" xfId="8" applyFont="1" applyAlignment="1" applyProtection="1">
      <alignment horizontal="centerContinuous"/>
      <protection locked="0"/>
    </xf>
    <xf numFmtId="0" fontId="28" fillId="0" borderId="0" xfId="8" applyFont="1" applyProtection="1">
      <protection hidden="1"/>
    </xf>
    <xf numFmtId="0" fontId="27" fillId="0" borderId="0" xfId="8" applyFont="1" applyProtection="1">
      <protection locked="0"/>
    </xf>
    <xf numFmtId="0" fontId="27" fillId="0" borderId="0" xfId="8" applyFont="1" applyAlignment="1" applyProtection="1">
      <alignment vertical="center"/>
      <protection hidden="1"/>
    </xf>
    <xf numFmtId="0" fontId="18" fillId="0" borderId="0" xfId="8" applyFont="1" applyAlignment="1" applyProtection="1">
      <alignment horizontal="centerContinuous" vertical="center"/>
      <protection hidden="1"/>
    </xf>
    <xf numFmtId="0" fontId="31" fillId="0" borderId="0" xfId="8" applyFont="1" applyAlignment="1" applyProtection="1">
      <alignment horizontal="left" vertical="center"/>
      <protection locked="0"/>
    </xf>
    <xf numFmtId="0" fontId="18" fillId="0" borderId="0" xfId="8" applyFont="1" applyAlignment="1" applyProtection="1">
      <alignment vertical="center"/>
      <protection hidden="1"/>
    </xf>
    <xf numFmtId="0" fontId="31" fillId="0" borderId="0" xfId="8" quotePrefix="1" applyNumberFormat="1" applyFont="1" applyAlignment="1" applyProtection="1">
      <alignment vertical="center"/>
      <protection locked="0"/>
    </xf>
    <xf numFmtId="0" fontId="28" fillId="0" borderId="0" xfId="8" applyFont="1" applyAlignment="1" applyProtection="1">
      <alignment horizontal="center" vertical="center"/>
      <protection hidden="1"/>
    </xf>
    <xf numFmtId="0" fontId="4" fillId="0" borderId="0" xfId="8" applyFont="1" applyProtection="1"/>
    <xf numFmtId="49" fontId="4" fillId="0" borderId="0" xfId="8" applyNumberFormat="1" applyFont="1" applyProtection="1"/>
    <xf numFmtId="0" fontId="27" fillId="0" borderId="0" xfId="8" applyFont="1" applyProtection="1"/>
    <xf numFmtId="0" fontId="17" fillId="0" borderId="0" xfId="8" applyFont="1" applyProtection="1"/>
    <xf numFmtId="0" fontId="18" fillId="0" borderId="0" xfId="8" applyFont="1" applyAlignment="1" applyProtection="1">
      <alignment horizontal="right"/>
      <protection hidden="1"/>
    </xf>
    <xf numFmtId="0" fontId="18" fillId="0" borderId="0" xfId="8" applyFont="1" applyAlignment="1" applyProtection="1">
      <alignment horizontal="center"/>
      <protection hidden="1"/>
    </xf>
    <xf numFmtId="14" fontId="28" fillId="0" borderId="0" xfId="8" applyNumberFormat="1" applyFont="1" applyAlignment="1" applyProtection="1">
      <alignment horizontal="centerContinuous"/>
      <protection hidden="1"/>
    </xf>
    <xf numFmtId="0" fontId="29" fillId="0" borderId="0" xfId="8" applyFont="1" applyAlignment="1" applyProtection="1">
      <alignment horizontal="center"/>
    </xf>
    <xf numFmtId="0" fontId="9" fillId="0" borderId="0" xfId="8" applyFont="1" applyProtection="1">
      <protection hidden="1"/>
    </xf>
    <xf numFmtId="0" fontId="27" fillId="13" borderId="6" xfId="8" applyFont="1" applyFill="1" applyBorder="1" applyProtection="1">
      <protection hidden="1"/>
    </xf>
    <xf numFmtId="0" fontId="27" fillId="13" borderId="7" xfId="8" applyFont="1" applyFill="1" applyBorder="1" applyProtection="1">
      <protection hidden="1"/>
    </xf>
    <xf numFmtId="165" fontId="44" fillId="0" borderId="8" xfId="8" applyNumberFormat="1" applyFont="1" applyBorder="1" applyAlignment="1" applyProtection="1">
      <alignment horizontal="center" vertical="center"/>
      <protection hidden="1"/>
    </xf>
    <xf numFmtId="0" fontId="27" fillId="13" borderId="9" xfId="8" applyFont="1" applyFill="1" applyBorder="1" applyProtection="1">
      <protection hidden="1"/>
    </xf>
    <xf numFmtId="0" fontId="27" fillId="13" borderId="10" xfId="8" applyFont="1" applyFill="1" applyBorder="1" applyProtection="1">
      <protection hidden="1"/>
    </xf>
    <xf numFmtId="0" fontId="29" fillId="0" borderId="0" xfId="8" applyFont="1"/>
    <xf numFmtId="0" fontId="44" fillId="0" borderId="11" xfId="8" applyFont="1" applyBorder="1" applyAlignment="1" applyProtection="1">
      <alignment horizontal="center" vertical="center"/>
      <protection hidden="1"/>
    </xf>
    <xf numFmtId="0" fontId="14" fillId="0" borderId="12" xfId="8" applyFont="1" applyBorder="1" applyAlignment="1" applyProtection="1">
      <alignment horizontal="center" vertical="center"/>
      <protection hidden="1"/>
    </xf>
    <xf numFmtId="0" fontId="14" fillId="0" borderId="12" xfId="8" quotePrefix="1" applyFont="1" applyBorder="1" applyAlignment="1" applyProtection="1">
      <alignment horizontal="center" vertical="center"/>
      <protection hidden="1"/>
    </xf>
    <xf numFmtId="164" fontId="44" fillId="0" borderId="13" xfId="8" applyNumberFormat="1" applyFont="1" applyBorder="1" applyAlignment="1" applyProtection="1">
      <alignment horizontal="center" vertical="center"/>
      <protection hidden="1"/>
    </xf>
    <xf numFmtId="0" fontId="47" fillId="0" borderId="14" xfId="8" applyFont="1" applyBorder="1" applyAlignment="1" applyProtection="1">
      <alignment horizontal="center" vertical="center"/>
      <protection locked="0"/>
    </xf>
    <xf numFmtId="0" fontId="47" fillId="0" borderId="15" xfId="8" applyFont="1" applyBorder="1" applyAlignment="1" applyProtection="1">
      <alignment horizontal="center" vertical="center"/>
      <protection locked="0"/>
    </xf>
    <xf numFmtId="0" fontId="29" fillId="0" borderId="16" xfId="8" applyFont="1" applyBorder="1" applyAlignment="1" applyProtection="1">
      <alignment horizontal="center" vertical="center"/>
      <protection hidden="1"/>
    </xf>
    <xf numFmtId="0" fontId="29" fillId="0" borderId="0" xfId="8" applyFont="1" applyBorder="1" applyAlignment="1" applyProtection="1">
      <alignment horizontal="center" vertical="center"/>
    </xf>
    <xf numFmtId="0" fontId="4" fillId="0" borderId="0" xfId="8" applyFont="1" applyProtection="1">
      <protection locked="0"/>
    </xf>
    <xf numFmtId="0" fontId="48" fillId="0" borderId="0" xfId="8" applyFont="1" applyProtection="1">
      <protection locked="0"/>
    </xf>
    <xf numFmtId="0" fontId="29" fillId="11" borderId="17" xfId="8" applyFont="1" applyFill="1" applyBorder="1" applyAlignment="1" applyProtection="1">
      <alignment horizontal="center" vertical="center"/>
    </xf>
    <xf numFmtId="0" fontId="29" fillId="11" borderId="12" xfId="8" applyFont="1" applyFill="1" applyBorder="1" applyAlignment="1" applyProtection="1">
      <alignment horizontal="center" vertical="center"/>
    </xf>
    <xf numFmtId="0" fontId="4" fillId="0" borderId="0" xfId="8" applyFont="1" applyAlignment="1" applyProtection="1">
      <alignment horizontal="left"/>
      <protection locked="0"/>
    </xf>
    <xf numFmtId="0" fontId="4" fillId="14" borderId="18" xfId="8" applyFont="1" applyFill="1" applyBorder="1" applyAlignment="1" applyProtection="1">
      <alignment horizontal="center"/>
    </xf>
    <xf numFmtId="0" fontId="29" fillId="0" borderId="19" xfId="8" applyFont="1" applyBorder="1" applyAlignment="1" applyProtection="1">
      <alignment horizontal="center" vertical="center"/>
    </xf>
    <xf numFmtId="0" fontId="29" fillId="0" borderId="20" xfId="8" applyFont="1" applyBorder="1" applyAlignment="1" applyProtection="1">
      <alignment horizontal="center" vertical="center"/>
    </xf>
    <xf numFmtId="0" fontId="29" fillId="0" borderId="21" xfId="8" applyFont="1" applyBorder="1" applyAlignment="1" applyProtection="1">
      <alignment horizontal="center" vertical="center"/>
    </xf>
    <xf numFmtId="0" fontId="29" fillId="0" borderId="22" xfId="8" applyFont="1" applyBorder="1" applyAlignment="1" applyProtection="1">
      <alignment horizontal="center" vertical="center"/>
    </xf>
    <xf numFmtId="0" fontId="27" fillId="0" borderId="0" xfId="0" applyFont="1" applyAlignment="1" applyProtection="1">
      <alignment horizontal="left"/>
      <protection locked="0"/>
    </xf>
    <xf numFmtId="0" fontId="4" fillId="11" borderId="23" xfId="8" applyFont="1" applyFill="1" applyBorder="1" applyAlignment="1" applyProtection="1">
      <alignment horizontal="center" vertical="center"/>
    </xf>
    <xf numFmtId="0" fontId="4" fillId="11" borderId="24" xfId="8" applyFont="1" applyFill="1" applyBorder="1" applyAlignment="1" applyProtection="1">
      <alignment horizontal="center" vertical="center"/>
    </xf>
    <xf numFmtId="0" fontId="29" fillId="0" borderId="18" xfId="8" applyFont="1" applyBorder="1" applyAlignment="1" applyProtection="1">
      <alignment horizontal="center" vertical="center"/>
    </xf>
    <xf numFmtId="0" fontId="29" fillId="0" borderId="22" xfId="8" quotePrefix="1" applyFont="1" applyBorder="1" applyAlignment="1" applyProtection="1">
      <alignment horizontal="center" vertical="center"/>
    </xf>
    <xf numFmtId="0" fontId="4" fillId="4" borderId="0" xfId="8" applyFont="1" applyFill="1"/>
    <xf numFmtId="0" fontId="4" fillId="11" borderId="12" xfId="8" applyFont="1" applyFill="1" applyBorder="1"/>
    <xf numFmtId="0" fontId="4" fillId="0" borderId="22" xfId="8" applyFont="1" applyBorder="1"/>
    <xf numFmtId="0" fontId="29" fillId="0" borderId="25" xfId="8" applyFont="1" applyBorder="1" applyAlignment="1" applyProtection="1">
      <alignment horizontal="center" vertical="center"/>
    </xf>
    <xf numFmtId="0" fontId="4" fillId="0" borderId="15" xfId="8" applyFont="1" applyBorder="1"/>
    <xf numFmtId="0" fontId="4" fillId="0" borderId="15" xfId="8" applyFont="1" applyBorder="1" applyAlignment="1">
      <alignment horizontal="center"/>
    </xf>
    <xf numFmtId="0" fontId="27" fillId="0" borderId="26" xfId="8" applyFont="1" applyBorder="1" applyAlignment="1" applyProtection="1">
      <alignment horizontal="center"/>
      <protection hidden="1"/>
    </xf>
    <xf numFmtId="0" fontId="27" fillId="0" borderId="0" xfId="8" applyFont="1" applyBorder="1" applyAlignment="1" applyProtection="1">
      <alignment horizontal="center"/>
      <protection hidden="1"/>
    </xf>
    <xf numFmtId="0" fontId="47" fillId="0" borderId="0" xfId="8" applyFont="1" applyBorder="1" applyAlignment="1" applyProtection="1">
      <alignment horizontal="center" vertical="center"/>
      <protection locked="0"/>
    </xf>
    <xf numFmtId="0" fontId="47" fillId="0" borderId="27" xfId="8" applyFont="1" applyBorder="1" applyAlignment="1" applyProtection="1">
      <alignment horizontal="center" vertical="center"/>
      <protection locked="0"/>
    </xf>
    <xf numFmtId="0" fontId="4" fillId="0" borderId="0" xfId="8" applyFont="1" applyProtection="1">
      <protection locked="0" hidden="1"/>
    </xf>
    <xf numFmtId="0" fontId="29" fillId="0" borderId="0" xfId="8" applyFont="1" applyBorder="1" applyAlignment="1" applyProtection="1">
      <alignment horizontal="centerContinuous"/>
      <protection hidden="1"/>
    </xf>
    <xf numFmtId="0" fontId="29" fillId="0" borderId="28" xfId="8" applyFont="1" applyBorder="1" applyAlignment="1" applyProtection="1">
      <alignment horizontal="centerContinuous"/>
      <protection hidden="1"/>
    </xf>
    <xf numFmtId="0" fontId="29" fillId="0" borderId="0" xfId="8" applyFont="1" applyProtection="1">
      <protection hidden="1"/>
    </xf>
    <xf numFmtId="0" fontId="29" fillId="0" borderId="0" xfId="8" applyFont="1" applyProtection="1">
      <protection locked="0" hidden="1"/>
    </xf>
    <xf numFmtId="0" fontId="27" fillId="0" borderId="5" xfId="8" applyFont="1" applyBorder="1" applyAlignment="1" applyProtection="1">
      <alignment horizontal="center"/>
      <protection hidden="1"/>
    </xf>
    <xf numFmtId="0" fontId="27" fillId="0" borderId="29" xfId="8" applyFont="1" applyBorder="1" applyAlignment="1" applyProtection="1">
      <alignment horizontal="center"/>
      <protection hidden="1"/>
    </xf>
    <xf numFmtId="0" fontId="27" fillId="0" borderId="29" xfId="8" applyFont="1" applyBorder="1" applyProtection="1">
      <protection hidden="1"/>
    </xf>
    <xf numFmtId="0" fontId="27" fillId="0" borderId="30" xfId="8" applyFont="1" applyBorder="1" applyProtection="1">
      <protection hidden="1"/>
    </xf>
    <xf numFmtId="0" fontId="27" fillId="0" borderId="0" xfId="8" applyFont="1" applyBorder="1" applyProtection="1">
      <protection hidden="1"/>
    </xf>
    <xf numFmtId="0" fontId="27" fillId="13" borderId="31" xfId="8" applyFont="1" applyFill="1" applyBorder="1" applyProtection="1">
      <protection hidden="1"/>
    </xf>
    <xf numFmtId="0" fontId="44" fillId="0" borderId="32" xfId="8" applyFont="1" applyBorder="1" applyAlignment="1" applyProtection="1">
      <alignment horizontal="center" vertical="center"/>
      <protection hidden="1"/>
    </xf>
    <xf numFmtId="0" fontId="29" fillId="0" borderId="12" xfId="8" applyFont="1" applyBorder="1" applyAlignment="1" applyProtection="1">
      <alignment horizontal="center" vertical="center"/>
    </xf>
    <xf numFmtId="0" fontId="29" fillId="0" borderId="33" xfId="8" applyFont="1" applyBorder="1" applyAlignment="1" applyProtection="1">
      <alignment horizontal="center" vertical="center"/>
    </xf>
    <xf numFmtId="164" fontId="44" fillId="0" borderId="15" xfId="8" applyNumberFormat="1" applyFont="1" applyBorder="1" applyAlignment="1" applyProtection="1">
      <alignment horizontal="center" vertical="center"/>
      <protection hidden="1"/>
    </xf>
    <xf numFmtId="0" fontId="29" fillId="0" borderId="16" xfId="8" applyFont="1" applyBorder="1" applyAlignment="1" applyProtection="1">
      <alignment horizontal="left" vertical="center"/>
      <protection hidden="1"/>
    </xf>
    <xf numFmtId="0" fontId="29" fillId="0" borderId="34" xfId="8" quotePrefix="1" applyFont="1" applyBorder="1" applyAlignment="1" applyProtection="1">
      <alignment horizontal="centerContinuous" vertical="center"/>
    </xf>
    <xf numFmtId="0" fontId="27" fillId="0" borderId="0" xfId="8" applyFont="1" applyAlignment="1">
      <alignment horizontal="center"/>
    </xf>
    <xf numFmtId="0" fontId="27" fillId="0" borderId="0" xfId="8" applyFont="1" applyFill="1" applyBorder="1" applyProtection="1">
      <protection hidden="1"/>
    </xf>
    <xf numFmtId="0" fontId="44" fillId="0" borderId="0" xfId="8" applyFont="1" applyFill="1" applyBorder="1" applyAlignment="1" applyProtection="1">
      <alignment horizontal="center" vertical="center"/>
      <protection hidden="1"/>
    </xf>
    <xf numFmtId="0" fontId="29" fillId="0" borderId="0" xfId="8" applyFont="1" applyFill="1" applyBorder="1" applyAlignment="1" applyProtection="1">
      <alignment horizontal="center" vertical="center"/>
    </xf>
    <xf numFmtId="164" fontId="44" fillId="0" borderId="0" xfId="8" applyNumberFormat="1" applyFont="1" applyFill="1" applyBorder="1" applyAlignment="1" applyProtection="1">
      <alignment horizontal="center" vertical="center"/>
      <protection hidden="1"/>
    </xf>
    <xf numFmtId="0" fontId="29" fillId="0" borderId="0" xfId="8" applyFont="1" applyFill="1" applyBorder="1" applyAlignment="1" applyProtection="1">
      <alignment horizontal="left" vertical="center"/>
      <protection hidden="1"/>
    </xf>
    <xf numFmtId="0" fontId="32" fillId="0" borderId="0" xfId="8" applyFont="1" applyFill="1" applyBorder="1" applyAlignment="1" applyProtection="1">
      <alignment horizontal="left"/>
      <protection locked="0"/>
    </xf>
    <xf numFmtId="0" fontId="27" fillId="0" borderId="0" xfId="0" applyFont="1"/>
    <xf numFmtId="0" fontId="4" fillId="0" borderId="0" xfId="8" applyFont="1" applyFill="1" applyBorder="1" applyAlignment="1" applyProtection="1">
      <alignment horizontal="center" vertical="center"/>
    </xf>
    <xf numFmtId="0" fontId="27" fillId="0" borderId="0" xfId="0" applyFont="1" applyFill="1" applyBorder="1" applyAlignment="1">
      <alignment horizontal="centerContinuous" vertical="center"/>
    </xf>
    <xf numFmtId="0" fontId="27" fillId="0" borderId="0" xfId="8" applyFont="1" applyFill="1" applyBorder="1" applyAlignment="1" applyProtection="1">
      <alignment horizontal="left"/>
      <protection locked="0"/>
    </xf>
    <xf numFmtId="0" fontId="4" fillId="0" borderId="0" xfId="8" applyFont="1" applyFill="1" applyBorder="1"/>
    <xf numFmtId="0" fontId="29" fillId="0" borderId="0" xfId="8" quotePrefix="1" applyFont="1" applyFill="1" applyBorder="1" applyAlignment="1" applyProtection="1">
      <alignment horizontal="centerContinuous" vertical="center"/>
    </xf>
    <xf numFmtId="0" fontId="49" fillId="0" borderId="0" xfId="8" quotePrefix="1" applyFont="1" applyFill="1" applyBorder="1" applyAlignment="1" applyProtection="1">
      <alignment horizontal="left"/>
      <protection locked="0"/>
    </xf>
    <xf numFmtId="0" fontId="49" fillId="0" borderId="35" xfId="8" applyFont="1" applyBorder="1" applyAlignment="1">
      <alignment vertical="center"/>
    </xf>
    <xf numFmtId="0" fontId="50" fillId="0" borderId="12" xfId="8" applyFont="1" applyBorder="1" applyAlignment="1" applyProtection="1">
      <alignment horizontal="left" vertical="center"/>
      <protection locked="0"/>
    </xf>
    <xf numFmtId="0" fontId="52" fillId="0" borderId="35" xfId="8" applyFont="1" applyBorder="1" applyAlignment="1">
      <alignment vertical="center"/>
    </xf>
    <xf numFmtId="0" fontId="15" fillId="0" borderId="20" xfId="8" applyFont="1" applyBorder="1" applyAlignment="1" applyProtection="1">
      <alignment horizontal="center" vertical="center"/>
    </xf>
    <xf numFmtId="0" fontId="15" fillId="0" borderId="22" xfId="8" applyFont="1" applyBorder="1" applyAlignment="1" applyProtection="1">
      <alignment horizontal="center" vertical="center"/>
    </xf>
    <xf numFmtId="0" fontId="4" fillId="0" borderId="0" xfId="8" applyFont="1" applyAlignment="1">
      <alignment horizontal="left"/>
    </xf>
    <xf numFmtId="0" fontId="27" fillId="0" borderId="0" xfId="8" applyFont="1" applyAlignment="1" applyProtection="1">
      <alignment horizontal="left"/>
      <protection hidden="1"/>
    </xf>
    <xf numFmtId="0" fontId="27" fillId="0" borderId="0" xfId="8" applyFont="1" applyAlignment="1" applyProtection="1">
      <alignment horizontal="left" vertical="center"/>
      <protection hidden="1"/>
    </xf>
    <xf numFmtId="0" fontId="27" fillId="0" borderId="0" xfId="8" applyFont="1" applyAlignment="1" applyProtection="1">
      <alignment horizontal="left"/>
    </xf>
    <xf numFmtId="0" fontId="27" fillId="13" borderId="36" xfId="8" applyFont="1" applyFill="1" applyBorder="1" applyAlignment="1" applyProtection="1">
      <alignment horizontal="left"/>
      <protection hidden="1"/>
    </xf>
    <xf numFmtId="0" fontId="44" fillId="0" borderId="37" xfId="8" applyFont="1" applyBorder="1" applyAlignment="1" applyProtection="1">
      <alignment horizontal="left" vertical="center"/>
      <protection hidden="1"/>
    </xf>
    <xf numFmtId="0" fontId="29" fillId="0" borderId="0" xfId="8" applyFont="1" applyBorder="1" applyAlignment="1" applyProtection="1">
      <alignment horizontal="left" vertical="center"/>
    </xf>
    <xf numFmtId="0" fontId="29" fillId="0" borderId="0" xfId="8" applyFont="1" applyBorder="1" applyAlignment="1" applyProtection="1">
      <alignment horizontal="left"/>
      <protection hidden="1"/>
    </xf>
    <xf numFmtId="0" fontId="27" fillId="0" borderId="29" xfId="8" applyFont="1" applyBorder="1" applyAlignment="1" applyProtection="1">
      <alignment horizontal="left"/>
      <protection hidden="1"/>
    </xf>
    <xf numFmtId="0" fontId="27" fillId="0" borderId="0" xfId="8" applyFont="1" applyBorder="1" applyAlignment="1" applyProtection="1">
      <alignment horizontal="left"/>
      <protection hidden="1"/>
    </xf>
    <xf numFmtId="0" fontId="27" fillId="0" borderId="15" xfId="8" applyFont="1" applyBorder="1" applyAlignment="1" applyProtection="1">
      <alignment horizontal="left"/>
      <protection hidden="1"/>
    </xf>
    <xf numFmtId="0" fontId="29" fillId="0" borderId="34" xfId="8" applyFont="1" applyBorder="1" applyAlignment="1" applyProtection="1">
      <alignment horizontal="left" vertical="center"/>
    </xf>
    <xf numFmtId="0" fontId="27" fillId="0" borderId="0" xfId="8" applyFont="1" applyFill="1" applyBorder="1" applyAlignment="1" applyProtection="1">
      <alignment horizontal="left"/>
      <protection hidden="1"/>
    </xf>
    <xf numFmtId="0" fontId="44" fillId="0" borderId="0" xfId="8" applyFont="1" applyFill="1" applyBorder="1" applyAlignment="1" applyProtection="1">
      <alignment horizontal="left" vertical="center"/>
      <protection hidden="1"/>
    </xf>
    <xf numFmtId="0" fontId="27" fillId="0" borderId="0" xfId="0" applyFont="1" applyAlignment="1">
      <alignment horizontal="left"/>
    </xf>
    <xf numFmtId="0" fontId="4" fillId="0" borderId="0" xfId="8" applyFont="1" applyAlignment="1" applyProtection="1">
      <alignment horizontal="centerContinuous"/>
      <protection hidden="1"/>
    </xf>
    <xf numFmtId="0" fontId="46" fillId="0" borderId="0" xfId="8" applyFont="1" applyAlignment="1" applyProtection="1">
      <alignment horizontal="centerContinuous"/>
      <protection hidden="1"/>
    </xf>
    <xf numFmtId="0" fontId="3" fillId="0" borderId="0" xfId="3" applyFont="1" applyAlignment="1">
      <alignment horizontal="center"/>
    </xf>
    <xf numFmtId="0" fontId="3" fillId="0" borderId="0" xfId="3" applyFont="1" applyAlignment="1">
      <alignment horizontal="center" vertical="center"/>
    </xf>
    <xf numFmtId="0" fontId="3" fillId="0" borderId="0" xfId="3" applyAlignment="1">
      <alignment horizontal="center" vertical="center"/>
    </xf>
    <xf numFmtId="0" fontId="3" fillId="0" borderId="0" xfId="3" applyAlignment="1">
      <alignment vertical="center"/>
    </xf>
    <xf numFmtId="0" fontId="3" fillId="0" borderId="0" xfId="3" applyAlignment="1"/>
    <xf numFmtId="0" fontId="3" fillId="0" borderId="0" xfId="3" applyAlignment="1">
      <alignment horizontal="center"/>
    </xf>
    <xf numFmtId="166" fontId="26" fillId="4" borderId="3" xfId="3" applyNumberFormat="1" applyFont="1" applyFill="1" applyBorder="1" applyProtection="1">
      <protection locked="0"/>
    </xf>
    <xf numFmtId="0" fontId="15" fillId="4" borderId="38" xfId="3" applyFont="1" applyFill="1" applyBorder="1" applyAlignment="1" applyProtection="1">
      <alignment horizontal="left" vertical="center"/>
    </xf>
    <xf numFmtId="0" fontId="3" fillId="0" borderId="13" xfId="3" applyBorder="1"/>
    <xf numFmtId="0" fontId="2" fillId="0" borderId="0" xfId="3" applyFont="1"/>
    <xf numFmtId="0" fontId="28" fillId="0" borderId="0" xfId="3" applyFont="1"/>
    <xf numFmtId="0" fontId="28" fillId="0" borderId="0" xfId="3" applyFont="1" applyAlignment="1">
      <alignment vertical="center"/>
    </xf>
    <xf numFmtId="0" fontId="54" fillId="0" borderId="39" xfId="3" applyFont="1" applyBorder="1" applyAlignment="1">
      <alignment horizontal="center" vertical="center"/>
    </xf>
    <xf numFmtId="0" fontId="15" fillId="4" borderId="40" xfId="3" applyFont="1" applyFill="1" applyBorder="1" applyAlignment="1" applyProtection="1">
      <alignment horizontal="left" vertical="center"/>
    </xf>
    <xf numFmtId="0" fontId="3" fillId="0" borderId="41" xfId="3" applyBorder="1"/>
    <xf numFmtId="0" fontId="3" fillId="0" borderId="42" xfId="3" applyBorder="1"/>
    <xf numFmtId="0" fontId="3" fillId="0" borderId="38" xfId="3" applyBorder="1"/>
    <xf numFmtId="0" fontId="3" fillId="0" borderId="43" xfId="3" applyBorder="1"/>
    <xf numFmtId="0" fontId="3" fillId="0" borderId="41" xfId="3" applyBorder="1" applyAlignment="1">
      <alignment horizontal="center"/>
    </xf>
    <xf numFmtId="0" fontId="3" fillId="0" borderId="44" xfId="3" applyBorder="1"/>
    <xf numFmtId="0" fontId="3" fillId="0" borderId="0" xfId="3" applyBorder="1"/>
    <xf numFmtId="0" fontId="3" fillId="0" borderId="45" xfId="3" applyBorder="1"/>
    <xf numFmtId="0" fontId="3" fillId="0" borderId="44" xfId="3" applyBorder="1" applyAlignment="1">
      <alignment horizontal="center" vertical="center"/>
    </xf>
    <xf numFmtId="0" fontId="28" fillId="0" borderId="0" xfId="3" applyFont="1" applyBorder="1" applyAlignment="1">
      <alignment vertical="center"/>
    </xf>
    <xf numFmtId="0" fontId="3" fillId="0" borderId="44" xfId="3" applyBorder="1" applyAlignment="1">
      <alignment horizontal="center"/>
    </xf>
    <xf numFmtId="0" fontId="3" fillId="0" borderId="14" xfId="3" applyBorder="1"/>
    <xf numFmtId="0" fontId="3" fillId="0" borderId="15" xfId="3" applyBorder="1"/>
    <xf numFmtId="0" fontId="3" fillId="0" borderId="43" xfId="3" applyBorder="1" applyAlignment="1">
      <alignment horizontal="center"/>
    </xf>
    <xf numFmtId="0" fontId="3" fillId="0" borderId="46" xfId="3" applyBorder="1"/>
    <xf numFmtId="0" fontId="17" fillId="0" borderId="46" xfId="3" applyFont="1" applyBorder="1" applyAlignment="1">
      <alignment horizontal="center"/>
    </xf>
    <xf numFmtId="0" fontId="3" fillId="0" borderId="47" xfId="3" applyBorder="1" applyAlignment="1">
      <alignment horizontal="center" vertical="center"/>
    </xf>
    <xf numFmtId="0" fontId="3" fillId="0" borderId="48" xfId="3" applyBorder="1" applyAlignment="1">
      <alignment horizontal="center" vertical="center"/>
    </xf>
    <xf numFmtId="0" fontId="15" fillId="4" borderId="44" xfId="3" applyFont="1" applyFill="1" applyBorder="1" applyAlignment="1" applyProtection="1">
      <alignment horizontal="left" vertical="center"/>
    </xf>
    <xf numFmtId="0" fontId="28" fillId="0" borderId="45" xfId="3" applyFont="1" applyBorder="1" applyAlignment="1">
      <alignment vertical="center"/>
    </xf>
    <xf numFmtId="0" fontId="15" fillId="4" borderId="49" xfId="9" applyFont="1" applyFill="1" applyBorder="1" applyAlignment="1" applyProtection="1">
      <alignment horizontal="centerContinuous" vertical="center"/>
    </xf>
    <xf numFmtId="0" fontId="15" fillId="4" borderId="22" xfId="9" applyFont="1" applyFill="1" applyBorder="1" applyAlignment="1" applyProtection="1">
      <alignment horizontal="centerContinuous" vertical="center"/>
    </xf>
    <xf numFmtId="0" fontId="15" fillId="4" borderId="50" xfId="9" applyFont="1" applyFill="1" applyBorder="1" applyAlignment="1" applyProtection="1">
      <alignment horizontal="centerContinuous" vertical="center"/>
    </xf>
    <xf numFmtId="0" fontId="15" fillId="4" borderId="25" xfId="9" applyFont="1" applyFill="1" applyBorder="1" applyAlignment="1" applyProtection="1">
      <alignment horizontal="centerContinuous" vertical="center"/>
    </xf>
    <xf numFmtId="0" fontId="15" fillId="4" borderId="51" xfId="9" applyFont="1" applyFill="1" applyBorder="1" applyAlignment="1" applyProtection="1">
      <alignment horizontal="centerContinuous" vertical="center"/>
    </xf>
    <xf numFmtId="0" fontId="55" fillId="0" borderId="39" xfId="3" applyFont="1" applyBorder="1" applyAlignment="1">
      <alignment horizontal="center" vertical="center"/>
    </xf>
    <xf numFmtId="0" fontId="28" fillId="0" borderId="0" xfId="3" quotePrefix="1" applyFont="1" applyBorder="1" applyAlignment="1">
      <alignment vertical="center"/>
    </xf>
    <xf numFmtId="0" fontId="3" fillId="0" borderId="45" xfId="3" applyBorder="1" applyAlignment="1">
      <alignment vertical="center"/>
    </xf>
    <xf numFmtId="0" fontId="3" fillId="0" borderId="0" xfId="3" applyBorder="1" applyAlignment="1">
      <alignment vertical="center"/>
    </xf>
    <xf numFmtId="0" fontId="3" fillId="0" borderId="13" xfId="3" applyBorder="1" applyAlignment="1">
      <alignment vertical="center"/>
    </xf>
    <xf numFmtId="0" fontId="3" fillId="0" borderId="38" xfId="3" applyBorder="1" applyAlignment="1">
      <alignment vertical="center"/>
    </xf>
    <xf numFmtId="0" fontId="2" fillId="0" borderId="0" xfId="3" applyFont="1" applyBorder="1" applyAlignment="1">
      <alignment vertical="center"/>
    </xf>
    <xf numFmtId="0" fontId="3" fillId="0" borderId="14" xfId="3" applyBorder="1" applyAlignment="1">
      <alignment vertical="center"/>
    </xf>
    <xf numFmtId="0" fontId="3" fillId="0" borderId="15" xfId="3" applyBorder="1" applyAlignment="1">
      <alignment vertical="center"/>
    </xf>
    <xf numFmtId="0" fontId="3" fillId="0" borderId="42" xfId="3" applyBorder="1" applyAlignment="1">
      <alignment vertical="center"/>
    </xf>
    <xf numFmtId="0" fontId="3" fillId="0" borderId="46" xfId="3" applyBorder="1" applyAlignment="1">
      <alignment horizontal="center" vertical="center"/>
    </xf>
    <xf numFmtId="0" fontId="54" fillId="0" borderId="52" xfId="3" applyFont="1" applyBorder="1" applyAlignment="1">
      <alignment horizontal="center" vertical="center"/>
    </xf>
    <xf numFmtId="0" fontId="28" fillId="2" borderId="1" xfId="9" applyFont="1" applyFill="1" applyBorder="1" applyAlignment="1" applyProtection="1">
      <alignment horizontal="center" vertical="center" wrapText="1"/>
    </xf>
    <xf numFmtId="0" fontId="15" fillId="2" borderId="1" xfId="9" applyFont="1" applyFill="1" applyBorder="1" applyAlignment="1" applyProtection="1">
      <alignment horizontal="center" vertical="center" wrapText="1"/>
    </xf>
    <xf numFmtId="0" fontId="54" fillId="4" borderId="39" xfId="3" applyNumberFormat="1" applyFont="1" applyFill="1" applyBorder="1" applyAlignment="1" applyProtection="1">
      <alignment horizontal="center" vertical="center"/>
    </xf>
    <xf numFmtId="0" fontId="54" fillId="0" borderId="39" xfId="3" applyNumberFormat="1" applyFont="1" applyBorder="1" applyAlignment="1">
      <alignment horizontal="center" vertical="center"/>
    </xf>
    <xf numFmtId="0" fontId="3" fillId="0" borderId="47" xfId="3" applyNumberFormat="1" applyBorder="1" applyAlignment="1">
      <alignment horizontal="center" vertical="center"/>
    </xf>
    <xf numFmtId="0" fontId="3" fillId="0" borderId="48" xfId="3" applyNumberFormat="1" applyBorder="1" applyAlignment="1">
      <alignment horizontal="center" vertical="center"/>
    </xf>
    <xf numFmtId="0" fontId="17" fillId="0" borderId="0" xfId="2" applyFont="1" applyAlignment="1">
      <alignment horizontal="center"/>
    </xf>
    <xf numFmtId="0" fontId="28" fillId="0" borderId="0" xfId="3" applyFont="1" applyBorder="1" applyAlignment="1">
      <alignment horizontal="center" vertical="center"/>
    </xf>
    <xf numFmtId="0" fontId="28" fillId="0" borderId="0" xfId="3" applyFont="1" applyBorder="1" applyAlignment="1">
      <alignment horizontal="left" vertical="center"/>
    </xf>
    <xf numFmtId="0" fontId="56" fillId="4" borderId="15" xfId="9" applyFont="1" applyFill="1" applyBorder="1" applyAlignment="1" applyProtection="1">
      <alignment horizontal="centerContinuous" vertical="center"/>
    </xf>
    <xf numFmtId="0" fontId="56" fillId="4" borderId="42" xfId="9" applyFont="1" applyFill="1" applyBorder="1" applyAlignment="1" applyProtection="1">
      <alignment horizontal="centerContinuous" vertical="center"/>
    </xf>
    <xf numFmtId="0" fontId="10" fillId="4" borderId="53" xfId="9" applyFont="1" applyFill="1" applyBorder="1" applyAlignment="1" applyProtection="1">
      <alignment horizontal="centerContinuous" vertical="center"/>
    </xf>
    <xf numFmtId="0" fontId="10" fillId="4" borderId="54" xfId="9" applyFont="1" applyFill="1" applyBorder="1" applyAlignment="1" applyProtection="1">
      <alignment horizontal="centerContinuous" vertical="center"/>
    </xf>
    <xf numFmtId="0" fontId="10" fillId="4" borderId="55" xfId="9" applyFont="1" applyFill="1" applyBorder="1" applyAlignment="1" applyProtection="1">
      <alignment horizontal="centerContinuous" vertical="center"/>
    </xf>
    <xf numFmtId="0" fontId="15" fillId="4" borderId="42" xfId="9" applyFont="1" applyFill="1" applyBorder="1" applyAlignment="1" applyProtection="1">
      <alignment horizontal="centerContinuous" vertical="center"/>
    </xf>
    <xf numFmtId="0" fontId="17" fillId="0" borderId="50" xfId="0" applyFont="1" applyBorder="1" applyAlignment="1">
      <alignment horizontal="center"/>
    </xf>
    <xf numFmtId="0" fontId="17" fillId="0" borderId="45" xfId="2" applyFont="1" applyBorder="1" applyAlignment="1">
      <alignment horizontal="center"/>
    </xf>
    <xf numFmtId="0" fontId="13" fillId="0" borderId="50" xfId="0" applyFont="1" applyBorder="1" applyAlignment="1">
      <alignment horizontal="center"/>
    </xf>
    <xf numFmtId="0" fontId="3" fillId="0" borderId="45" xfId="2" applyBorder="1"/>
    <xf numFmtId="0" fontId="13" fillId="0" borderId="22" xfId="2" applyFont="1" applyBorder="1" applyAlignment="1" applyProtection="1">
      <alignment horizontal="center" vertical="center"/>
      <protection locked="0"/>
    </xf>
    <xf numFmtId="0" fontId="13" fillId="0" borderId="22" xfId="2" quotePrefix="1" applyFont="1" applyBorder="1" applyAlignment="1" applyProtection="1">
      <alignment horizontal="center" vertical="center"/>
      <protection locked="0"/>
    </xf>
    <xf numFmtId="0" fontId="3" fillId="4" borderId="43" xfId="2" applyFill="1" applyBorder="1" applyProtection="1"/>
    <xf numFmtId="165" fontId="6" fillId="4" borderId="56" xfId="2" applyNumberFormat="1" applyFont="1" applyFill="1" applyBorder="1" applyAlignment="1" applyProtection="1">
      <alignment horizontal="center" vertical="center"/>
    </xf>
    <xf numFmtId="0" fontId="3" fillId="4" borderId="57" xfId="2" applyFill="1" applyBorder="1" applyProtection="1"/>
    <xf numFmtId="0" fontId="3" fillId="0" borderId="58" xfId="2" applyBorder="1"/>
    <xf numFmtId="0" fontId="3" fillId="0" borderId="59" xfId="2" applyBorder="1"/>
    <xf numFmtId="0" fontId="13" fillId="0" borderId="0" xfId="3" applyFont="1" applyAlignment="1">
      <alignment horizontal="center"/>
    </xf>
    <xf numFmtId="0" fontId="17" fillId="0" borderId="0" xfId="3" applyFont="1" applyAlignment="1">
      <alignment horizontal="centerContinuous" vertical="center"/>
    </xf>
    <xf numFmtId="0" fontId="28" fillId="0" borderId="0" xfId="0" applyFont="1" applyAlignment="1">
      <alignment horizontal="centerContinuous" vertical="center"/>
    </xf>
    <xf numFmtId="0" fontId="15" fillId="0" borderId="0" xfId="3" applyFont="1" applyAlignment="1" applyProtection="1">
      <alignment horizontal="centerContinuous" vertical="center"/>
      <protection locked="0"/>
    </xf>
    <xf numFmtId="0" fontId="13" fillId="0" borderId="0" xfId="3" applyFont="1" applyAlignment="1">
      <alignment horizontal="center" vertical="center"/>
    </xf>
    <xf numFmtId="0" fontId="54" fillId="4" borderId="39" xfId="3" applyFont="1" applyFill="1" applyBorder="1" applyAlignment="1">
      <alignment horizontal="center" vertical="center"/>
    </xf>
    <xf numFmtId="0" fontId="3" fillId="4" borderId="47" xfId="3" applyFill="1" applyBorder="1" applyAlignment="1">
      <alignment horizontal="center" vertical="center"/>
    </xf>
    <xf numFmtId="0" fontId="3" fillId="4" borderId="48" xfId="3" applyFill="1" applyBorder="1" applyAlignment="1">
      <alignment horizontal="center" vertical="center"/>
    </xf>
    <xf numFmtId="0" fontId="55" fillId="4" borderId="39" xfId="3" applyFont="1" applyFill="1" applyBorder="1" applyAlignment="1">
      <alignment horizontal="center" vertical="center"/>
    </xf>
    <xf numFmtId="0" fontId="4" fillId="14" borderId="37" xfId="8" applyFont="1" applyFill="1" applyBorder="1" applyAlignment="1" applyProtection="1">
      <alignment horizontal="center"/>
    </xf>
    <xf numFmtId="0" fontId="3" fillId="0" borderId="0" xfId="3" applyAlignment="1">
      <alignment horizontal="centerContinuous" vertical="center"/>
    </xf>
    <xf numFmtId="14" fontId="17" fillId="0" borderId="0" xfId="3" applyNumberFormat="1" applyFont="1" applyAlignment="1">
      <alignment horizontal="centerContinuous" vertical="center"/>
    </xf>
    <xf numFmtId="0" fontId="13" fillId="0" borderId="22" xfId="8" applyFont="1" applyBorder="1" applyAlignment="1" applyProtection="1">
      <alignment horizontal="center" vertical="center"/>
    </xf>
    <xf numFmtId="0" fontId="13" fillId="0" borderId="20" xfId="8" applyFont="1" applyBorder="1" applyAlignment="1" applyProtection="1">
      <alignment horizontal="center" vertical="center"/>
    </xf>
    <xf numFmtId="0" fontId="13" fillId="0" borderId="60" xfId="8" applyFont="1" applyBorder="1" applyAlignment="1" applyProtection="1">
      <alignment horizontal="center" vertical="center"/>
    </xf>
    <xf numFmtId="0" fontId="13" fillId="0" borderId="61" xfId="8" applyFont="1" applyBorder="1"/>
    <xf numFmtId="0" fontId="3" fillId="0" borderId="14" xfId="3" applyBorder="1" applyAlignment="1">
      <alignment horizontal="center" vertical="center"/>
    </xf>
    <xf numFmtId="0" fontId="10" fillId="4" borderId="45" xfId="9" applyFont="1" applyFill="1" applyBorder="1" applyAlignment="1" applyProtection="1">
      <alignment horizontal="centerContinuous" vertical="center"/>
    </xf>
    <xf numFmtId="0" fontId="10" fillId="4" borderId="42" xfId="9" applyFont="1" applyFill="1" applyBorder="1" applyAlignment="1" applyProtection="1">
      <alignment horizontal="centerContinuous" vertical="center"/>
    </xf>
    <xf numFmtId="0" fontId="17" fillId="0" borderId="0" xfId="2" applyFont="1" applyAlignment="1">
      <alignment horizontal="right"/>
    </xf>
    <xf numFmtId="0" fontId="0" fillId="0" borderId="0" xfId="0" applyAlignment="1">
      <alignment horizontal="right"/>
    </xf>
    <xf numFmtId="0" fontId="0" fillId="0" borderId="3" xfId="0" applyBorder="1" applyAlignment="1">
      <alignment horizontal="right"/>
    </xf>
    <xf numFmtId="0" fontId="56" fillId="0" borderId="0" xfId="3" applyFont="1" applyBorder="1" applyAlignment="1">
      <alignment horizontal="center" vertical="center"/>
    </xf>
    <xf numFmtId="0" fontId="3" fillId="0" borderId="47" xfId="3" applyFont="1" applyBorder="1" applyAlignment="1">
      <alignment horizontal="center" vertical="center"/>
    </xf>
    <xf numFmtId="0" fontId="28" fillId="4" borderId="15" xfId="9" applyFont="1" applyFill="1" applyBorder="1" applyAlignment="1" applyProtection="1">
      <alignment horizontal="centerContinuous" vertical="center"/>
    </xf>
    <xf numFmtId="0" fontId="10" fillId="0" borderId="53" xfId="9" applyFont="1" applyFill="1" applyBorder="1" applyAlignment="1" applyProtection="1">
      <alignment horizontal="centerContinuous" vertical="center"/>
    </xf>
    <xf numFmtId="0" fontId="10" fillId="0" borderId="54" xfId="9" applyFont="1" applyFill="1" applyBorder="1" applyAlignment="1" applyProtection="1">
      <alignment horizontal="centerContinuous" vertical="center"/>
    </xf>
    <xf numFmtId="0" fontId="10" fillId="0" borderId="55" xfId="9" applyFont="1" applyFill="1" applyBorder="1" applyAlignment="1" applyProtection="1">
      <alignment horizontal="centerContinuous" vertical="center"/>
    </xf>
    <xf numFmtId="0" fontId="28" fillId="0" borderId="15" xfId="9" applyFont="1" applyFill="1" applyBorder="1" applyAlignment="1" applyProtection="1">
      <alignment horizontal="centerContinuous" vertical="center"/>
    </xf>
    <xf numFmtId="0" fontId="56" fillId="0" borderId="42" xfId="9" applyFont="1" applyFill="1" applyBorder="1" applyAlignment="1" applyProtection="1">
      <alignment horizontal="centerContinuous" vertical="center"/>
    </xf>
    <xf numFmtId="0" fontId="56" fillId="0" borderId="15" xfId="9" applyFont="1" applyFill="1" applyBorder="1" applyAlignment="1" applyProtection="1">
      <alignment horizontal="centerContinuous" vertical="center"/>
    </xf>
    <xf numFmtId="0" fontId="3" fillId="0" borderId="0" xfId="3" applyBorder="1" applyAlignment="1">
      <alignment horizontal="center" vertical="center"/>
    </xf>
    <xf numFmtId="0" fontId="45" fillId="0" borderId="0" xfId="8" applyFont="1" applyAlignment="1" applyProtection="1">
      <alignment horizontal="centerContinuous" vertical="center"/>
      <protection hidden="1"/>
    </xf>
    <xf numFmtId="0" fontId="13" fillId="0" borderId="62" xfId="8" applyFont="1" applyBorder="1"/>
    <xf numFmtId="0" fontId="17" fillId="11" borderId="23" xfId="8" applyFont="1" applyFill="1" applyBorder="1" applyAlignment="1" applyProtection="1">
      <alignment horizontal="left" vertical="center"/>
    </xf>
    <xf numFmtId="0" fontId="28" fillId="0" borderId="15" xfId="9" applyFont="1" applyFill="1" applyBorder="1" applyAlignment="1" applyProtection="1">
      <alignment horizontal="center" vertical="center"/>
    </xf>
    <xf numFmtId="0" fontId="28" fillId="0" borderId="42" xfId="9" applyFont="1" applyFill="1" applyBorder="1" applyAlignment="1" applyProtection="1">
      <alignment horizontal="center" vertical="center"/>
    </xf>
    <xf numFmtId="0" fontId="0" fillId="0" borderId="0" xfId="0" applyAlignment="1">
      <alignment horizontal="center" vertical="center"/>
    </xf>
    <xf numFmtId="0" fontId="0" fillId="0" borderId="0" xfId="0" applyAlignment="1">
      <alignment vertical="center"/>
    </xf>
    <xf numFmtId="0" fontId="29" fillId="0" borderId="26" xfId="8" applyFont="1" applyBorder="1" applyAlignment="1" applyProtection="1">
      <alignment horizontal="left"/>
      <protection hidden="1"/>
    </xf>
    <xf numFmtId="0" fontId="3" fillId="0" borderId="0" xfId="3" applyFont="1" applyBorder="1" applyAlignment="1">
      <alignment vertical="center"/>
    </xf>
    <xf numFmtId="0" fontId="4" fillId="0" borderId="0" xfId="8" applyFont="1" applyFill="1"/>
    <xf numFmtId="0" fontId="29" fillId="0" borderId="0" xfId="8" applyFont="1" applyFill="1"/>
    <xf numFmtId="0" fontId="4" fillId="11" borderId="23" xfId="8" applyFont="1" applyFill="1" applyBorder="1" applyAlignment="1" applyProtection="1">
      <alignment horizontal="center" vertical="center"/>
      <protection locked="0"/>
    </xf>
    <xf numFmtId="168" fontId="28" fillId="0" borderId="0" xfId="3" quotePrefix="1" applyNumberFormat="1" applyFont="1" applyBorder="1" applyAlignment="1">
      <alignment horizontal="left" vertical="center"/>
    </xf>
    <xf numFmtId="0" fontId="15" fillId="4" borderId="0" xfId="3" applyFont="1" applyFill="1" applyAlignment="1" applyProtection="1">
      <alignment horizontal="centerContinuous" vertical="center"/>
      <protection locked="0"/>
    </xf>
    <xf numFmtId="0" fontId="3" fillId="4" borderId="0" xfId="3" applyFill="1" applyAlignment="1"/>
    <xf numFmtId="0" fontId="3" fillId="4" borderId="0" xfId="3" applyFill="1"/>
    <xf numFmtId="0" fontId="17" fillId="4" borderId="0" xfId="3" applyFont="1" applyFill="1" applyAlignment="1">
      <alignment horizontal="centerContinuous" vertical="center"/>
    </xf>
    <xf numFmtId="0" fontId="3" fillId="4" borderId="0" xfId="3" applyFont="1" applyFill="1" applyAlignment="1">
      <alignment horizontal="center" vertical="center"/>
    </xf>
    <xf numFmtId="0" fontId="15" fillId="15" borderId="49" xfId="9" applyFont="1" applyFill="1" applyBorder="1" applyAlignment="1" applyProtection="1">
      <alignment horizontal="centerContinuous" vertical="center"/>
    </xf>
    <xf numFmtId="0" fontId="15" fillId="15" borderId="22" xfId="9" applyFont="1" applyFill="1" applyBorder="1" applyAlignment="1" applyProtection="1">
      <alignment horizontal="centerContinuous" vertical="center"/>
    </xf>
    <xf numFmtId="0" fontId="15" fillId="15" borderId="50" xfId="9" applyFont="1" applyFill="1" applyBorder="1" applyAlignment="1" applyProtection="1">
      <alignment horizontal="centerContinuous" vertical="center"/>
    </xf>
    <xf numFmtId="0" fontId="15" fillId="15" borderId="63" xfId="9" applyFont="1" applyFill="1" applyBorder="1" applyAlignment="1" applyProtection="1">
      <alignment horizontal="centerContinuous" vertical="center"/>
    </xf>
    <xf numFmtId="0" fontId="15" fillId="15" borderId="25" xfId="9" applyFont="1" applyFill="1" applyBorder="1" applyAlignment="1" applyProtection="1">
      <alignment horizontal="centerContinuous" vertical="center"/>
    </xf>
    <xf numFmtId="0" fontId="15" fillId="15" borderId="51" xfId="9" applyFont="1" applyFill="1" applyBorder="1" applyAlignment="1" applyProtection="1">
      <alignment horizontal="centerContinuous" vertical="center"/>
    </xf>
    <xf numFmtId="0" fontId="3" fillId="15" borderId="0" xfId="3" applyFill="1" applyAlignment="1"/>
    <xf numFmtId="0" fontId="3" fillId="15" borderId="0" xfId="3" applyFill="1"/>
    <xf numFmtId="0" fontId="17" fillId="15" borderId="0" xfId="3" applyFont="1" applyFill="1" applyAlignment="1">
      <alignment horizontal="centerContinuous" vertical="center"/>
    </xf>
    <xf numFmtId="0" fontId="3" fillId="15" borderId="0" xfId="3" applyFont="1" applyFill="1" applyAlignment="1">
      <alignment horizontal="center" vertical="center"/>
    </xf>
    <xf numFmtId="0" fontId="3" fillId="15" borderId="47" xfId="3" applyFill="1" applyBorder="1" applyAlignment="1">
      <alignment horizontal="center" vertical="center"/>
    </xf>
    <xf numFmtId="0" fontId="66" fillId="0" borderId="0" xfId="3" applyFont="1" applyBorder="1" applyAlignment="1">
      <alignment vertical="center"/>
    </xf>
    <xf numFmtId="0" fontId="28" fillId="16" borderId="0" xfId="3" applyFont="1" applyFill="1" applyBorder="1" applyAlignment="1">
      <alignment vertical="center"/>
    </xf>
    <xf numFmtId="0" fontId="10" fillId="15" borderId="53" xfId="9" applyFont="1" applyFill="1" applyBorder="1" applyAlignment="1" applyProtection="1">
      <alignment horizontal="centerContinuous" vertical="center"/>
    </xf>
    <xf numFmtId="0" fontId="10" fillId="15" borderId="54" xfId="9" applyFont="1" applyFill="1" applyBorder="1" applyAlignment="1" applyProtection="1">
      <alignment horizontal="centerContinuous" vertical="center"/>
    </xf>
    <xf numFmtId="0" fontId="10" fillId="15" borderId="55" xfId="9" applyFont="1" applyFill="1" applyBorder="1" applyAlignment="1" applyProtection="1">
      <alignment horizontal="centerContinuous" vertical="center"/>
    </xf>
    <xf numFmtId="0" fontId="56" fillId="15" borderId="15" xfId="9" applyFont="1" applyFill="1" applyBorder="1" applyAlignment="1" applyProtection="1">
      <alignment horizontal="centerContinuous" vertical="center"/>
    </xf>
    <xf numFmtId="0" fontId="56" fillId="15" borderId="42" xfId="9" applyFont="1" applyFill="1" applyBorder="1" applyAlignment="1" applyProtection="1">
      <alignment horizontal="centerContinuous" vertical="center"/>
    </xf>
    <xf numFmtId="0" fontId="67" fillId="0" borderId="12" xfId="8" applyFont="1" applyBorder="1" applyAlignment="1">
      <alignment vertical="center"/>
    </xf>
    <xf numFmtId="0" fontId="67" fillId="0" borderId="12" xfId="8" applyFont="1" applyBorder="1" applyAlignment="1" applyProtection="1">
      <alignment horizontal="left" vertical="center"/>
      <protection locked="0"/>
    </xf>
    <xf numFmtId="0" fontId="54" fillId="15" borderId="39" xfId="3" applyFont="1" applyFill="1" applyBorder="1" applyAlignment="1">
      <alignment horizontal="center" vertical="center"/>
    </xf>
    <xf numFmtId="0" fontId="3" fillId="15" borderId="48" xfId="3" applyFill="1" applyBorder="1" applyAlignment="1">
      <alignment horizontal="center" vertical="center"/>
    </xf>
    <xf numFmtId="0" fontId="3" fillId="0" borderId="0" xfId="8" applyFont="1" applyAlignment="1" applyProtection="1">
      <alignment horizontal="left"/>
      <protection locked="0"/>
    </xf>
    <xf numFmtId="0" fontId="68" fillId="0" borderId="0" xfId="8" applyFont="1" applyAlignment="1" applyProtection="1">
      <alignment horizontal="center" vertical="center"/>
      <protection hidden="1"/>
    </xf>
    <xf numFmtId="14" fontId="4" fillId="0" borderId="0" xfId="8" applyNumberFormat="1" applyFont="1" applyProtection="1">
      <protection hidden="1"/>
    </xf>
    <xf numFmtId="165" fontId="4" fillId="0" borderId="0" xfId="8" applyNumberFormat="1" applyFont="1" applyProtection="1">
      <protection hidden="1"/>
    </xf>
    <xf numFmtId="14" fontId="3" fillId="0" borderId="0" xfId="8" applyNumberFormat="1" applyFont="1" applyProtection="1">
      <protection hidden="1"/>
    </xf>
    <xf numFmtId="0" fontId="3" fillId="15" borderId="45" xfId="3" applyFill="1" applyBorder="1"/>
    <xf numFmtId="0" fontId="28" fillId="0" borderId="46" xfId="3" applyFont="1" applyBorder="1" applyAlignment="1">
      <alignment vertical="center"/>
    </xf>
    <xf numFmtId="0" fontId="7" fillId="0" borderId="0" xfId="5" applyFont="1"/>
    <xf numFmtId="49" fontId="7" fillId="0" borderId="0" xfId="5" applyNumberFormat="1" applyFont="1" applyAlignment="1">
      <alignment horizontal="center"/>
    </xf>
    <xf numFmtId="0" fontId="3" fillId="11" borderId="23" xfId="8" applyFont="1" applyFill="1" applyBorder="1" applyAlignment="1" applyProtection="1">
      <alignment horizontal="center" vertical="center"/>
    </xf>
    <xf numFmtId="0" fontId="20" fillId="0" borderId="0" xfId="8" applyFont="1" applyBorder="1" applyAlignment="1" applyProtection="1">
      <alignment horizontal="center" vertical="center"/>
      <protection locked="0"/>
    </xf>
    <xf numFmtId="0" fontId="2" fillId="0" borderId="29" xfId="8" applyFont="1" applyBorder="1" applyProtection="1">
      <protection hidden="1"/>
    </xf>
    <xf numFmtId="0" fontId="2" fillId="0" borderId="0" xfId="8" applyFont="1" applyBorder="1" applyProtection="1">
      <protection hidden="1"/>
    </xf>
    <xf numFmtId="0" fontId="2" fillId="0" borderId="0" xfId="8" applyFont="1" applyBorder="1" applyAlignment="1" applyProtection="1">
      <alignment horizontal="center"/>
      <protection hidden="1"/>
    </xf>
    <xf numFmtId="165" fontId="43" fillId="0" borderId="8" xfId="8" applyNumberFormat="1" applyFont="1" applyBorder="1" applyAlignment="1" applyProtection="1">
      <alignment horizontal="center" vertical="center"/>
      <protection hidden="1"/>
    </xf>
    <xf numFmtId="164" fontId="43" fillId="0" borderId="13" xfId="8" applyNumberFormat="1" applyFont="1" applyBorder="1" applyAlignment="1" applyProtection="1">
      <alignment horizontal="center" vertical="center"/>
      <protection hidden="1"/>
    </xf>
    <xf numFmtId="0" fontId="28" fillId="0" borderId="32" xfId="0" applyFont="1" applyFill="1" applyBorder="1" applyAlignment="1" applyProtection="1">
      <alignment horizontal="left"/>
      <protection locked="0"/>
    </xf>
    <xf numFmtId="0" fontId="28" fillId="0" borderId="32" xfId="0" applyFont="1" applyFill="1" applyBorder="1" applyAlignment="1" applyProtection="1">
      <alignment horizontal="left" vertical="center"/>
      <protection locked="0"/>
    </xf>
    <xf numFmtId="0" fontId="3" fillId="0" borderId="32" xfId="8" applyFont="1" applyFill="1" applyBorder="1" applyAlignment="1" applyProtection="1">
      <alignment horizontal="left" vertical="center"/>
    </xf>
    <xf numFmtId="0" fontId="2" fillId="13" borderId="9" xfId="8" applyFont="1" applyFill="1" applyBorder="1" applyProtection="1">
      <protection hidden="1"/>
    </xf>
    <xf numFmtId="164" fontId="43" fillId="0" borderId="32" xfId="8" applyNumberFormat="1" applyFont="1" applyBorder="1" applyAlignment="1" applyProtection="1">
      <alignment horizontal="center" vertical="center"/>
      <protection hidden="1"/>
    </xf>
    <xf numFmtId="0" fontId="57" fillId="0" borderId="0" xfId="3" applyFont="1" applyBorder="1" applyAlignment="1">
      <alignment vertical="center"/>
    </xf>
    <xf numFmtId="0" fontId="12" fillId="0" borderId="22" xfId="8" applyFont="1" applyBorder="1" applyAlignment="1" applyProtection="1">
      <alignment horizontal="center" vertical="center"/>
    </xf>
    <xf numFmtId="0" fontId="3" fillId="0" borderId="0" xfId="3" applyAlignment="1">
      <alignment vertical="top" wrapText="1"/>
    </xf>
    <xf numFmtId="0" fontId="21" fillId="17" borderId="2" xfId="9" applyFont="1" applyFill="1" applyBorder="1" applyAlignment="1" applyProtection="1">
      <alignment horizontal="center" vertical="center"/>
    </xf>
    <xf numFmtId="0" fontId="17" fillId="4" borderId="44" xfId="3" applyFont="1" applyFill="1" applyBorder="1" applyAlignment="1" applyProtection="1">
      <alignment horizontal="left" vertical="center"/>
    </xf>
    <xf numFmtId="0" fontId="3" fillId="0" borderId="13" xfId="3" applyFont="1" applyBorder="1"/>
    <xf numFmtId="0" fontId="3" fillId="0" borderId="38" xfId="3" applyFont="1" applyBorder="1"/>
    <xf numFmtId="0" fontId="17" fillId="4" borderId="40" xfId="3" applyFont="1" applyFill="1" applyBorder="1" applyAlignment="1" applyProtection="1">
      <alignment horizontal="left" vertical="center"/>
    </xf>
    <xf numFmtId="0" fontId="17" fillId="15" borderId="49" xfId="9" applyFont="1" applyFill="1" applyBorder="1" applyAlignment="1" applyProtection="1">
      <alignment horizontal="centerContinuous" vertical="center"/>
    </xf>
    <xf numFmtId="0" fontId="17" fillId="15" borderId="22" xfId="9" applyFont="1" applyFill="1" applyBorder="1" applyAlignment="1" applyProtection="1">
      <alignment horizontal="centerContinuous" vertical="center"/>
    </xf>
    <xf numFmtId="0" fontId="17" fillId="15" borderId="50" xfId="9" applyFont="1" applyFill="1" applyBorder="1" applyAlignment="1" applyProtection="1">
      <alignment horizontal="centerContinuous" vertical="center"/>
    </xf>
    <xf numFmtId="0" fontId="21" fillId="15" borderId="39" xfId="3" applyFont="1" applyFill="1" applyBorder="1" applyAlignment="1">
      <alignment horizontal="center" vertical="center"/>
    </xf>
    <xf numFmtId="0" fontId="3" fillId="15" borderId="47" xfId="3" applyFont="1" applyFill="1" applyBorder="1" applyAlignment="1">
      <alignment horizontal="center" vertical="center"/>
    </xf>
    <xf numFmtId="0" fontId="3" fillId="15" borderId="48" xfId="3" applyFont="1" applyFill="1" applyBorder="1" applyAlignment="1">
      <alignment horizontal="center" vertical="center"/>
    </xf>
    <xf numFmtId="0" fontId="3" fillId="0" borderId="48" xfId="3" applyFont="1" applyBorder="1" applyAlignment="1">
      <alignment horizontal="center" vertical="center"/>
    </xf>
    <xf numFmtId="0" fontId="28" fillId="15" borderId="15" xfId="9" applyFont="1" applyFill="1" applyBorder="1" applyAlignment="1" applyProtection="1">
      <alignment horizontal="centerContinuous" vertical="center"/>
    </xf>
    <xf numFmtId="0" fontId="35" fillId="0" borderId="0" xfId="3" applyFont="1" applyBorder="1" applyAlignment="1">
      <alignment vertical="center"/>
    </xf>
    <xf numFmtId="0" fontId="17" fillId="0" borderId="0" xfId="3" applyFont="1" applyBorder="1" applyAlignment="1">
      <alignment vertical="center"/>
    </xf>
    <xf numFmtId="0" fontId="58" fillId="0" borderId="0" xfId="3" applyFont="1" applyBorder="1" applyAlignment="1">
      <alignment vertical="center"/>
    </xf>
    <xf numFmtId="0" fontId="3" fillId="0" borderId="0" xfId="3" applyFont="1" applyBorder="1"/>
    <xf numFmtId="0" fontId="3" fillId="0" borderId="0" xfId="3" quotePrefix="1"/>
    <xf numFmtId="14" fontId="30" fillId="0" borderId="0" xfId="8" applyNumberFormat="1" applyFont="1" applyAlignment="1" applyProtection="1">
      <alignment horizontal="centerContinuous" vertical="center"/>
      <protection hidden="1"/>
    </xf>
    <xf numFmtId="0" fontId="24" fillId="0" borderId="0" xfId="5" applyFont="1" applyAlignment="1">
      <alignment horizontal="center"/>
    </xf>
    <xf numFmtId="0" fontId="59" fillId="0" borderId="0" xfId="5" applyFont="1" applyBorder="1" applyAlignment="1" applyProtection="1">
      <alignment horizontal="center" vertical="center"/>
      <protection locked="0"/>
    </xf>
    <xf numFmtId="0" fontId="7" fillId="0" borderId="0" xfId="5" applyNumberFormat="1" applyFont="1" applyBorder="1" applyAlignment="1" applyProtection="1">
      <alignment horizontal="center"/>
      <protection locked="0"/>
    </xf>
    <xf numFmtId="2" fontId="7" fillId="0" borderId="0" xfId="5" applyNumberFormat="1" applyFont="1" applyBorder="1" applyProtection="1"/>
    <xf numFmtId="2" fontId="7" fillId="0" borderId="0" xfId="5" applyNumberFormat="1" applyFont="1" applyBorder="1" applyProtection="1">
      <protection locked="0"/>
    </xf>
    <xf numFmtId="2" fontId="3" fillId="0" borderId="0" xfId="5" applyNumberFormat="1"/>
    <xf numFmtId="9" fontId="4" fillId="0" borderId="0" xfId="8" applyNumberFormat="1" applyFont="1"/>
    <xf numFmtId="2" fontId="4" fillId="0" borderId="0" xfId="8" applyNumberFormat="1" applyFont="1"/>
    <xf numFmtId="0" fontId="15" fillId="4" borderId="49" xfId="9" applyFont="1" applyFill="1" applyBorder="1" applyAlignment="1" applyProtection="1">
      <alignment horizontal="left" vertical="center"/>
    </xf>
    <xf numFmtId="0" fontId="15" fillId="15" borderId="49" xfId="9" applyFont="1" applyFill="1" applyBorder="1" applyAlignment="1" applyProtection="1">
      <alignment horizontal="left" vertical="center"/>
    </xf>
    <xf numFmtId="0" fontId="17" fillId="0" borderId="0" xfId="3" applyFont="1" applyBorder="1" applyAlignment="1">
      <alignment horizontal="left" vertical="center"/>
    </xf>
    <xf numFmtId="0" fontId="52" fillId="0" borderId="64" xfId="8" applyFont="1" applyBorder="1" applyAlignment="1">
      <alignment vertical="center"/>
    </xf>
    <xf numFmtId="0" fontId="52" fillId="0" borderId="65" xfId="8" applyFont="1" applyBorder="1" applyAlignment="1">
      <alignment vertical="center"/>
    </xf>
    <xf numFmtId="0" fontId="67" fillId="0" borderId="22" xfId="8" applyFont="1" applyBorder="1" applyAlignment="1">
      <alignment vertical="center"/>
    </xf>
    <xf numFmtId="0" fontId="67" fillId="4" borderId="22" xfId="8" applyFont="1" applyFill="1" applyBorder="1" applyAlignment="1" applyProtection="1">
      <alignment horizontal="center" vertical="center"/>
      <protection locked="0"/>
    </xf>
    <xf numFmtId="0" fontId="49" fillId="0" borderId="65" xfId="8" applyFont="1" applyBorder="1" applyAlignment="1">
      <alignment vertical="center"/>
    </xf>
    <xf numFmtId="0" fontId="67" fillId="0" borderId="22" xfId="8" applyFont="1" applyBorder="1" applyAlignment="1" applyProtection="1">
      <alignment horizontal="center" vertical="center"/>
      <protection locked="0"/>
    </xf>
    <xf numFmtId="0" fontId="52" fillId="0" borderId="66" xfId="8" applyFont="1" applyBorder="1" applyAlignment="1">
      <alignment vertical="center"/>
    </xf>
    <xf numFmtId="0" fontId="67" fillId="0" borderId="67" xfId="8" applyFont="1" applyBorder="1" applyAlignment="1">
      <alignment vertical="center"/>
    </xf>
    <xf numFmtId="0" fontId="69" fillId="0" borderId="22" xfId="0" applyFont="1" applyFill="1" applyBorder="1" applyAlignment="1" applyProtection="1">
      <alignment horizontal="left"/>
      <protection locked="0"/>
    </xf>
    <xf numFmtId="0" fontId="70" fillId="0" borderId="22" xfId="8" applyFont="1" applyBorder="1" applyProtection="1">
      <protection hidden="1"/>
    </xf>
    <xf numFmtId="0" fontId="69" fillId="15" borderId="22" xfId="0" applyFont="1" applyFill="1" applyBorder="1" applyAlignment="1" applyProtection="1">
      <alignment horizontal="left"/>
      <protection locked="0"/>
    </xf>
    <xf numFmtId="16" fontId="70" fillId="0" borderId="22" xfId="0" applyNumberFormat="1" applyFont="1" applyFill="1" applyBorder="1" applyAlignment="1" applyProtection="1">
      <alignment horizontal="left"/>
      <protection locked="0"/>
    </xf>
    <xf numFmtId="0" fontId="67" fillId="0" borderId="25" xfId="8" applyFont="1" applyBorder="1" applyAlignment="1" applyProtection="1">
      <alignment horizontal="center" vertical="center"/>
      <protection locked="0"/>
    </xf>
    <xf numFmtId="0" fontId="49" fillId="0" borderId="66" xfId="8" applyFont="1" applyBorder="1" applyAlignment="1">
      <alignment vertical="center"/>
    </xf>
    <xf numFmtId="0" fontId="52" fillId="0" borderId="67" xfId="8" applyFont="1" applyBorder="1" applyAlignment="1" applyProtection="1">
      <alignment horizontal="left" vertical="center"/>
      <protection locked="0"/>
    </xf>
    <xf numFmtId="0" fontId="52" fillId="0" borderId="22" xfId="8" applyFont="1" applyBorder="1" applyAlignment="1" applyProtection="1">
      <alignment horizontal="left" vertical="center"/>
      <protection locked="0"/>
    </xf>
    <xf numFmtId="0" fontId="52" fillId="0" borderId="65" xfId="8" applyFont="1" applyBorder="1" applyAlignment="1" applyProtection="1">
      <alignment horizontal="center" vertical="center"/>
      <protection locked="0"/>
    </xf>
    <xf numFmtId="0" fontId="52" fillId="0" borderId="22" xfId="8" applyFont="1" applyBorder="1" applyAlignment="1" applyProtection="1">
      <alignment horizontal="center" vertical="center"/>
      <protection locked="0"/>
    </xf>
    <xf numFmtId="0" fontId="52" fillId="4" borderId="25" xfId="8" applyFont="1" applyFill="1" applyBorder="1" applyAlignment="1" applyProtection="1">
      <alignment horizontal="left" vertical="center"/>
      <protection locked="0"/>
    </xf>
    <xf numFmtId="0" fontId="51" fillId="0" borderId="67" xfId="8" applyFont="1" applyBorder="1"/>
    <xf numFmtId="0" fontId="15" fillId="15" borderId="25" xfId="9" applyFont="1" applyFill="1" applyBorder="1" applyAlignment="1" applyProtection="1">
      <alignment horizontal="right" vertical="center"/>
    </xf>
    <xf numFmtId="0" fontId="3" fillId="0" borderId="0" xfId="8" applyFont="1" applyProtection="1">
      <protection hidden="1"/>
    </xf>
    <xf numFmtId="167" fontId="14" fillId="0" borderId="0" xfId="8" applyNumberFormat="1" applyFont="1" applyAlignment="1" applyProtection="1">
      <alignment horizontal="center" vertical="center"/>
      <protection hidden="1"/>
    </xf>
    <xf numFmtId="0" fontId="3" fillId="0" borderId="0" xfId="8" applyFont="1" applyAlignment="1" applyProtection="1">
      <alignment horizontal="center" vertical="center"/>
      <protection hidden="1"/>
    </xf>
    <xf numFmtId="167" fontId="17" fillId="0" borderId="37" xfId="8" applyNumberFormat="1" applyFont="1" applyBorder="1" applyAlignment="1" applyProtection="1">
      <alignment horizontal="center" vertical="center"/>
      <protection hidden="1"/>
    </xf>
    <xf numFmtId="0" fontId="3" fillId="0" borderId="0" xfId="8" applyFont="1"/>
    <xf numFmtId="0" fontId="29" fillId="0" borderId="0" xfId="8" applyFont="1" applyAlignment="1">
      <alignment horizontal="center"/>
    </xf>
    <xf numFmtId="1" fontId="49" fillId="0" borderId="0" xfId="8" applyNumberFormat="1" applyFont="1" applyAlignment="1">
      <alignment horizontal="center" vertical="center"/>
    </xf>
    <xf numFmtId="167" fontId="49" fillId="0" borderId="0" xfId="8" applyNumberFormat="1" applyFont="1" applyAlignment="1">
      <alignment horizontal="center" vertical="center"/>
    </xf>
    <xf numFmtId="14" fontId="30" fillId="0" borderId="0" xfId="8" applyNumberFormat="1" applyFont="1" applyAlignment="1" applyProtection="1">
      <alignment horizontal="centerContinuous" vertical="center"/>
    </xf>
    <xf numFmtId="0" fontId="28" fillId="4" borderId="3" xfId="3" applyFont="1" applyFill="1" applyBorder="1" applyAlignment="1" applyProtection="1">
      <alignment horizontal="left"/>
    </xf>
    <xf numFmtId="0" fontId="4" fillId="0" borderId="0" xfId="8" applyFont="1" applyAlignment="1">
      <alignment horizontal="center" vertical="center"/>
    </xf>
    <xf numFmtId="0" fontId="71" fillId="0" borderId="54" xfId="8" applyFont="1" applyBorder="1"/>
    <xf numFmtId="0" fontId="52" fillId="0" borderId="68" xfId="8" applyFont="1" applyBorder="1" applyAlignment="1">
      <alignment vertical="center"/>
    </xf>
    <xf numFmtId="166" fontId="24" fillId="4" borderId="1" xfId="6" applyNumberFormat="1" applyFont="1" applyFill="1" applyBorder="1" applyAlignment="1" applyProtection="1">
      <alignment horizontal="left"/>
      <protection locked="0"/>
    </xf>
    <xf numFmtId="0" fontId="25" fillId="4" borderId="69" xfId="6" applyFont="1" applyFill="1" applyBorder="1" applyAlignment="1" applyProtection="1">
      <alignment vertical="center"/>
    </xf>
    <xf numFmtId="0" fontId="28" fillId="0" borderId="0" xfId="6" applyFont="1" applyAlignment="1">
      <alignment horizontal="left" vertical="center"/>
    </xf>
    <xf numFmtId="0" fontId="29" fillId="4" borderId="34" xfId="8" applyFont="1" applyFill="1" applyBorder="1" applyAlignment="1" applyProtection="1">
      <alignment horizontal="left" vertical="center"/>
    </xf>
    <xf numFmtId="0" fontId="29" fillId="0" borderId="62" xfId="8" applyFont="1" applyBorder="1" applyAlignment="1" applyProtection="1">
      <alignment horizontal="left" vertical="center"/>
    </xf>
    <xf numFmtId="0" fontId="29" fillId="0" borderId="70" xfId="8" applyFont="1" applyBorder="1" applyAlignment="1" applyProtection="1">
      <alignment horizontal="left" vertical="center"/>
    </xf>
    <xf numFmtId="0" fontId="32" fillId="0" borderId="67" xfId="8" applyFont="1" applyBorder="1" applyAlignment="1" applyProtection="1">
      <alignment horizontal="left"/>
      <protection locked="0"/>
    </xf>
    <xf numFmtId="0" fontId="32" fillId="0" borderId="64" xfId="8" applyFont="1" applyBorder="1" applyAlignment="1" applyProtection="1">
      <alignment horizontal="left"/>
      <protection locked="0"/>
    </xf>
    <xf numFmtId="0" fontId="53" fillId="0" borderId="22" xfId="8" applyFont="1" applyBorder="1" applyAlignment="1" applyProtection="1">
      <alignment horizontal="left" vertical="center"/>
      <protection locked="0"/>
    </xf>
    <xf numFmtId="16" fontId="51" fillId="0" borderId="22" xfId="8" applyNumberFormat="1" applyFont="1" applyBorder="1" applyAlignment="1" applyProtection="1">
      <alignment horizontal="left" vertical="center"/>
      <protection locked="0"/>
    </xf>
    <xf numFmtId="0" fontId="26" fillId="15" borderId="2" xfId="9" applyFont="1" applyFill="1" applyBorder="1" applyAlignment="1" applyProtection="1">
      <alignment horizontal="center" vertical="center"/>
    </xf>
    <xf numFmtId="0" fontId="15" fillId="15" borderId="1" xfId="9" applyFont="1" applyFill="1" applyBorder="1" applyAlignment="1" applyProtection="1">
      <alignment horizontal="center" vertical="center"/>
    </xf>
    <xf numFmtId="166" fontId="24" fillId="15" borderId="3" xfId="6" applyNumberFormat="1" applyFont="1" applyFill="1" applyBorder="1" applyProtection="1">
      <protection locked="0"/>
    </xf>
    <xf numFmtId="0" fontId="3" fillId="4" borderId="0" xfId="8" applyFont="1" applyFill="1"/>
    <xf numFmtId="0" fontId="7" fillId="18" borderId="0" xfId="5" applyFont="1" applyFill="1" applyBorder="1" applyAlignment="1" applyProtection="1">
      <alignment horizontal="center" vertical="center"/>
      <protection locked="0"/>
    </xf>
    <xf numFmtId="0" fontId="7" fillId="18" borderId="0" xfId="5" applyFont="1" applyFill="1" applyBorder="1" applyAlignment="1" applyProtection="1">
      <alignment horizontal="left" vertical="center"/>
      <protection locked="0"/>
    </xf>
    <xf numFmtId="0" fontId="24" fillId="18" borderId="0" xfId="5" applyFont="1" applyFill="1" applyAlignment="1">
      <alignment horizontal="center"/>
    </xf>
    <xf numFmtId="0" fontId="3" fillId="19" borderId="0" xfId="3" applyFill="1"/>
    <xf numFmtId="0" fontId="17" fillId="15" borderId="63" xfId="9" applyFont="1" applyFill="1" applyBorder="1" applyAlignment="1" applyProtection="1">
      <alignment horizontal="left" vertical="center"/>
    </xf>
    <xf numFmtId="49" fontId="3" fillId="0" borderId="0" xfId="0" applyNumberFormat="1" applyFont="1" applyProtection="1"/>
    <xf numFmtId="0" fontId="3" fillId="0" borderId="0" xfId="2" applyAlignment="1">
      <alignment horizontal="center"/>
    </xf>
    <xf numFmtId="0" fontId="5" fillId="0" borderId="0" xfId="5" applyFont="1" applyBorder="1" applyAlignment="1" applyProtection="1">
      <alignment horizontal="center" vertical="center"/>
      <protection locked="0"/>
    </xf>
    <xf numFmtId="0" fontId="15" fillId="0" borderId="0" xfId="6" applyFont="1" applyAlignment="1">
      <alignment horizontal="left" vertical="center"/>
    </xf>
    <xf numFmtId="0" fontId="21" fillId="0" borderId="39" xfId="3" applyFont="1" applyBorder="1" applyAlignment="1">
      <alignment horizontal="center" vertical="center"/>
    </xf>
    <xf numFmtId="0" fontId="67" fillId="0" borderId="54" xfId="8" applyFont="1" applyBorder="1" applyAlignment="1" applyProtection="1">
      <alignment horizontal="center" vertical="center"/>
      <protection locked="0"/>
    </xf>
    <xf numFmtId="0" fontId="49" fillId="0" borderId="68" xfId="8" applyFont="1" applyBorder="1" applyAlignment="1">
      <alignment vertical="center"/>
    </xf>
    <xf numFmtId="0" fontId="28" fillId="0" borderId="22" xfId="0" applyFont="1" applyFill="1" applyBorder="1" applyAlignment="1" applyProtection="1">
      <alignment horizontal="center"/>
      <protection locked="0"/>
    </xf>
    <xf numFmtId="0" fontId="28" fillId="0" borderId="54" xfId="0" applyFont="1" applyFill="1" applyBorder="1" applyAlignment="1" applyProtection="1">
      <alignment horizontal="center"/>
      <protection locked="0"/>
    </xf>
    <xf numFmtId="0" fontId="28" fillId="0" borderId="20" xfId="0" applyFont="1" applyFill="1" applyBorder="1" applyAlignment="1" applyProtection="1">
      <alignment horizontal="center"/>
      <protection locked="0"/>
    </xf>
    <xf numFmtId="0" fontId="7" fillId="0" borderId="0" xfId="5" applyFont="1" applyBorder="1" applyAlignment="1" applyProtection="1">
      <alignment horizontal="right" vertical="center"/>
      <protection locked="0"/>
    </xf>
    <xf numFmtId="0" fontId="4" fillId="0" borderId="26" xfId="8" applyFont="1" applyBorder="1"/>
    <xf numFmtId="1" fontId="29" fillId="0" borderId="0" xfId="8" applyNumberFormat="1" applyFont="1" applyProtection="1">
      <protection hidden="1"/>
    </xf>
    <xf numFmtId="1" fontId="4" fillId="0" borderId="0" xfId="8" applyNumberFormat="1" applyFont="1"/>
    <xf numFmtId="0" fontId="17" fillId="15" borderId="49" xfId="9" applyFont="1" applyFill="1" applyBorder="1" applyAlignment="1" applyProtection="1">
      <alignment horizontal="left" vertical="center"/>
    </xf>
    <xf numFmtId="14" fontId="49" fillId="0" borderId="0" xfId="8" applyNumberFormat="1" applyFont="1" applyProtection="1">
      <protection hidden="1"/>
    </xf>
    <xf numFmtId="165" fontId="49" fillId="0" borderId="0" xfId="8" applyNumberFormat="1" applyFont="1" applyProtection="1">
      <protection hidden="1"/>
    </xf>
    <xf numFmtId="2" fontId="49" fillId="0" borderId="0" xfId="8" applyNumberFormat="1" applyFont="1" applyProtection="1">
      <protection hidden="1"/>
    </xf>
    <xf numFmtId="0" fontId="17" fillId="0" borderId="0" xfId="3" applyFont="1" applyAlignment="1">
      <alignment vertical="top" wrapText="1"/>
    </xf>
    <xf numFmtId="0" fontId="17" fillId="15" borderId="25" xfId="9" applyFont="1" applyFill="1" applyBorder="1" applyAlignment="1" applyProtection="1">
      <alignment horizontal="left" vertical="center"/>
    </xf>
    <xf numFmtId="0" fontId="17" fillId="15" borderId="51" xfId="9" applyFont="1" applyFill="1" applyBorder="1" applyAlignment="1" applyProtection="1">
      <alignment horizontal="left" vertical="center"/>
    </xf>
    <xf numFmtId="0" fontId="29" fillId="0" borderId="20" xfId="8" quotePrefix="1" applyFont="1" applyBorder="1" applyAlignment="1" applyProtection="1">
      <alignment horizontal="center" vertical="center"/>
    </xf>
    <xf numFmtId="0" fontId="29" fillId="4" borderId="62" xfId="8" applyFont="1" applyFill="1" applyBorder="1" applyAlignment="1" applyProtection="1">
      <alignment horizontal="left" vertical="center"/>
    </xf>
    <xf numFmtId="0" fontId="12" fillId="0" borderId="20" xfId="8" applyFont="1" applyBorder="1" applyAlignment="1" applyProtection="1">
      <alignment horizontal="center" vertical="center"/>
    </xf>
    <xf numFmtId="0" fontId="29" fillId="0" borderId="0" xfId="5" applyFont="1" applyBorder="1" applyAlignment="1" applyProtection="1">
      <alignment horizontal="left" vertical="center"/>
      <protection locked="0"/>
    </xf>
    <xf numFmtId="0" fontId="29" fillId="18" borderId="0" xfId="5" applyFont="1" applyFill="1" applyBorder="1" applyAlignment="1" applyProtection="1">
      <alignment horizontal="center" vertical="center"/>
      <protection locked="0"/>
    </xf>
    <xf numFmtId="0" fontId="29" fillId="18" borderId="0" xfId="5" applyFont="1" applyFill="1" applyBorder="1" applyAlignment="1" applyProtection="1">
      <alignment horizontal="left" vertical="center"/>
      <protection locked="0"/>
    </xf>
    <xf numFmtId="0" fontId="29" fillId="0" borderId="0" xfId="5" applyFont="1" applyAlignment="1" applyProtection="1">
      <alignment horizontal="center"/>
      <protection locked="0"/>
    </xf>
    <xf numFmtId="0" fontId="29" fillId="0" borderId="0" xfId="5" applyFont="1" applyAlignment="1" applyProtection="1">
      <alignment horizontal="left"/>
      <protection locked="0"/>
    </xf>
    <xf numFmtId="0" fontId="24" fillId="0" borderId="0" xfId="5" applyFont="1" applyBorder="1" applyAlignment="1" applyProtection="1">
      <alignment horizontal="center" vertical="center"/>
      <protection locked="0"/>
    </xf>
    <xf numFmtId="0" fontId="24" fillId="18" borderId="0" xfId="5" applyFont="1" applyFill="1" applyBorder="1" applyAlignment="1" applyProtection="1">
      <alignment horizontal="center"/>
      <protection locked="0"/>
    </xf>
    <xf numFmtId="0" fontId="24" fillId="0" borderId="0" xfId="5" applyFont="1" applyBorder="1" applyAlignment="1" applyProtection="1">
      <alignment horizontal="center"/>
      <protection locked="0"/>
    </xf>
    <xf numFmtId="0" fontId="29" fillId="0" borderId="0" xfId="5" applyFont="1" applyProtection="1">
      <protection locked="0"/>
    </xf>
    <xf numFmtId="0" fontId="29" fillId="0" borderId="0" xfId="5" applyFont="1" applyBorder="1" applyAlignment="1" applyProtection="1">
      <alignment horizontal="left"/>
      <protection locked="0"/>
    </xf>
    <xf numFmtId="0" fontId="15" fillId="15" borderId="25" xfId="9" applyFont="1" applyFill="1" applyBorder="1" applyAlignment="1" applyProtection="1">
      <alignment horizontal="left" vertical="center"/>
    </xf>
    <xf numFmtId="0" fontId="28" fillId="4" borderId="15" xfId="9" applyFont="1" applyFill="1" applyBorder="1" applyAlignment="1" applyProtection="1">
      <alignment horizontal="left" vertical="center"/>
    </xf>
    <xf numFmtId="0" fontId="15" fillId="0" borderId="0" xfId="3" applyFont="1" applyBorder="1" applyAlignment="1" applyProtection="1">
      <alignment horizontal="centerContinuous" vertical="center"/>
      <protection locked="0"/>
    </xf>
    <xf numFmtId="0" fontId="0" fillId="0" borderId="0" xfId="0" applyBorder="1"/>
    <xf numFmtId="0" fontId="3" fillId="0" borderId="0" xfId="3" applyBorder="1" applyProtection="1">
      <protection locked="0"/>
    </xf>
    <xf numFmtId="0" fontId="24" fillId="0" borderId="0" xfId="3" applyFont="1" applyBorder="1" applyProtection="1">
      <protection locked="0"/>
    </xf>
    <xf numFmtId="0" fontId="16" fillId="0" borderId="0" xfId="3" applyFont="1" applyBorder="1" applyAlignment="1" applyProtection="1">
      <alignment horizontal="left"/>
      <protection locked="0"/>
    </xf>
    <xf numFmtId="0" fontId="15" fillId="0" borderId="0" xfId="3" applyFont="1" applyBorder="1" applyAlignment="1" applyProtection="1">
      <alignment horizontal="center" vertical="center"/>
      <protection locked="0"/>
    </xf>
    <xf numFmtId="0" fontId="15" fillId="0" borderId="0" xfId="3" quotePrefix="1" applyFont="1" applyBorder="1" applyAlignment="1" applyProtection="1">
      <alignment horizontal="left" vertical="center"/>
      <protection locked="0"/>
    </xf>
    <xf numFmtId="0" fontId="3" fillId="0" borderId="0" xfId="3" applyFill="1" applyBorder="1" applyProtection="1">
      <protection locked="0"/>
    </xf>
    <xf numFmtId="0" fontId="15" fillId="0" borderId="0" xfId="3" applyFont="1" applyFill="1" applyBorder="1" applyAlignment="1" applyProtection="1">
      <alignment horizontal="left" vertical="center"/>
      <protection locked="0"/>
    </xf>
    <xf numFmtId="0" fontId="24" fillId="0" borderId="0" xfId="3" applyFont="1" applyAlignment="1" applyProtection="1">
      <alignment vertical="center"/>
      <protection locked="0"/>
    </xf>
    <xf numFmtId="0" fontId="27" fillId="0" borderId="0" xfId="0" applyFont="1" applyAlignment="1">
      <alignment vertical="center"/>
    </xf>
    <xf numFmtId="0" fontId="3" fillId="0" borderId="0" xfId="3" applyFont="1" applyAlignment="1">
      <alignment vertical="center"/>
    </xf>
    <xf numFmtId="0" fontId="17" fillId="15" borderId="0" xfId="3" applyFont="1" applyFill="1" applyBorder="1" applyAlignment="1">
      <alignment vertical="center"/>
    </xf>
    <xf numFmtId="0" fontId="17" fillId="17" borderId="0" xfId="3" applyFont="1" applyFill="1" applyBorder="1" applyAlignment="1">
      <alignment vertical="center"/>
    </xf>
    <xf numFmtId="0" fontId="17" fillId="19" borderId="0" xfId="3" applyFont="1" applyFill="1" applyAlignment="1">
      <alignment vertical="center"/>
    </xf>
    <xf numFmtId="0" fontId="17" fillId="0" borderId="0" xfId="3" applyFont="1" applyAlignment="1">
      <alignment vertical="center"/>
    </xf>
    <xf numFmtId="0" fontId="17" fillId="0" borderId="15" xfId="3" applyFont="1" applyBorder="1" applyAlignment="1">
      <alignment vertical="center"/>
    </xf>
    <xf numFmtId="0" fontId="17" fillId="0" borderId="42" xfId="3" applyFont="1" applyBorder="1" applyAlignment="1">
      <alignment vertical="center"/>
    </xf>
    <xf numFmtId="0" fontId="15" fillId="2" borderId="1" xfId="9" applyFont="1" applyFill="1" applyBorder="1" applyAlignment="1" applyProtection="1">
      <alignment horizontal="left" vertical="center"/>
    </xf>
    <xf numFmtId="0" fontId="17" fillId="15" borderId="25" xfId="9" applyFont="1" applyFill="1" applyBorder="1" applyAlignment="1" applyProtection="1">
      <alignment horizontal="center" vertical="center"/>
    </xf>
    <xf numFmtId="0" fontId="17" fillId="15" borderId="51" xfId="9" applyFont="1" applyFill="1" applyBorder="1" applyAlignment="1" applyProtection="1">
      <alignment horizontal="center" vertical="center"/>
    </xf>
    <xf numFmtId="0" fontId="3" fillId="20" borderId="0" xfId="5" applyFill="1" applyProtection="1"/>
    <xf numFmtId="0" fontId="13" fillId="21" borderId="20" xfId="8" applyFont="1" applyFill="1" applyBorder="1" applyAlignment="1" applyProtection="1">
      <alignment horizontal="center" vertical="center"/>
    </xf>
    <xf numFmtId="0" fontId="29" fillId="0" borderId="48" xfId="5" applyFont="1" applyBorder="1" applyAlignment="1" applyProtection="1">
      <alignment horizontal="left" vertical="center"/>
      <protection locked="0"/>
    </xf>
    <xf numFmtId="0" fontId="29" fillId="0" borderId="71" xfId="5" applyFont="1" applyBorder="1" applyAlignment="1" applyProtection="1">
      <alignment horizontal="left" vertical="center"/>
      <protection locked="0"/>
    </xf>
    <xf numFmtId="0" fontId="29" fillId="0" borderId="71" xfId="5" applyFont="1" applyBorder="1" applyAlignment="1" applyProtection="1">
      <alignment horizontal="left"/>
      <protection locked="0"/>
    </xf>
    <xf numFmtId="0" fontId="29" fillId="0" borderId="72" xfId="5" applyFont="1" applyBorder="1" applyAlignment="1" applyProtection="1">
      <alignment horizontal="left" vertical="center"/>
      <protection locked="0"/>
    </xf>
    <xf numFmtId="0" fontId="29" fillId="0" borderId="39" xfId="5" applyFont="1" applyBorder="1" applyAlignment="1">
      <alignment horizontal="center"/>
    </xf>
    <xf numFmtId="0" fontId="29" fillId="0" borderId="47" xfId="5" applyFont="1" applyBorder="1" applyAlignment="1" applyProtection="1">
      <alignment horizontal="center" vertical="center"/>
      <protection locked="0"/>
    </xf>
    <xf numFmtId="0" fontId="29" fillId="0" borderId="73" xfId="5" applyFont="1" applyBorder="1" applyAlignment="1">
      <alignment horizontal="center"/>
    </xf>
    <xf numFmtId="0" fontId="29" fillId="0" borderId="18" xfId="5" applyFont="1" applyBorder="1" applyAlignment="1" applyProtection="1">
      <alignment horizontal="center" vertical="center"/>
      <protection locked="0"/>
    </xf>
    <xf numFmtId="0" fontId="29" fillId="0" borderId="73" xfId="5" applyFont="1" applyBorder="1" applyAlignment="1" applyProtection="1">
      <alignment horizontal="center" vertical="center"/>
      <protection locked="0"/>
    </xf>
    <xf numFmtId="0" fontId="29" fillId="0" borderId="74" xfId="5" applyFont="1" applyBorder="1" applyAlignment="1">
      <alignment horizontal="center"/>
    </xf>
    <xf numFmtId="0" fontId="29" fillId="0" borderId="75" xfId="5" applyFont="1" applyBorder="1" applyAlignment="1" applyProtection="1">
      <alignment horizontal="center" vertical="center"/>
      <protection locked="0"/>
    </xf>
    <xf numFmtId="0" fontId="29" fillId="0" borderId="39" xfId="5" applyFont="1" applyBorder="1" applyAlignment="1" applyProtection="1">
      <alignment horizontal="center" vertical="center"/>
      <protection locked="0"/>
    </xf>
    <xf numFmtId="0" fontId="29" fillId="0" borderId="73" xfId="8" applyFont="1" applyBorder="1" applyAlignment="1" applyProtection="1">
      <alignment horizontal="center" vertical="center"/>
    </xf>
    <xf numFmtId="0" fontId="29" fillId="0" borderId="74" xfId="5" applyFont="1" applyBorder="1" applyAlignment="1" applyProtection="1">
      <alignment horizontal="center" vertical="center"/>
      <protection locked="0"/>
    </xf>
    <xf numFmtId="0" fontId="24" fillId="0" borderId="76" xfId="5" applyFont="1" applyBorder="1" applyAlignment="1" applyProtection="1">
      <alignment horizontal="center"/>
      <protection locked="0"/>
    </xf>
    <xf numFmtId="0" fontId="24" fillId="0" borderId="77" xfId="5" applyFont="1" applyBorder="1" applyAlignment="1" applyProtection="1">
      <alignment horizontal="center"/>
      <protection locked="0"/>
    </xf>
    <xf numFmtId="0" fontId="29" fillId="0" borderId="73" xfId="5" applyFont="1" applyBorder="1" applyAlignment="1" applyProtection="1">
      <alignment horizontal="center"/>
      <protection locked="0"/>
    </xf>
    <xf numFmtId="0" fontId="29" fillId="0" borderId="18" xfId="5" applyFont="1" applyBorder="1" applyAlignment="1" applyProtection="1">
      <alignment horizontal="center"/>
      <protection locked="0"/>
    </xf>
    <xf numFmtId="0" fontId="3" fillId="0" borderId="18" xfId="5" applyFont="1" applyBorder="1" applyAlignment="1" applyProtection="1">
      <alignment horizontal="center" vertical="center"/>
      <protection locked="0"/>
    </xf>
    <xf numFmtId="0" fontId="24" fillId="0" borderId="77" xfId="5" applyFont="1" applyBorder="1" applyAlignment="1" applyProtection="1">
      <alignment horizontal="center" vertical="center"/>
      <protection locked="0"/>
    </xf>
    <xf numFmtId="0" fontId="24" fillId="0" borderId="77" xfId="5" applyFont="1" applyBorder="1" applyAlignment="1">
      <alignment horizontal="center"/>
    </xf>
    <xf numFmtId="0" fontId="59" fillId="0" borderId="77" xfId="5" applyFont="1" applyBorder="1" applyAlignment="1" applyProtection="1">
      <alignment horizontal="center" vertical="center"/>
      <protection locked="0"/>
    </xf>
    <xf numFmtId="0" fontId="24" fillId="4" borderId="77" xfId="8" applyFont="1" applyFill="1" applyBorder="1" applyAlignment="1" applyProtection="1">
      <alignment horizontal="center" vertical="center"/>
    </xf>
    <xf numFmtId="0" fontId="24" fillId="0" borderId="76" xfId="5" applyFont="1" applyBorder="1" applyAlignment="1">
      <alignment horizontal="center"/>
    </xf>
    <xf numFmtId="0" fontId="24" fillId="0" borderId="78" xfId="5" applyFont="1" applyBorder="1" applyAlignment="1">
      <alignment horizontal="center"/>
    </xf>
    <xf numFmtId="0" fontId="3" fillId="4" borderId="0" xfId="3" applyFill="1" applyAlignment="1">
      <alignment horizontal="center"/>
    </xf>
    <xf numFmtId="0" fontId="17" fillId="15" borderId="49" xfId="9" applyFont="1" applyFill="1" applyBorder="1" applyAlignment="1" applyProtection="1">
      <alignment horizontal="center" vertical="center"/>
    </xf>
    <xf numFmtId="0" fontId="17" fillId="15" borderId="22" xfId="9" applyFont="1" applyFill="1" applyBorder="1" applyAlignment="1" applyProtection="1">
      <alignment horizontal="center" vertical="center"/>
    </xf>
    <xf numFmtId="0" fontId="17" fillId="15" borderId="50" xfId="9" applyFont="1" applyFill="1" applyBorder="1" applyAlignment="1" applyProtection="1">
      <alignment horizontal="center" vertical="center"/>
    </xf>
    <xf numFmtId="0" fontId="3" fillId="15" borderId="0" xfId="3" applyFont="1" applyFill="1" applyAlignment="1">
      <alignment horizontal="center"/>
    </xf>
    <xf numFmtId="0" fontId="17" fillId="0" borderId="63" xfId="9" applyFont="1" applyFill="1" applyBorder="1" applyAlignment="1" applyProtection="1">
      <alignment horizontal="left" vertical="center"/>
    </xf>
    <xf numFmtId="0" fontId="15" fillId="15" borderId="63" xfId="9" applyFont="1" applyFill="1" applyBorder="1" applyAlignment="1" applyProtection="1">
      <alignment horizontal="left" vertical="center"/>
    </xf>
    <xf numFmtId="0" fontId="17" fillId="15" borderId="49" xfId="9" applyFont="1" applyFill="1" applyBorder="1" applyAlignment="1" applyProtection="1">
      <alignment vertical="center"/>
    </xf>
    <xf numFmtId="0" fontId="17" fillId="15" borderId="63" xfId="9" applyFont="1" applyFill="1" applyBorder="1" applyAlignment="1" applyProtection="1">
      <alignment vertical="center"/>
    </xf>
    <xf numFmtId="0" fontId="3" fillId="15" borderId="38" xfId="3" applyFill="1" applyBorder="1"/>
    <xf numFmtId="0" fontId="15" fillId="15" borderId="40" xfId="3" applyFont="1" applyFill="1" applyBorder="1" applyAlignment="1" applyProtection="1">
      <alignment horizontal="left" vertical="center"/>
    </xf>
    <xf numFmtId="0" fontId="3" fillId="15" borderId="13" xfId="3" applyFill="1" applyBorder="1"/>
    <xf numFmtId="0" fontId="29" fillId="0" borderId="79" xfId="5" applyFont="1" applyBorder="1" applyAlignment="1">
      <alignment horizontal="center"/>
    </xf>
    <xf numFmtId="0" fontId="29" fillId="0" borderId="80" xfId="5" applyFont="1" applyBorder="1" applyAlignment="1" applyProtection="1">
      <alignment horizontal="center" vertical="center"/>
      <protection locked="0"/>
    </xf>
    <xf numFmtId="0" fontId="29" fillId="0" borderId="81" xfId="5" applyFont="1" applyBorder="1" applyAlignment="1" applyProtection="1">
      <alignment horizontal="left" vertical="center"/>
      <protection locked="0"/>
    </xf>
    <xf numFmtId="0" fontId="24" fillId="0" borderId="82" xfId="5" applyFont="1" applyBorder="1" applyAlignment="1">
      <alignment horizontal="center"/>
    </xf>
    <xf numFmtId="0" fontId="12" fillId="15" borderId="20" xfId="8" applyFont="1" applyFill="1" applyBorder="1" applyAlignment="1" applyProtection="1">
      <alignment horizontal="center" vertical="center"/>
    </xf>
    <xf numFmtId="0" fontId="63" fillId="0" borderId="0" xfId="3" applyFont="1"/>
    <xf numFmtId="0" fontId="72" fillId="15" borderId="0" xfId="3" applyFont="1" applyFill="1"/>
    <xf numFmtId="0" fontId="28" fillId="15" borderId="0" xfId="3" applyFont="1" applyFill="1" applyBorder="1" applyAlignment="1">
      <alignment vertical="center"/>
    </xf>
    <xf numFmtId="0" fontId="73" fillId="15" borderId="0" xfId="3" applyFont="1" applyFill="1" applyBorder="1" applyAlignment="1">
      <alignment vertical="center"/>
    </xf>
    <xf numFmtId="0" fontId="54" fillId="17" borderId="39" xfId="3" applyFont="1" applyFill="1" applyBorder="1" applyAlignment="1">
      <alignment horizontal="center" vertical="center"/>
    </xf>
    <xf numFmtId="0" fontId="3" fillId="17" borderId="47" xfId="3" applyFill="1" applyBorder="1" applyAlignment="1">
      <alignment horizontal="center" vertical="center"/>
    </xf>
    <xf numFmtId="0" fontId="3" fillId="17" borderId="48" xfId="3" applyFill="1" applyBorder="1" applyAlignment="1">
      <alignment horizontal="center" vertical="center"/>
    </xf>
    <xf numFmtId="0" fontId="54" fillId="17" borderId="52" xfId="3" applyFont="1" applyFill="1" applyBorder="1" applyAlignment="1">
      <alignment horizontal="center" vertical="center"/>
    </xf>
    <xf numFmtId="0" fontId="15" fillId="17" borderId="49" xfId="9" applyFont="1" applyFill="1" applyBorder="1" applyAlignment="1" applyProtection="1">
      <alignment horizontal="centerContinuous" vertical="center"/>
    </xf>
    <xf numFmtId="0" fontId="15" fillId="17" borderId="22" xfId="9" applyFont="1" applyFill="1" applyBorder="1" applyAlignment="1" applyProtection="1">
      <alignment horizontal="centerContinuous" vertical="center"/>
    </xf>
    <xf numFmtId="0" fontId="15" fillId="17" borderId="50" xfId="9" applyFont="1" applyFill="1" applyBorder="1" applyAlignment="1" applyProtection="1">
      <alignment horizontal="centerContinuous" vertical="center"/>
    </xf>
    <xf numFmtId="0" fontId="15" fillId="17" borderId="77" xfId="9" applyFont="1" applyFill="1" applyBorder="1" applyAlignment="1" applyProtection="1">
      <alignment horizontal="centerContinuous" vertical="center"/>
    </xf>
    <xf numFmtId="0" fontId="15" fillId="17" borderId="49" xfId="9" applyFont="1" applyFill="1" applyBorder="1" applyAlignment="1" applyProtection="1">
      <alignment vertical="center"/>
    </xf>
    <xf numFmtId="0" fontId="15" fillId="17" borderId="25" xfId="9" applyFont="1" applyFill="1" applyBorder="1" applyAlignment="1" applyProtection="1">
      <alignment horizontal="centerContinuous" vertical="center"/>
    </xf>
    <xf numFmtId="0" fontId="15" fillId="17" borderId="51" xfId="9" applyFont="1" applyFill="1" applyBorder="1" applyAlignment="1" applyProtection="1">
      <alignment horizontal="centerContinuous" vertical="center"/>
    </xf>
    <xf numFmtId="0" fontId="15" fillId="17" borderId="49" xfId="9" applyFont="1" applyFill="1" applyBorder="1" applyAlignment="1" applyProtection="1">
      <alignment horizontal="left" vertical="center"/>
    </xf>
    <xf numFmtId="0" fontId="15" fillId="17" borderId="78" xfId="9" applyFont="1" applyFill="1" applyBorder="1" applyAlignment="1" applyProtection="1">
      <alignment horizontal="centerContinuous" vertical="center"/>
    </xf>
    <xf numFmtId="0" fontId="17" fillId="15" borderId="63" xfId="9" applyFont="1" applyFill="1" applyBorder="1" applyAlignment="1" applyProtection="1">
      <alignment horizontal="left" vertical="center"/>
    </xf>
    <xf numFmtId="0" fontId="17" fillId="15" borderId="63" xfId="9" applyFont="1" applyFill="1" applyBorder="1" applyAlignment="1" applyProtection="1">
      <alignment horizontal="left" vertical="center"/>
    </xf>
    <xf numFmtId="0" fontId="21" fillId="15" borderId="83" xfId="3" applyFont="1" applyFill="1" applyBorder="1" applyAlignment="1">
      <alignment horizontal="center" vertical="center"/>
    </xf>
    <xf numFmtId="0" fontId="3" fillId="15" borderId="84" xfId="3" applyFont="1" applyFill="1" applyBorder="1" applyAlignment="1">
      <alignment horizontal="center" vertical="center"/>
    </xf>
    <xf numFmtId="0" fontId="3" fillId="0" borderId="0" xfId="3" applyNumberFormat="1" applyProtection="1">
      <protection locked="0"/>
    </xf>
    <xf numFmtId="22" fontId="49" fillId="0" borderId="0" xfId="8" applyNumberFormat="1" applyFont="1" applyFill="1" applyBorder="1" applyAlignment="1" applyProtection="1">
      <alignment horizontal="left" vertical="center"/>
      <protection hidden="1"/>
    </xf>
    <xf numFmtId="0" fontId="15" fillId="17" borderId="63" xfId="9" applyFont="1" applyFill="1" applyBorder="1" applyAlignment="1" applyProtection="1">
      <alignment horizontal="centerContinuous" vertical="center"/>
    </xf>
    <xf numFmtId="0" fontId="17" fillId="22" borderId="49" xfId="9" applyFont="1" applyFill="1" applyBorder="1" applyAlignment="1" applyProtection="1">
      <alignment horizontal="centerContinuous" vertical="center"/>
    </xf>
    <xf numFmtId="0" fontId="17" fillId="22" borderId="22" xfId="9" applyFont="1" applyFill="1" applyBorder="1" applyAlignment="1" applyProtection="1">
      <alignment horizontal="centerContinuous" vertical="center"/>
    </xf>
    <xf numFmtId="0" fontId="17" fillId="22" borderId="50" xfId="9" applyFont="1" applyFill="1" applyBorder="1" applyAlignment="1" applyProtection="1">
      <alignment horizontal="centerContinuous" vertical="center"/>
    </xf>
    <xf numFmtId="0" fontId="74" fillId="22" borderId="22" xfId="9" applyFont="1" applyFill="1" applyBorder="1" applyAlignment="1" applyProtection="1">
      <alignment horizontal="centerContinuous" vertical="center"/>
    </xf>
    <xf numFmtId="0" fontId="17" fillId="23" borderId="49" xfId="9" applyFont="1" applyFill="1" applyBorder="1" applyAlignment="1" applyProtection="1">
      <alignment horizontal="centerContinuous" vertical="center"/>
    </xf>
    <xf numFmtId="0" fontId="17" fillId="23" borderId="22" xfId="9" applyFont="1" applyFill="1" applyBorder="1" applyAlignment="1" applyProtection="1">
      <alignment horizontal="centerContinuous" vertical="center"/>
    </xf>
    <xf numFmtId="0" fontId="17" fillId="23" borderId="50" xfId="9" applyFont="1" applyFill="1" applyBorder="1" applyAlignment="1" applyProtection="1">
      <alignment horizontal="centerContinuous" vertical="center"/>
    </xf>
    <xf numFmtId="0" fontId="13" fillId="15" borderId="20" xfId="8" applyFont="1" applyFill="1" applyBorder="1" applyAlignment="1" applyProtection="1">
      <alignment horizontal="center" vertical="center"/>
    </xf>
    <xf numFmtId="0" fontId="29" fillId="0" borderId="18" xfId="5" applyFont="1" applyBorder="1" applyAlignment="1">
      <alignment horizontal="left"/>
    </xf>
    <xf numFmtId="0" fontId="24" fillId="0" borderId="71" xfId="5" applyFont="1" applyBorder="1" applyAlignment="1" applyProtection="1">
      <alignment horizontal="center"/>
      <protection locked="0"/>
    </xf>
    <xf numFmtId="0" fontId="29" fillId="0" borderId="39" xfId="8" applyFont="1" applyBorder="1" applyAlignment="1" applyProtection="1">
      <alignment horizontal="center" vertical="center"/>
    </xf>
    <xf numFmtId="0" fontId="12" fillId="0" borderId="67" xfId="8" applyFont="1" applyBorder="1" applyAlignment="1" applyProtection="1">
      <alignment horizontal="center" vertical="center"/>
    </xf>
    <xf numFmtId="0" fontId="29" fillId="0" borderId="67" xfId="8" applyFont="1" applyBorder="1" applyAlignment="1" applyProtection="1">
      <alignment horizontal="center" vertical="center"/>
    </xf>
    <xf numFmtId="0" fontId="29" fillId="0" borderId="85" xfId="8" applyFont="1" applyFill="1" applyBorder="1" applyAlignment="1" applyProtection="1">
      <alignment horizontal="left" vertical="center"/>
    </xf>
    <xf numFmtId="0" fontId="29" fillId="0" borderId="74" xfId="8" applyFont="1" applyBorder="1" applyAlignment="1" applyProtection="1">
      <alignment horizontal="center" vertical="center"/>
    </xf>
    <xf numFmtId="0" fontId="62" fillId="0" borderId="15" xfId="3" applyFont="1" applyBorder="1" applyAlignment="1">
      <alignment vertical="center"/>
    </xf>
    <xf numFmtId="0" fontId="62" fillId="0" borderId="0" xfId="3" applyFont="1" applyBorder="1" applyAlignment="1">
      <alignment vertical="center"/>
    </xf>
    <xf numFmtId="0" fontId="3" fillId="0" borderId="0" xfId="6" applyBorder="1"/>
    <xf numFmtId="0" fontId="3" fillId="0" borderId="0" xfId="6" applyAlignment="1">
      <alignment horizontal="center" vertical="top" wrapText="1"/>
    </xf>
    <xf numFmtId="0" fontId="17" fillId="15" borderId="63" xfId="9" applyFont="1" applyFill="1" applyBorder="1" applyAlignment="1" applyProtection="1">
      <alignment horizontal="left" vertical="center"/>
    </xf>
    <xf numFmtId="0" fontId="52" fillId="0" borderId="54" xfId="8" applyFont="1" applyBorder="1" applyAlignment="1" applyProtection="1">
      <alignment horizontal="left" vertical="center"/>
      <protection locked="0"/>
    </xf>
    <xf numFmtId="0" fontId="52" fillId="0" borderId="25" xfId="8" applyFont="1" applyBorder="1" applyAlignment="1" applyProtection="1">
      <alignment horizontal="left" vertical="center"/>
      <protection locked="0"/>
    </xf>
    <xf numFmtId="0" fontId="29" fillId="0" borderId="79" xfId="5" applyFont="1" applyBorder="1" applyAlignment="1" applyProtection="1">
      <alignment horizontal="center" vertical="center"/>
      <protection locked="0"/>
    </xf>
    <xf numFmtId="0" fontId="67" fillId="0" borderId="54" xfId="8" applyFont="1" applyBorder="1" applyAlignment="1">
      <alignment vertical="center"/>
    </xf>
    <xf numFmtId="0" fontId="24" fillId="0" borderId="82" xfId="5" applyFont="1" applyBorder="1" applyAlignment="1" applyProtection="1">
      <alignment horizontal="center" vertical="center"/>
      <protection locked="0"/>
    </xf>
    <xf numFmtId="0" fontId="3" fillId="0" borderId="73" xfId="5" applyBorder="1" applyAlignment="1">
      <alignment horizontal="center" vertical="center"/>
    </xf>
    <xf numFmtId="0" fontId="3" fillId="0" borderId="79" xfId="5" applyBorder="1" applyAlignment="1">
      <alignment horizontal="center" vertical="center"/>
    </xf>
    <xf numFmtId="0" fontId="29" fillId="0" borderId="80" xfId="5" applyFont="1" applyBorder="1" applyAlignment="1" applyProtection="1">
      <alignment horizontal="left" vertical="center"/>
      <protection locked="0"/>
    </xf>
    <xf numFmtId="0" fontId="24" fillId="0" borderId="81" xfId="5" applyFont="1" applyBorder="1" applyAlignment="1" applyProtection="1">
      <alignment horizontal="center"/>
      <protection locked="0"/>
    </xf>
    <xf numFmtId="0" fontId="29" fillId="0" borderId="86" xfId="5" applyFont="1" applyBorder="1" applyAlignment="1" applyProtection="1">
      <alignment horizontal="center" vertical="center"/>
      <protection locked="0"/>
    </xf>
    <xf numFmtId="0" fontId="3" fillId="0" borderId="87" xfId="5" applyBorder="1"/>
    <xf numFmtId="0" fontId="3" fillId="0" borderId="88" xfId="5" applyBorder="1"/>
    <xf numFmtId="0" fontId="3" fillId="0" borderId="89" xfId="5" applyBorder="1"/>
    <xf numFmtId="0" fontId="13" fillId="0" borderId="70" xfId="8" applyFont="1" applyBorder="1"/>
    <xf numFmtId="0" fontId="13" fillId="0" borderId="90" xfId="8" applyFont="1" applyBorder="1"/>
    <xf numFmtId="0" fontId="15" fillId="15" borderId="83" xfId="0" applyFont="1" applyFill="1" applyBorder="1" applyAlignment="1" applyProtection="1">
      <alignment horizontal="center"/>
      <protection locked="0"/>
    </xf>
    <xf numFmtId="0" fontId="15" fillId="15" borderId="47" xfId="0" applyFont="1" applyFill="1" applyBorder="1" applyAlignment="1" applyProtection="1">
      <alignment horizontal="center"/>
      <protection locked="0"/>
    </xf>
    <xf numFmtId="0" fontId="15" fillId="0" borderId="47" xfId="0" applyFont="1" applyFill="1" applyBorder="1" applyAlignment="1" applyProtection="1">
      <alignment horizontal="center"/>
      <protection locked="0"/>
    </xf>
    <xf numFmtId="0" fontId="15" fillId="15" borderId="48" xfId="0" applyFont="1" applyFill="1" applyBorder="1" applyAlignment="1" applyProtection="1">
      <alignment horizontal="center"/>
      <protection locked="0"/>
    </xf>
    <xf numFmtId="0" fontId="15" fillId="0" borderId="53" xfId="0" applyFont="1" applyFill="1" applyBorder="1" applyAlignment="1" applyProtection="1">
      <alignment horizontal="left"/>
      <protection locked="0"/>
    </xf>
    <xf numFmtId="0" fontId="15" fillId="15" borderId="18" xfId="0" applyFont="1" applyFill="1" applyBorder="1" applyAlignment="1" applyProtection="1">
      <alignment horizontal="center"/>
      <protection locked="0"/>
    </xf>
    <xf numFmtId="0" fontId="15" fillId="15" borderId="71" xfId="0" applyFont="1" applyFill="1" applyBorder="1" applyAlignment="1" applyProtection="1">
      <alignment horizontal="center"/>
      <protection locked="0"/>
    </xf>
    <xf numFmtId="0" fontId="15" fillId="15" borderId="49" xfId="0" applyFont="1" applyFill="1" applyBorder="1" applyAlignment="1" applyProtection="1">
      <alignment horizontal="left"/>
      <protection locked="0"/>
    </xf>
    <xf numFmtId="0" fontId="15" fillId="15" borderId="73" xfId="0" applyFont="1" applyFill="1" applyBorder="1" applyAlignment="1" applyProtection="1">
      <alignment horizontal="center"/>
      <protection locked="0"/>
    </xf>
    <xf numFmtId="0" fontId="15" fillId="0" borderId="18" xfId="0" applyFont="1" applyFill="1" applyBorder="1" applyAlignment="1" applyProtection="1">
      <alignment horizontal="center"/>
      <protection locked="0"/>
    </xf>
    <xf numFmtId="0" fontId="15" fillId="15" borderId="22" xfId="0" applyFont="1" applyFill="1" applyBorder="1" applyAlignment="1" applyProtection="1">
      <alignment horizontal="center"/>
      <protection locked="0"/>
    </xf>
    <xf numFmtId="0" fontId="15" fillId="15" borderId="49" xfId="0" applyFont="1" applyFill="1" applyBorder="1" applyAlignment="1" applyProtection="1">
      <alignment horizontal="center"/>
      <protection locked="0"/>
    </xf>
    <xf numFmtId="0" fontId="15" fillId="15" borderId="60" xfId="0" applyFont="1" applyFill="1" applyBorder="1" applyAlignment="1" applyProtection="1">
      <alignment horizontal="center"/>
      <protection locked="0"/>
    </xf>
    <xf numFmtId="0" fontId="15" fillId="16" borderId="18" xfId="0" applyFont="1" applyFill="1" applyBorder="1" applyAlignment="1" applyProtection="1">
      <alignment horizontal="center"/>
      <protection locked="0"/>
    </xf>
    <xf numFmtId="0" fontId="15" fillId="15" borderId="53" xfId="0" applyFont="1" applyFill="1" applyBorder="1" applyAlignment="1" applyProtection="1">
      <alignment horizontal="left"/>
      <protection locked="0"/>
    </xf>
    <xf numFmtId="0" fontId="15" fillId="15" borderId="34" xfId="0" applyFont="1" applyFill="1" applyBorder="1" applyAlignment="1" applyProtection="1">
      <alignment horizontal="center"/>
      <protection locked="0"/>
    </xf>
    <xf numFmtId="0" fontId="15" fillId="0" borderId="73" xfId="0" applyFont="1" applyFill="1" applyBorder="1" applyAlignment="1" applyProtection="1">
      <alignment horizontal="center"/>
      <protection locked="0"/>
    </xf>
    <xf numFmtId="0" fontId="15" fillId="0" borderId="49" xfId="0" applyFont="1" applyFill="1" applyBorder="1" applyAlignment="1" applyProtection="1">
      <alignment horizontal="left"/>
      <protection locked="0"/>
    </xf>
    <xf numFmtId="0" fontId="15" fillId="0" borderId="71" xfId="0" applyFont="1" applyFill="1" applyBorder="1" applyAlignment="1" applyProtection="1">
      <alignment horizontal="center"/>
      <protection locked="0"/>
    </xf>
    <xf numFmtId="0" fontId="15" fillId="0" borderId="44" xfId="0" applyFont="1" applyFill="1" applyBorder="1" applyAlignment="1" applyProtection="1">
      <alignment horizontal="left"/>
      <protection locked="0"/>
    </xf>
    <xf numFmtId="0" fontId="15" fillId="0" borderId="18" xfId="0" applyFont="1" applyFill="1" applyBorder="1" applyAlignment="1" applyProtection="1">
      <alignment horizontal="center" vertical="center"/>
      <protection locked="0"/>
    </xf>
    <xf numFmtId="0" fontId="15" fillId="0" borderId="49" xfId="0" applyFont="1" applyFill="1" applyBorder="1" applyAlignment="1" applyProtection="1">
      <alignment horizontal="center"/>
      <protection locked="0"/>
    </xf>
    <xf numFmtId="0" fontId="15" fillId="15" borderId="79" xfId="0" applyFont="1" applyFill="1" applyBorder="1" applyAlignment="1" applyProtection="1">
      <alignment horizontal="center"/>
      <protection locked="0"/>
    </xf>
    <xf numFmtId="0" fontId="15" fillId="0" borderId="83" xfId="0" applyFont="1" applyFill="1" applyBorder="1" applyAlignment="1" applyProtection="1">
      <alignment horizontal="left" vertical="center"/>
      <protection locked="0"/>
    </xf>
    <xf numFmtId="0" fontId="15" fillId="0" borderId="49" xfId="0" applyFont="1" applyFill="1" applyBorder="1" applyAlignment="1" applyProtection="1">
      <alignment horizontal="left" vertical="center"/>
      <protection locked="0"/>
    </xf>
    <xf numFmtId="0" fontId="15" fillId="0" borderId="0" xfId="0" applyFont="1"/>
    <xf numFmtId="0" fontId="15" fillId="0" borderId="34" xfId="0" applyFont="1" applyFill="1" applyBorder="1" applyAlignment="1" applyProtection="1">
      <alignment horizontal="center"/>
      <protection locked="0"/>
    </xf>
    <xf numFmtId="0" fontId="15" fillId="0" borderId="60" xfId="0" applyFont="1" applyFill="1" applyBorder="1" applyAlignment="1" applyProtection="1">
      <alignment horizontal="center"/>
      <protection locked="0"/>
    </xf>
    <xf numFmtId="0" fontId="15" fillId="0" borderId="22" xfId="0" applyFont="1" applyFill="1" applyBorder="1" applyAlignment="1" applyProtection="1">
      <alignment horizontal="center"/>
      <protection locked="0"/>
    </xf>
    <xf numFmtId="0" fontId="24" fillId="0" borderId="49" xfId="8" applyFont="1" applyBorder="1" applyAlignment="1" applyProtection="1">
      <alignment horizontal="left" vertical="center"/>
      <protection locked="0"/>
    </xf>
    <xf numFmtId="0" fontId="24" fillId="0" borderId="63" xfId="8" applyFont="1" applyFill="1" applyBorder="1" applyAlignment="1" applyProtection="1">
      <alignment horizontal="left" vertical="center"/>
    </xf>
    <xf numFmtId="0" fontId="15" fillId="0" borderId="83" xfId="0" applyFont="1" applyFill="1" applyBorder="1" applyAlignment="1" applyProtection="1">
      <alignment horizontal="left"/>
      <protection locked="0"/>
    </xf>
    <xf numFmtId="0" fontId="15" fillId="0" borderId="63" xfId="0" applyFont="1" applyFill="1" applyBorder="1" applyAlignment="1" applyProtection="1">
      <alignment horizontal="left"/>
      <protection locked="0"/>
    </xf>
    <xf numFmtId="0" fontId="15" fillId="0" borderId="91" xfId="0" applyFont="1" applyFill="1" applyBorder="1" applyAlignment="1" applyProtection="1">
      <alignment horizontal="center" vertical="center"/>
      <protection locked="0"/>
    </xf>
    <xf numFmtId="0" fontId="15" fillId="0" borderId="47" xfId="0" applyFont="1" applyFill="1" applyBorder="1" applyAlignment="1" applyProtection="1">
      <alignment horizontal="center" vertical="center"/>
      <protection locked="0"/>
    </xf>
    <xf numFmtId="0" fontId="15" fillId="0" borderId="48" xfId="0" applyFont="1" applyFill="1" applyBorder="1" applyAlignment="1" applyProtection="1">
      <alignment horizontal="center" vertical="center"/>
      <protection locked="0"/>
    </xf>
    <xf numFmtId="0" fontId="15" fillId="15" borderId="18" xfId="0" applyFont="1" applyFill="1" applyBorder="1" applyAlignment="1" applyProtection="1">
      <alignment horizontal="center" vertical="center"/>
      <protection locked="0"/>
    </xf>
    <xf numFmtId="0" fontId="29" fillId="4" borderId="70" xfId="8" applyFont="1" applyFill="1" applyBorder="1" applyAlignment="1" applyProtection="1">
      <alignment horizontal="left" vertical="center"/>
    </xf>
    <xf numFmtId="0" fontId="3" fillId="0" borderId="0" xfId="2" applyAlignment="1">
      <alignment horizontal="center" vertical="center"/>
    </xf>
    <xf numFmtId="0" fontId="3" fillId="0" borderId="0" xfId="2" applyAlignment="1">
      <alignment horizontal="center" vertical="center" wrapText="1"/>
    </xf>
    <xf numFmtId="0" fontId="3" fillId="0" borderId="0" xfId="1" applyAlignment="1">
      <alignment horizontal="center" vertical="center" wrapText="1"/>
    </xf>
    <xf numFmtId="0" fontId="3" fillId="15" borderId="39" xfId="3" applyFont="1" applyFill="1" applyBorder="1" applyAlignment="1">
      <alignment horizontal="center" vertical="center"/>
    </xf>
    <xf numFmtId="0" fontId="3" fillId="0" borderId="0" xfId="3" applyFont="1" applyAlignment="1"/>
    <xf numFmtId="0" fontId="17" fillId="15" borderId="0" xfId="3" applyFont="1" applyFill="1" applyAlignment="1">
      <alignment vertical="top" wrapText="1"/>
    </xf>
    <xf numFmtId="0" fontId="1" fillId="0" borderId="0" xfId="3" applyFont="1" applyBorder="1"/>
    <xf numFmtId="0" fontId="0" fillId="0" borderId="0" xfId="3" applyFont="1" applyBorder="1" applyAlignment="1">
      <alignment vertical="center"/>
    </xf>
    <xf numFmtId="0" fontId="1" fillId="0" borderId="0" xfId="3" applyFont="1" applyBorder="1" applyAlignment="1">
      <alignment vertical="center"/>
    </xf>
    <xf numFmtId="0" fontId="1" fillId="0" borderId="15" xfId="3" applyFont="1" applyBorder="1" applyAlignment="1">
      <alignment vertical="center"/>
    </xf>
    <xf numFmtId="0" fontId="1" fillId="15" borderId="0" xfId="6" applyFont="1" applyFill="1" applyBorder="1" applyAlignment="1">
      <alignment horizontal="center" vertical="center"/>
    </xf>
    <xf numFmtId="0" fontId="16" fillId="4" borderId="69" xfId="6" applyFont="1" applyFill="1" applyBorder="1" applyAlignment="1" applyProtection="1">
      <alignment vertical="center"/>
    </xf>
    <xf numFmtId="0" fontId="26" fillId="2" borderId="69" xfId="9" applyFont="1" applyBorder="1" applyAlignment="1" applyProtection="1">
      <alignment horizontal="center" vertical="center"/>
    </xf>
    <xf numFmtId="0" fontId="15" fillId="0" borderId="49" xfId="0" applyFont="1" applyBorder="1" applyAlignment="1" applyProtection="1">
      <alignment horizontal="center"/>
      <protection locked="0"/>
    </xf>
    <xf numFmtId="0" fontId="15" fillId="0" borderId="18" xfId="0" applyFont="1" applyBorder="1" applyAlignment="1" applyProtection="1">
      <alignment horizontal="center"/>
      <protection locked="0"/>
    </xf>
    <xf numFmtId="0" fontId="15" fillId="0" borderId="60" xfId="0" applyFont="1" applyBorder="1" applyAlignment="1" applyProtection="1">
      <alignment horizontal="center"/>
      <protection locked="0"/>
    </xf>
    <xf numFmtId="0" fontId="15" fillId="24" borderId="60" xfId="0" applyFont="1" applyFill="1" applyBorder="1" applyAlignment="1" applyProtection="1">
      <alignment horizontal="center"/>
      <protection locked="0"/>
    </xf>
    <xf numFmtId="0" fontId="15" fillId="24" borderId="22" xfId="0" applyFont="1" applyFill="1" applyBorder="1" applyAlignment="1" applyProtection="1">
      <alignment horizontal="center"/>
      <protection locked="0"/>
    </xf>
    <xf numFmtId="0" fontId="15" fillId="24" borderId="18" xfId="0" applyFont="1" applyFill="1" applyBorder="1" applyAlignment="1" applyProtection="1">
      <alignment horizontal="center"/>
      <protection locked="0"/>
    </xf>
    <xf numFmtId="0" fontId="3" fillId="15" borderId="0" xfId="6" applyFill="1"/>
    <xf numFmtId="0" fontId="3" fillId="25" borderId="0" xfId="3" applyFill="1" applyProtection="1">
      <protection locked="0"/>
    </xf>
    <xf numFmtId="0" fontId="3" fillId="25" borderId="0" xfId="6" applyFill="1"/>
    <xf numFmtId="0" fontId="3" fillId="25" borderId="0" xfId="3" applyFill="1"/>
    <xf numFmtId="0" fontId="15" fillId="25" borderId="0" xfId="1" applyFont="1" applyFill="1" applyAlignment="1">
      <alignment horizontal="left"/>
    </xf>
    <xf numFmtId="0" fontId="3" fillId="25" borderId="0" xfId="1" applyFill="1"/>
    <xf numFmtId="0" fontId="1" fillId="0" borderId="0" xfId="3" quotePrefix="1" applyFont="1" applyBorder="1" applyAlignment="1">
      <alignment vertical="center"/>
    </xf>
    <xf numFmtId="0" fontId="1" fillId="0" borderId="15" xfId="3" quotePrefix="1" applyFont="1" applyBorder="1" applyAlignment="1">
      <alignment vertical="center"/>
    </xf>
    <xf numFmtId="0" fontId="3" fillId="0" borderId="0" xfId="2" applyBorder="1" applyAlignment="1" applyProtection="1">
      <alignment vertical="center"/>
      <protection locked="0"/>
    </xf>
    <xf numFmtId="0" fontId="13" fillId="0" borderId="0" xfId="2" applyFont="1" applyBorder="1" applyAlignment="1" applyProtection="1">
      <alignment horizontal="left" vertical="center"/>
      <protection locked="0"/>
    </xf>
    <xf numFmtId="0" fontId="3" fillId="0" borderId="0" xfId="2" applyBorder="1"/>
    <xf numFmtId="0" fontId="13" fillId="0" borderId="0" xfId="2" applyFont="1" applyBorder="1" applyAlignment="1">
      <alignment horizontal="center"/>
    </xf>
    <xf numFmtId="0" fontId="13" fillId="0" borderId="26" xfId="2" applyFont="1" applyBorder="1" applyAlignment="1" applyProtection="1">
      <alignment horizontal="right" vertical="center"/>
      <protection locked="0"/>
    </xf>
    <xf numFmtId="0" fontId="3" fillId="0" borderId="26" xfId="2" applyBorder="1"/>
    <xf numFmtId="0" fontId="13" fillId="0" borderId="26" xfId="2" applyFont="1" applyBorder="1" applyAlignment="1">
      <alignment horizontal="center"/>
    </xf>
    <xf numFmtId="0" fontId="13" fillId="0" borderId="0" xfId="2" applyFont="1" applyFill="1" applyBorder="1" applyAlignment="1">
      <alignment horizontal="center"/>
    </xf>
    <xf numFmtId="0" fontId="13" fillId="0" borderId="0" xfId="2" applyFont="1" applyBorder="1" applyAlignment="1">
      <alignment horizontal="left"/>
    </xf>
    <xf numFmtId="0" fontId="0" fillId="0" borderId="0" xfId="3" applyFont="1" applyBorder="1" applyAlignment="1">
      <alignment horizontal="center"/>
    </xf>
    <xf numFmtId="0" fontId="1" fillId="0" borderId="0" xfId="3" applyFont="1" applyBorder="1" applyAlignment="1">
      <alignment horizontal="center"/>
    </xf>
    <xf numFmtId="0" fontId="3" fillId="15" borderId="0" xfId="2" applyFill="1"/>
    <xf numFmtId="0" fontId="64" fillId="0" borderId="0" xfId="3" applyFont="1" applyBorder="1" applyAlignment="1">
      <alignment vertical="center"/>
    </xf>
    <xf numFmtId="0" fontId="17" fillId="15" borderId="63" xfId="9" applyFont="1" applyFill="1" applyBorder="1" applyAlignment="1" applyProtection="1">
      <alignment horizontal="left" vertical="center"/>
    </xf>
    <xf numFmtId="0" fontId="15" fillId="0" borderId="74" xfId="0" applyFont="1" applyFill="1" applyBorder="1" applyAlignment="1" applyProtection="1">
      <alignment horizontal="center"/>
      <protection locked="0"/>
    </xf>
    <xf numFmtId="0" fontId="15" fillId="0" borderId="75" xfId="0" applyFont="1" applyFill="1" applyBorder="1" applyAlignment="1" applyProtection="1">
      <alignment horizontal="center"/>
      <protection locked="0"/>
    </xf>
    <xf numFmtId="0" fontId="15" fillId="0" borderId="72" xfId="0" applyFont="1" applyFill="1" applyBorder="1" applyAlignment="1" applyProtection="1">
      <alignment horizontal="center"/>
      <protection locked="0"/>
    </xf>
    <xf numFmtId="0" fontId="3" fillId="0" borderId="40" xfId="3" applyFont="1" applyBorder="1"/>
    <xf numFmtId="0" fontId="12" fillId="15" borderId="22" xfId="8" applyFont="1" applyFill="1" applyBorder="1" applyAlignment="1" applyProtection="1">
      <alignment horizontal="center" vertical="center"/>
    </xf>
    <xf numFmtId="0" fontId="12" fillId="26" borderId="20" xfId="0" applyFont="1" applyFill="1" applyBorder="1" applyAlignment="1">
      <alignment horizontal="center" vertical="center"/>
    </xf>
    <xf numFmtId="0" fontId="13" fillId="27" borderId="20" xfId="8" applyFont="1" applyFill="1" applyBorder="1" applyAlignment="1" applyProtection="1">
      <alignment horizontal="center" vertical="center"/>
    </xf>
    <xf numFmtId="0" fontId="12" fillId="28" borderId="20" xfId="0" applyFont="1" applyFill="1" applyBorder="1" applyAlignment="1">
      <alignment horizontal="center" vertical="center"/>
    </xf>
    <xf numFmtId="0" fontId="12" fillId="0" borderId="20" xfId="0" applyFont="1" applyBorder="1" applyAlignment="1">
      <alignment horizontal="center" vertical="center"/>
    </xf>
    <xf numFmtId="0" fontId="12" fillId="21" borderId="20" xfId="8" applyFont="1" applyFill="1" applyBorder="1" applyAlignment="1" applyProtection="1">
      <alignment horizontal="center" vertical="center"/>
    </xf>
    <xf numFmtId="0" fontId="17" fillId="16" borderId="22" xfId="9" applyFont="1" applyFill="1" applyBorder="1" applyAlignment="1" applyProtection="1">
      <alignment horizontal="centerContinuous" vertical="center"/>
    </xf>
    <xf numFmtId="0" fontId="17" fillId="29" borderId="22" xfId="9" applyFont="1" applyFill="1" applyBorder="1" applyAlignment="1" applyProtection="1">
      <alignment horizontal="centerContinuous" vertical="center"/>
    </xf>
    <xf numFmtId="0" fontId="15" fillId="15" borderId="71" xfId="0" applyFont="1" applyFill="1" applyBorder="1" applyAlignment="1" applyProtection="1">
      <alignment horizontal="center" vertical="center"/>
      <protection locked="0"/>
    </xf>
    <xf numFmtId="0" fontId="27" fillId="0" borderId="22" xfId="0" applyFont="1" applyBorder="1" applyAlignment="1">
      <alignment horizontal="centerContinuous" vertical="center"/>
    </xf>
    <xf numFmtId="0" fontId="15" fillId="0" borderId="92" xfId="0" applyFont="1" applyFill="1" applyBorder="1" applyAlignment="1" applyProtection="1">
      <alignment horizontal="center" vertical="center"/>
      <protection locked="0"/>
    </xf>
    <xf numFmtId="0" fontId="15" fillId="0" borderId="60" xfId="0" applyFont="1" applyFill="1" applyBorder="1" applyAlignment="1" applyProtection="1">
      <alignment horizontal="center" vertical="center"/>
      <protection locked="0"/>
    </xf>
    <xf numFmtId="0" fontId="15" fillId="15" borderId="60" xfId="0" applyFont="1" applyFill="1" applyBorder="1" applyAlignment="1" applyProtection="1">
      <alignment horizontal="center" vertical="center"/>
      <protection locked="0"/>
    </xf>
    <xf numFmtId="0" fontId="15" fillId="0" borderId="76" xfId="8" applyFont="1" applyBorder="1" applyAlignment="1" applyProtection="1">
      <alignment horizontal="left" vertical="center"/>
    </xf>
    <xf numFmtId="0" fontId="15" fillId="0" borderId="77" xfId="8" applyFont="1" applyBorder="1" applyAlignment="1" applyProtection="1">
      <alignment horizontal="left" vertical="center"/>
    </xf>
    <xf numFmtId="0" fontId="29" fillId="0" borderId="78" xfId="8" applyFont="1" applyBorder="1" applyAlignment="1" applyProtection="1">
      <alignment horizontal="left" vertical="center"/>
    </xf>
    <xf numFmtId="0" fontId="15" fillId="30" borderId="22" xfId="0" applyFont="1" applyFill="1" applyBorder="1" applyAlignment="1" applyProtection="1">
      <alignment horizontal="center"/>
      <protection locked="0"/>
    </xf>
    <xf numFmtId="0" fontId="65" fillId="0" borderId="0" xfId="3" applyFont="1" applyBorder="1" applyAlignment="1">
      <alignment vertical="center"/>
    </xf>
    <xf numFmtId="0" fontId="28" fillId="0" borderId="0" xfId="3" applyFont="1" applyBorder="1" applyAlignment="1">
      <alignment horizontal="left"/>
    </xf>
    <xf numFmtId="0" fontId="12" fillId="30" borderId="20" xfId="0" applyFont="1" applyFill="1" applyBorder="1" applyAlignment="1">
      <alignment horizontal="center" vertical="center"/>
    </xf>
    <xf numFmtId="0" fontId="12" fillId="21" borderId="22" xfId="8" applyFont="1" applyFill="1" applyBorder="1" applyAlignment="1" applyProtection="1">
      <alignment horizontal="center" vertical="center"/>
    </xf>
    <xf numFmtId="0" fontId="12" fillId="27" borderId="20" xfId="8" applyFont="1" applyFill="1" applyBorder="1" applyAlignment="1" applyProtection="1">
      <alignment horizontal="center" vertical="center"/>
    </xf>
    <xf numFmtId="0" fontId="15" fillId="15" borderId="54" xfId="0" applyFont="1" applyFill="1" applyBorder="1" applyAlignment="1" applyProtection="1">
      <alignment horizontal="left"/>
      <protection locked="0"/>
    </xf>
    <xf numFmtId="0" fontId="15" fillId="15" borderId="60" xfId="0" applyFont="1" applyFill="1" applyBorder="1" applyAlignment="1" applyProtection="1">
      <alignment horizontal="left"/>
      <protection locked="0"/>
    </xf>
    <xf numFmtId="0" fontId="17" fillId="15" borderId="63" xfId="9" applyFont="1" applyFill="1" applyBorder="1" applyAlignment="1" applyProtection="1">
      <alignment horizontal="left" vertical="center"/>
    </xf>
    <xf numFmtId="0" fontId="15" fillId="15" borderId="80" xfId="0" applyFont="1" applyFill="1" applyBorder="1" applyAlignment="1" applyProtection="1">
      <alignment horizontal="center"/>
      <protection locked="0"/>
    </xf>
    <xf numFmtId="0" fontId="15" fillId="0" borderId="0" xfId="8" applyFont="1"/>
    <xf numFmtId="0" fontId="29" fillId="21" borderId="22" xfId="8" applyFont="1" applyFill="1" applyBorder="1" applyAlignment="1" applyProtection="1">
      <alignment horizontal="center" vertical="center"/>
    </xf>
    <xf numFmtId="0" fontId="12" fillId="31" borderId="20" xfId="0" applyFont="1" applyFill="1" applyBorder="1" applyAlignment="1">
      <alignment horizontal="center" vertical="center"/>
    </xf>
    <xf numFmtId="0" fontId="15" fillId="16" borderId="47" xfId="0" applyFont="1" applyFill="1" applyBorder="1" applyAlignment="1" applyProtection="1">
      <alignment horizontal="center"/>
      <protection locked="0"/>
    </xf>
    <xf numFmtId="0" fontId="15" fillId="20" borderId="18" xfId="0" applyFont="1" applyFill="1" applyBorder="1" applyAlignment="1" applyProtection="1">
      <alignment horizontal="center"/>
      <protection locked="0"/>
    </xf>
    <xf numFmtId="0" fontId="15" fillId="15" borderId="39" xfId="0" applyFont="1" applyFill="1" applyBorder="1" applyAlignment="1" applyProtection="1">
      <alignment horizontal="center"/>
      <protection locked="0"/>
    </xf>
    <xf numFmtId="0" fontId="15" fillId="15" borderId="91" xfId="0" applyFont="1" applyFill="1" applyBorder="1" applyAlignment="1" applyProtection="1">
      <alignment horizontal="center"/>
      <protection locked="0"/>
    </xf>
    <xf numFmtId="0" fontId="15" fillId="15" borderId="86" xfId="0" applyFont="1" applyFill="1" applyBorder="1" applyAlignment="1" applyProtection="1">
      <alignment horizontal="center"/>
      <protection locked="0"/>
    </xf>
    <xf numFmtId="0" fontId="29" fillId="4" borderId="71" xfId="8" applyFont="1" applyFill="1" applyBorder="1" applyAlignment="1" applyProtection="1">
      <alignment horizontal="left" vertical="center"/>
    </xf>
    <xf numFmtId="0" fontId="15" fillId="0" borderId="82" xfId="8" applyFont="1" applyBorder="1" applyAlignment="1" applyProtection="1">
      <alignment horizontal="left" vertical="center"/>
    </xf>
    <xf numFmtId="0" fontId="15" fillId="20" borderId="73" xfId="0" applyFont="1" applyFill="1" applyBorder="1" applyAlignment="1" applyProtection="1">
      <alignment horizontal="center"/>
      <protection locked="0"/>
    </xf>
    <xf numFmtId="0" fontId="15" fillId="16" borderId="49" xfId="0" applyFont="1" applyFill="1" applyBorder="1" applyAlignment="1" applyProtection="1">
      <alignment horizontal="center"/>
      <protection locked="0"/>
    </xf>
    <xf numFmtId="0" fontId="15" fillId="16" borderId="73" xfId="0" applyFont="1" applyFill="1" applyBorder="1" applyAlignment="1" applyProtection="1">
      <alignment horizontal="center"/>
      <protection locked="0"/>
    </xf>
    <xf numFmtId="0" fontId="15" fillId="16" borderId="71" xfId="0" applyFont="1" applyFill="1" applyBorder="1" applyAlignment="1" applyProtection="1">
      <alignment horizontal="center"/>
      <protection locked="0"/>
    </xf>
    <xf numFmtId="0" fontId="17" fillId="17" borderId="22" xfId="9" applyFont="1" applyFill="1" applyBorder="1" applyAlignment="1" applyProtection="1">
      <alignment horizontal="centerContinuous" vertical="center"/>
    </xf>
    <xf numFmtId="0" fontId="17" fillId="32" borderId="22" xfId="9" applyFont="1" applyFill="1" applyBorder="1" applyAlignment="1" applyProtection="1">
      <alignment horizontal="centerContinuous" vertical="center"/>
    </xf>
    <xf numFmtId="0" fontId="15" fillId="0" borderId="0" xfId="3" applyFont="1" applyAlignment="1" applyProtection="1">
      <alignment horizontal="center" vertical="center"/>
      <protection locked="0"/>
    </xf>
    <xf numFmtId="0" fontId="28" fillId="0" borderId="0" xfId="0" applyFont="1" applyAlignment="1">
      <alignment horizontal="center" vertical="center"/>
    </xf>
    <xf numFmtId="0" fontId="17" fillId="0" borderId="0" xfId="3" applyFont="1" applyAlignment="1">
      <alignment horizontal="center" vertical="center"/>
    </xf>
    <xf numFmtId="0" fontId="15" fillId="15" borderId="49" xfId="9" applyFont="1" applyFill="1" applyBorder="1" applyAlignment="1" applyProtection="1">
      <alignment horizontal="center" vertical="center"/>
    </xf>
    <xf numFmtId="0" fontId="15" fillId="15" borderId="22" xfId="9" applyFont="1" applyFill="1" applyBorder="1" applyAlignment="1" applyProtection="1">
      <alignment horizontal="center" vertical="center"/>
    </xf>
    <xf numFmtId="0" fontId="15" fillId="15" borderId="50" xfId="9" applyFont="1" applyFill="1" applyBorder="1" applyAlignment="1" applyProtection="1">
      <alignment horizontal="center" vertical="center"/>
    </xf>
    <xf numFmtId="0" fontId="41" fillId="0" borderId="0" xfId="2" applyFont="1" applyAlignment="1">
      <alignment horizontal="center" vertical="center"/>
    </xf>
    <xf numFmtId="0" fontId="17" fillId="15" borderId="63" xfId="9" applyFont="1" applyFill="1" applyBorder="1" applyAlignment="1" applyProtection="1">
      <alignment horizontal="left" vertical="center"/>
    </xf>
    <xf numFmtId="0" fontId="17" fillId="15" borderId="25" xfId="9" applyFont="1" applyFill="1" applyBorder="1" applyAlignment="1" applyProtection="1">
      <alignment horizontal="left" vertical="center"/>
    </xf>
    <xf numFmtId="0" fontId="17" fillId="15" borderId="51" xfId="9" applyFont="1" applyFill="1" applyBorder="1" applyAlignment="1" applyProtection="1">
      <alignment horizontal="left" vertical="center"/>
    </xf>
    <xf numFmtId="0" fontId="17" fillId="15" borderId="49" xfId="9" applyFont="1" applyFill="1" applyBorder="1" applyAlignment="1" applyProtection="1">
      <alignment horizontal="center" vertical="center"/>
    </xf>
    <xf numFmtId="0" fontId="17" fillId="15" borderId="22" xfId="9" applyFont="1" applyFill="1" applyBorder="1" applyAlignment="1" applyProtection="1">
      <alignment horizontal="center" vertical="center"/>
    </xf>
    <xf numFmtId="0" fontId="17" fillId="15" borderId="50" xfId="9" applyFont="1" applyFill="1" applyBorder="1" applyAlignment="1" applyProtection="1">
      <alignment horizontal="center" vertical="center"/>
    </xf>
    <xf numFmtId="0" fontId="4" fillId="0" borderId="0" xfId="8" quotePrefix="1" applyFont="1" applyAlignment="1" applyProtection="1">
      <alignment wrapText="1"/>
      <protection locked="0"/>
    </xf>
    <xf numFmtId="0" fontId="45" fillId="0" borderId="0" xfId="8" applyFont="1" applyAlignment="1" applyProtection="1">
      <alignment horizontal="center"/>
      <protection hidden="1"/>
    </xf>
    <xf numFmtId="0" fontId="0" fillId="0" borderId="0" xfId="0" applyAlignment="1">
      <alignment horizontal="center"/>
    </xf>
    <xf numFmtId="0" fontId="4" fillId="15" borderId="32" xfId="8" applyFont="1" applyFill="1" applyBorder="1" applyAlignment="1" applyProtection="1">
      <alignment horizontal="center" vertical="center"/>
    </xf>
    <xf numFmtId="0" fontId="4" fillId="15" borderId="12" xfId="8" applyFont="1" applyFill="1" applyBorder="1" applyAlignment="1" applyProtection="1">
      <alignment horizontal="center" vertical="center"/>
    </xf>
  </cellXfs>
  <cellStyles count="10">
    <cellStyle name="Normal" xfId="0" builtinId="0"/>
    <cellStyle name="Normal_BEM Weekly Asignments" xfId="1"/>
    <cellStyle name="Normal_CUST Weekly Asignments" xfId="2"/>
    <cellStyle name="Normal_ET Weekly Asignments" xfId="3"/>
    <cellStyle name="Normal_Main Sheet" xfId="4"/>
    <cellStyle name="Normal_Master List" xfId="5"/>
    <cellStyle name="Normal_MPE Weekly Asignments" xfId="6"/>
    <cellStyle name="Normal_Print Selected Day" xfId="7"/>
    <cellStyle name="Normal_Schedule" xfId="8"/>
    <cellStyle name="Normal_Sheet1 (2)" xfId="9"/>
  </cellStyles>
  <dxfs count="1217">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theme="8" tint="0.59996337778862885"/>
        </patternFill>
      </fill>
    </dxf>
    <dxf>
      <fill>
        <patternFill>
          <bgColor rgb="FFFFFF00"/>
        </patternFill>
      </fill>
    </dxf>
    <dxf>
      <fill>
        <patternFill>
          <bgColor theme="6"/>
        </patternFill>
      </fill>
    </dxf>
    <dxf>
      <fill>
        <patternFill>
          <bgColor theme="8" tint="0.59996337778862885"/>
        </patternFill>
      </fill>
    </dxf>
    <dxf>
      <fill>
        <patternFill>
          <bgColor rgb="FFFFFF00"/>
        </patternFill>
      </fill>
    </dxf>
    <dxf>
      <fill>
        <patternFill>
          <bgColor theme="6"/>
        </patternFill>
      </fill>
    </dxf>
    <dxf>
      <fill>
        <patternFill>
          <bgColor theme="8" tint="0.59996337778862885"/>
        </patternFill>
      </fill>
    </dxf>
    <dxf>
      <fill>
        <patternFill>
          <bgColor rgb="FFFFFF00"/>
        </patternFill>
      </fill>
    </dxf>
    <dxf>
      <fill>
        <patternFill>
          <bgColor theme="6"/>
        </patternFill>
      </fill>
    </dxf>
    <dxf>
      <fill>
        <patternFill>
          <bgColor theme="8" tint="0.59996337778862885"/>
        </patternFill>
      </fill>
    </dxf>
    <dxf>
      <fill>
        <patternFill>
          <bgColor rgb="FFFFFF00"/>
        </patternFill>
      </fill>
    </dxf>
    <dxf>
      <fill>
        <patternFill>
          <bgColor theme="6"/>
        </patternFill>
      </fill>
    </dxf>
    <dxf>
      <fill>
        <patternFill>
          <bgColor theme="8" tint="0.59996337778862885"/>
        </patternFill>
      </fill>
    </dxf>
    <dxf>
      <fill>
        <patternFill>
          <bgColor rgb="FFFFFF00"/>
        </patternFill>
      </fill>
    </dxf>
    <dxf>
      <fill>
        <patternFill>
          <bgColor theme="6"/>
        </patternFill>
      </fill>
    </dxf>
    <dxf>
      <fill>
        <patternFill>
          <bgColor theme="8" tint="0.59996337778862885"/>
        </patternFill>
      </fill>
    </dxf>
    <dxf>
      <fill>
        <patternFill>
          <bgColor rgb="FFFFFF00"/>
        </patternFill>
      </fill>
    </dxf>
    <dxf>
      <fill>
        <patternFill>
          <bgColor theme="6"/>
        </patternFill>
      </fill>
    </dxf>
    <dxf>
      <fill>
        <patternFill>
          <bgColor theme="8" tint="0.59996337778862885"/>
        </patternFill>
      </fill>
    </dxf>
    <dxf>
      <fill>
        <patternFill>
          <bgColor rgb="FFFFFF00"/>
        </patternFill>
      </fill>
    </dxf>
    <dxf>
      <fill>
        <patternFill>
          <bgColor theme="6"/>
        </patternFill>
      </fill>
    </dxf>
    <dxf>
      <fill>
        <patternFill>
          <bgColor indexed="47"/>
        </patternFill>
      </fill>
    </dxf>
    <dxf>
      <font>
        <b/>
        <i val="0"/>
        <color rgb="FFC00000"/>
      </font>
      <fill>
        <patternFill>
          <bgColor rgb="FFFFC000"/>
        </patternFill>
      </fill>
    </dxf>
    <dxf>
      <font>
        <b/>
        <i val="0"/>
        <color rgb="FFC00000"/>
      </font>
      <fill>
        <patternFill>
          <bgColor rgb="FFFFC000"/>
        </patternFill>
      </fill>
    </dxf>
    <dxf>
      <font>
        <b/>
        <i val="0"/>
        <color rgb="FFC00000"/>
      </font>
      <fill>
        <patternFill>
          <bgColor rgb="FFFFC000"/>
        </patternFill>
      </fill>
    </dxf>
    <dxf>
      <font>
        <b/>
        <i val="0"/>
        <color rgb="FFC00000"/>
      </font>
      <fill>
        <patternFill>
          <bgColor rgb="FFFFC000"/>
        </patternFill>
      </fill>
    </dxf>
    <dxf>
      <font>
        <b/>
        <i val="0"/>
        <color rgb="FFC00000"/>
      </font>
      <fill>
        <patternFill>
          <bgColor rgb="FFFFC000"/>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theme="8" tint="0.59996337778862885"/>
        </patternFill>
      </fill>
    </dxf>
    <dxf>
      <fill>
        <patternFill>
          <bgColor rgb="FFFFFF00"/>
        </patternFill>
      </fill>
    </dxf>
    <dxf>
      <fill>
        <patternFill>
          <bgColor theme="6"/>
        </patternFill>
      </fill>
    </dxf>
    <dxf>
      <fill>
        <patternFill>
          <bgColor theme="8" tint="0.59996337778862885"/>
        </patternFill>
      </fill>
    </dxf>
    <dxf>
      <fill>
        <patternFill>
          <bgColor rgb="FFFFFF00"/>
        </patternFill>
      </fill>
    </dxf>
    <dxf>
      <fill>
        <patternFill>
          <bgColor theme="6"/>
        </patternFill>
      </fill>
    </dxf>
    <dxf>
      <fill>
        <patternFill>
          <bgColor theme="8" tint="0.59996337778862885"/>
        </patternFill>
      </fill>
    </dxf>
    <dxf>
      <fill>
        <patternFill>
          <bgColor rgb="FFFFFF00"/>
        </patternFill>
      </fill>
    </dxf>
    <dxf>
      <fill>
        <patternFill>
          <bgColor theme="6"/>
        </patternFill>
      </fill>
    </dxf>
    <dxf>
      <fill>
        <patternFill>
          <bgColor theme="8" tint="0.59996337778862885"/>
        </patternFill>
      </fill>
    </dxf>
    <dxf>
      <fill>
        <patternFill>
          <bgColor rgb="FFFFFF00"/>
        </patternFill>
      </fill>
    </dxf>
    <dxf>
      <fill>
        <patternFill>
          <bgColor theme="6"/>
        </patternFill>
      </fill>
    </dxf>
    <dxf>
      <fill>
        <patternFill>
          <bgColor theme="8" tint="0.59996337778862885"/>
        </patternFill>
      </fill>
    </dxf>
    <dxf>
      <fill>
        <patternFill>
          <bgColor rgb="FFFFFF00"/>
        </patternFill>
      </fill>
    </dxf>
    <dxf>
      <fill>
        <patternFill>
          <bgColor theme="6"/>
        </patternFill>
      </fill>
    </dxf>
    <dxf>
      <fill>
        <patternFill>
          <bgColor theme="8" tint="0.59996337778862885"/>
        </patternFill>
      </fill>
    </dxf>
    <dxf>
      <fill>
        <patternFill>
          <bgColor rgb="FFFFFF00"/>
        </patternFill>
      </fill>
    </dxf>
    <dxf>
      <fill>
        <patternFill>
          <bgColor theme="6"/>
        </patternFill>
      </fill>
    </dxf>
    <dxf>
      <fill>
        <patternFill>
          <bgColor theme="8" tint="0.59996337778862885"/>
        </patternFill>
      </fill>
    </dxf>
    <dxf>
      <fill>
        <patternFill>
          <bgColor rgb="FFFFFF00"/>
        </patternFill>
      </fill>
    </dxf>
    <dxf>
      <fill>
        <patternFill>
          <bgColor theme="6"/>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theme="8" tint="0.59996337778862885"/>
        </patternFill>
      </fill>
    </dxf>
    <dxf>
      <fill>
        <patternFill>
          <bgColor rgb="FFFFFF00"/>
        </patternFill>
      </fill>
    </dxf>
    <dxf>
      <fill>
        <patternFill>
          <bgColor theme="6"/>
        </patternFill>
      </fill>
    </dxf>
    <dxf>
      <fill>
        <patternFill>
          <bgColor theme="8" tint="0.59996337778862885"/>
        </patternFill>
      </fill>
    </dxf>
    <dxf>
      <fill>
        <patternFill>
          <bgColor rgb="FFFFFF00"/>
        </patternFill>
      </fill>
    </dxf>
    <dxf>
      <fill>
        <patternFill>
          <bgColor theme="6"/>
        </patternFill>
      </fill>
    </dxf>
    <dxf>
      <fill>
        <patternFill>
          <bgColor theme="8" tint="0.59996337778862885"/>
        </patternFill>
      </fill>
    </dxf>
    <dxf>
      <fill>
        <patternFill>
          <bgColor rgb="FFFFFF00"/>
        </patternFill>
      </fill>
    </dxf>
    <dxf>
      <fill>
        <patternFill>
          <bgColor theme="6"/>
        </patternFill>
      </fill>
    </dxf>
    <dxf>
      <fill>
        <patternFill>
          <bgColor theme="8" tint="0.59996337778862885"/>
        </patternFill>
      </fill>
    </dxf>
    <dxf>
      <fill>
        <patternFill>
          <bgColor rgb="FFFFFF00"/>
        </patternFill>
      </fill>
    </dxf>
    <dxf>
      <fill>
        <patternFill>
          <bgColor theme="6"/>
        </patternFill>
      </fill>
    </dxf>
    <dxf>
      <fill>
        <patternFill>
          <bgColor theme="8" tint="0.59996337778862885"/>
        </patternFill>
      </fill>
    </dxf>
    <dxf>
      <fill>
        <patternFill>
          <bgColor rgb="FFFFFF00"/>
        </patternFill>
      </fill>
    </dxf>
    <dxf>
      <fill>
        <patternFill>
          <bgColor theme="6"/>
        </patternFill>
      </fill>
    </dxf>
    <dxf>
      <fill>
        <patternFill>
          <bgColor theme="8" tint="0.59996337778862885"/>
        </patternFill>
      </fill>
    </dxf>
    <dxf>
      <fill>
        <patternFill>
          <bgColor rgb="FFFFFF00"/>
        </patternFill>
      </fill>
    </dxf>
    <dxf>
      <fill>
        <patternFill>
          <bgColor theme="6"/>
        </patternFill>
      </fill>
    </dxf>
    <dxf>
      <fill>
        <patternFill>
          <bgColor theme="8" tint="0.59996337778862885"/>
        </patternFill>
      </fill>
    </dxf>
    <dxf>
      <fill>
        <patternFill>
          <bgColor rgb="FFFFFF00"/>
        </patternFill>
      </fill>
    </dxf>
    <dxf>
      <fill>
        <patternFill>
          <bgColor theme="6"/>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theme="8" tint="0.59996337778862885"/>
        </patternFill>
      </fill>
    </dxf>
    <dxf>
      <fill>
        <patternFill>
          <bgColor rgb="FFFFFF00"/>
        </patternFill>
      </fill>
    </dxf>
    <dxf>
      <fill>
        <patternFill>
          <bgColor theme="6"/>
        </patternFill>
      </fill>
    </dxf>
    <dxf>
      <fill>
        <patternFill>
          <bgColor theme="8" tint="0.59996337778862885"/>
        </patternFill>
      </fill>
    </dxf>
    <dxf>
      <fill>
        <patternFill>
          <bgColor rgb="FFFFFF00"/>
        </patternFill>
      </fill>
    </dxf>
    <dxf>
      <fill>
        <patternFill>
          <bgColor theme="6"/>
        </patternFill>
      </fill>
    </dxf>
    <dxf>
      <fill>
        <patternFill>
          <bgColor theme="8" tint="0.59996337778862885"/>
        </patternFill>
      </fill>
    </dxf>
    <dxf>
      <fill>
        <patternFill>
          <bgColor rgb="FFFFFF00"/>
        </patternFill>
      </fill>
    </dxf>
    <dxf>
      <fill>
        <patternFill>
          <bgColor theme="6"/>
        </patternFill>
      </fill>
    </dxf>
    <dxf>
      <fill>
        <patternFill>
          <bgColor theme="8" tint="0.59996337778862885"/>
        </patternFill>
      </fill>
    </dxf>
    <dxf>
      <fill>
        <patternFill>
          <bgColor rgb="FFFFFF00"/>
        </patternFill>
      </fill>
    </dxf>
    <dxf>
      <fill>
        <patternFill>
          <bgColor theme="6"/>
        </patternFill>
      </fill>
    </dxf>
    <dxf>
      <fill>
        <patternFill>
          <bgColor theme="8" tint="0.59996337778862885"/>
        </patternFill>
      </fill>
    </dxf>
    <dxf>
      <fill>
        <patternFill>
          <bgColor rgb="FFFFFF00"/>
        </patternFill>
      </fill>
    </dxf>
    <dxf>
      <fill>
        <patternFill>
          <bgColor theme="6"/>
        </patternFill>
      </fill>
    </dxf>
    <dxf>
      <fill>
        <patternFill>
          <bgColor theme="8" tint="0.59996337778862885"/>
        </patternFill>
      </fill>
    </dxf>
    <dxf>
      <fill>
        <patternFill>
          <bgColor rgb="FFFFFF00"/>
        </patternFill>
      </fill>
    </dxf>
    <dxf>
      <fill>
        <patternFill>
          <bgColor theme="6"/>
        </patternFill>
      </fill>
    </dxf>
    <dxf>
      <fill>
        <patternFill>
          <bgColor theme="8" tint="0.59996337778862885"/>
        </patternFill>
      </fill>
    </dxf>
    <dxf>
      <fill>
        <patternFill>
          <bgColor rgb="FFFFFF00"/>
        </patternFill>
      </fill>
    </dxf>
    <dxf>
      <fill>
        <patternFill>
          <bgColor theme="6"/>
        </patternFill>
      </fill>
    </dxf>
    <dxf>
      <fill>
        <patternFill>
          <bgColor indexed="47"/>
        </patternFill>
      </fill>
    </dxf>
    <dxf>
      <font>
        <b/>
        <i val="0"/>
        <color rgb="FFC00000"/>
      </font>
      <fill>
        <patternFill>
          <bgColor rgb="FFFFC000"/>
        </patternFill>
      </fill>
    </dxf>
    <dxf>
      <font>
        <b/>
        <i val="0"/>
        <color rgb="FFC00000"/>
      </font>
      <fill>
        <patternFill>
          <bgColor rgb="FFFFC000"/>
        </patternFill>
      </fill>
    </dxf>
    <dxf>
      <font>
        <b/>
        <i val="0"/>
        <color rgb="FFC00000"/>
      </font>
      <fill>
        <patternFill>
          <bgColor rgb="FFFFC000"/>
        </patternFill>
      </fill>
    </dxf>
    <dxf>
      <font>
        <b/>
        <i val="0"/>
        <color rgb="FFC00000"/>
      </font>
      <fill>
        <patternFill>
          <bgColor rgb="FFFFC000"/>
        </patternFill>
      </fill>
    </dxf>
    <dxf>
      <font>
        <b/>
        <i val="0"/>
        <color rgb="FFC00000"/>
      </font>
      <fill>
        <patternFill>
          <bgColor rgb="FFFFC000"/>
        </patternFill>
      </fill>
    </dxf>
    <dxf>
      <font>
        <b/>
        <i val="0"/>
        <color rgb="FFC00000"/>
      </font>
      <fill>
        <patternFill>
          <bgColor rgb="FFFFC000"/>
        </patternFill>
      </fill>
    </dxf>
    <dxf>
      <font>
        <b/>
        <i val="0"/>
        <color rgb="FFC00000"/>
      </font>
      <fill>
        <patternFill>
          <bgColor rgb="FFFFC000"/>
        </patternFill>
      </fill>
    </dxf>
    <dxf>
      <font>
        <b/>
        <i val="0"/>
        <color rgb="FFC00000"/>
      </font>
      <fill>
        <patternFill>
          <bgColor rgb="FFFFC000"/>
        </patternFill>
      </fill>
    </dxf>
    <dxf>
      <font>
        <b/>
        <i val="0"/>
        <color rgb="FFC00000"/>
      </font>
      <fill>
        <patternFill>
          <bgColor rgb="FFFFC000"/>
        </patternFill>
      </fill>
    </dxf>
    <dxf>
      <font>
        <b/>
        <i val="0"/>
        <color rgb="FFC00000"/>
      </font>
      <fill>
        <patternFill>
          <bgColor rgb="FFFFC000"/>
        </patternFill>
      </fill>
    </dxf>
    <dxf>
      <font>
        <b/>
        <i val="0"/>
        <color rgb="FFC00000"/>
      </font>
      <fill>
        <patternFill>
          <bgColor rgb="FFFFC000"/>
        </patternFill>
      </fill>
    </dxf>
    <dxf>
      <font>
        <b/>
        <i val="0"/>
        <color rgb="FFC00000"/>
      </font>
      <fill>
        <patternFill>
          <bgColor rgb="FFFFC000"/>
        </patternFill>
      </fill>
    </dxf>
    <dxf>
      <font>
        <b/>
        <i val="0"/>
        <color rgb="FFC00000"/>
      </font>
      <fill>
        <patternFill>
          <bgColor rgb="FFFFC000"/>
        </patternFill>
      </fill>
    </dxf>
    <dxf>
      <font>
        <b/>
        <i val="0"/>
        <color rgb="FFC00000"/>
      </font>
      <fill>
        <patternFill>
          <bgColor rgb="FFFFC000"/>
        </patternFill>
      </fill>
    </dxf>
    <dxf>
      <font>
        <b/>
        <i val="0"/>
        <color rgb="FFC00000"/>
      </font>
      <fill>
        <patternFill>
          <bgColor rgb="FFFFC000"/>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theme="8" tint="0.59996337778862885"/>
        </patternFill>
      </fill>
    </dxf>
    <dxf>
      <fill>
        <patternFill>
          <bgColor rgb="FFFFFF00"/>
        </patternFill>
      </fill>
    </dxf>
    <dxf>
      <fill>
        <patternFill>
          <bgColor theme="6"/>
        </patternFill>
      </fill>
    </dxf>
    <dxf>
      <fill>
        <patternFill>
          <bgColor theme="8" tint="0.59996337778862885"/>
        </patternFill>
      </fill>
    </dxf>
    <dxf>
      <fill>
        <patternFill>
          <bgColor rgb="FFFFFF00"/>
        </patternFill>
      </fill>
    </dxf>
    <dxf>
      <fill>
        <patternFill>
          <bgColor theme="6"/>
        </patternFill>
      </fill>
    </dxf>
    <dxf>
      <fill>
        <patternFill>
          <bgColor theme="8" tint="0.59996337778862885"/>
        </patternFill>
      </fill>
    </dxf>
    <dxf>
      <fill>
        <patternFill>
          <bgColor rgb="FFFFFF00"/>
        </patternFill>
      </fill>
    </dxf>
    <dxf>
      <fill>
        <patternFill>
          <bgColor theme="6"/>
        </patternFill>
      </fill>
    </dxf>
    <dxf>
      <fill>
        <patternFill>
          <bgColor theme="8" tint="0.59996337778862885"/>
        </patternFill>
      </fill>
    </dxf>
    <dxf>
      <fill>
        <patternFill>
          <bgColor rgb="FFFFFF00"/>
        </patternFill>
      </fill>
    </dxf>
    <dxf>
      <fill>
        <patternFill>
          <bgColor theme="6"/>
        </patternFill>
      </fill>
    </dxf>
    <dxf>
      <fill>
        <patternFill>
          <bgColor theme="8" tint="0.59996337778862885"/>
        </patternFill>
      </fill>
    </dxf>
    <dxf>
      <fill>
        <patternFill>
          <bgColor rgb="FFFFFF00"/>
        </patternFill>
      </fill>
    </dxf>
    <dxf>
      <fill>
        <patternFill>
          <bgColor theme="6"/>
        </patternFill>
      </fill>
    </dxf>
    <dxf>
      <fill>
        <patternFill>
          <bgColor theme="8" tint="0.59996337778862885"/>
        </patternFill>
      </fill>
    </dxf>
    <dxf>
      <fill>
        <patternFill>
          <bgColor rgb="FFFFFF00"/>
        </patternFill>
      </fill>
    </dxf>
    <dxf>
      <fill>
        <patternFill>
          <bgColor theme="6"/>
        </patternFill>
      </fill>
    </dxf>
    <dxf>
      <fill>
        <patternFill>
          <bgColor theme="8" tint="0.59996337778862885"/>
        </patternFill>
      </fill>
    </dxf>
    <dxf>
      <fill>
        <patternFill>
          <bgColor rgb="FFFFFF00"/>
        </patternFill>
      </fill>
    </dxf>
    <dxf>
      <fill>
        <patternFill>
          <bgColor theme="6"/>
        </patternFill>
      </fill>
    </dxf>
    <dxf>
      <fill>
        <patternFill>
          <bgColor indexed="47"/>
        </patternFill>
      </fill>
    </dxf>
    <dxf>
      <font>
        <b/>
        <i val="0"/>
        <color rgb="FFC00000"/>
      </font>
      <fill>
        <patternFill>
          <bgColor rgb="FFFFC000"/>
        </patternFill>
      </fill>
    </dxf>
    <dxf>
      <font>
        <b/>
        <i val="0"/>
        <color rgb="FFC00000"/>
      </font>
      <fill>
        <patternFill>
          <bgColor rgb="FFFFC000"/>
        </patternFill>
      </fill>
    </dxf>
    <dxf>
      <font>
        <b/>
        <i val="0"/>
        <color rgb="FFC00000"/>
      </font>
      <fill>
        <patternFill>
          <bgColor rgb="FFFFC000"/>
        </patternFill>
      </fill>
    </dxf>
    <dxf>
      <font>
        <b/>
        <i val="0"/>
        <color rgb="FFC00000"/>
      </font>
      <fill>
        <patternFill>
          <bgColor rgb="FFFFC000"/>
        </patternFill>
      </fill>
    </dxf>
    <dxf>
      <font>
        <b/>
        <i val="0"/>
        <color rgb="FFC00000"/>
      </font>
      <fill>
        <patternFill>
          <bgColor rgb="FFFFC000"/>
        </patternFill>
      </fill>
    </dxf>
    <dxf>
      <font>
        <b/>
        <i val="0"/>
        <color rgb="FFC00000"/>
      </font>
      <fill>
        <patternFill>
          <bgColor rgb="FFFFC000"/>
        </patternFill>
      </fill>
    </dxf>
    <dxf>
      <font>
        <b/>
        <i val="0"/>
        <color rgb="FFC00000"/>
      </font>
      <fill>
        <patternFill>
          <bgColor rgb="FFFFC000"/>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theme="8" tint="0.59996337778862885"/>
        </patternFill>
      </fill>
    </dxf>
    <dxf>
      <fill>
        <patternFill>
          <bgColor rgb="FFFFFF00"/>
        </patternFill>
      </fill>
    </dxf>
    <dxf>
      <fill>
        <patternFill>
          <bgColor theme="6"/>
        </patternFill>
      </fill>
    </dxf>
    <dxf>
      <fill>
        <patternFill>
          <bgColor theme="8" tint="0.59996337778862885"/>
        </patternFill>
      </fill>
    </dxf>
    <dxf>
      <fill>
        <patternFill>
          <bgColor rgb="FFFFFF00"/>
        </patternFill>
      </fill>
    </dxf>
    <dxf>
      <fill>
        <patternFill>
          <bgColor theme="6"/>
        </patternFill>
      </fill>
    </dxf>
    <dxf>
      <fill>
        <patternFill>
          <bgColor theme="8" tint="0.59996337778862885"/>
        </patternFill>
      </fill>
    </dxf>
    <dxf>
      <fill>
        <patternFill>
          <bgColor rgb="FFFFFF00"/>
        </patternFill>
      </fill>
    </dxf>
    <dxf>
      <fill>
        <patternFill>
          <bgColor theme="6"/>
        </patternFill>
      </fill>
    </dxf>
    <dxf>
      <fill>
        <patternFill>
          <bgColor theme="8" tint="0.59996337778862885"/>
        </patternFill>
      </fill>
    </dxf>
    <dxf>
      <fill>
        <patternFill>
          <bgColor rgb="FFFFFF00"/>
        </patternFill>
      </fill>
    </dxf>
    <dxf>
      <fill>
        <patternFill>
          <bgColor theme="6"/>
        </patternFill>
      </fill>
    </dxf>
    <dxf>
      <fill>
        <patternFill>
          <bgColor theme="8" tint="0.59996337778862885"/>
        </patternFill>
      </fill>
    </dxf>
    <dxf>
      <fill>
        <patternFill>
          <bgColor rgb="FFFFFF00"/>
        </patternFill>
      </fill>
    </dxf>
    <dxf>
      <fill>
        <patternFill>
          <bgColor theme="6"/>
        </patternFill>
      </fill>
    </dxf>
    <dxf>
      <fill>
        <patternFill>
          <bgColor theme="8" tint="0.59996337778862885"/>
        </patternFill>
      </fill>
    </dxf>
    <dxf>
      <fill>
        <patternFill>
          <bgColor rgb="FFFFFF00"/>
        </patternFill>
      </fill>
    </dxf>
    <dxf>
      <fill>
        <patternFill>
          <bgColor theme="6"/>
        </patternFill>
      </fill>
    </dxf>
    <dxf>
      <fill>
        <patternFill>
          <bgColor theme="8" tint="0.59996337778862885"/>
        </patternFill>
      </fill>
    </dxf>
    <dxf>
      <fill>
        <patternFill>
          <bgColor rgb="FFFFFF00"/>
        </patternFill>
      </fill>
    </dxf>
    <dxf>
      <fill>
        <patternFill>
          <bgColor theme="6"/>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theme="8" tint="0.59996337778862885"/>
        </patternFill>
      </fill>
    </dxf>
    <dxf>
      <fill>
        <patternFill>
          <bgColor rgb="FFFFFF00"/>
        </patternFill>
      </fill>
    </dxf>
    <dxf>
      <fill>
        <patternFill>
          <bgColor theme="6"/>
        </patternFill>
      </fill>
    </dxf>
    <dxf>
      <fill>
        <patternFill>
          <bgColor theme="8" tint="0.59996337778862885"/>
        </patternFill>
      </fill>
    </dxf>
    <dxf>
      <fill>
        <patternFill>
          <bgColor rgb="FFFFFF00"/>
        </patternFill>
      </fill>
    </dxf>
    <dxf>
      <fill>
        <patternFill>
          <bgColor theme="6"/>
        </patternFill>
      </fill>
    </dxf>
    <dxf>
      <fill>
        <patternFill>
          <bgColor theme="8" tint="0.59996337778862885"/>
        </patternFill>
      </fill>
    </dxf>
    <dxf>
      <fill>
        <patternFill>
          <bgColor rgb="FFFFFF00"/>
        </patternFill>
      </fill>
    </dxf>
    <dxf>
      <fill>
        <patternFill>
          <bgColor theme="6"/>
        </patternFill>
      </fill>
    </dxf>
    <dxf>
      <fill>
        <patternFill>
          <bgColor theme="8" tint="0.59996337778862885"/>
        </patternFill>
      </fill>
    </dxf>
    <dxf>
      <fill>
        <patternFill>
          <bgColor rgb="FFFFFF00"/>
        </patternFill>
      </fill>
    </dxf>
    <dxf>
      <fill>
        <patternFill>
          <bgColor theme="6"/>
        </patternFill>
      </fill>
    </dxf>
    <dxf>
      <fill>
        <patternFill>
          <bgColor theme="8" tint="0.59996337778862885"/>
        </patternFill>
      </fill>
    </dxf>
    <dxf>
      <fill>
        <patternFill>
          <bgColor rgb="FFFFFF00"/>
        </patternFill>
      </fill>
    </dxf>
    <dxf>
      <fill>
        <patternFill>
          <bgColor theme="6"/>
        </patternFill>
      </fill>
    </dxf>
    <dxf>
      <fill>
        <patternFill>
          <bgColor theme="8" tint="0.59996337778862885"/>
        </patternFill>
      </fill>
    </dxf>
    <dxf>
      <fill>
        <patternFill>
          <bgColor rgb="FFFFFF00"/>
        </patternFill>
      </fill>
    </dxf>
    <dxf>
      <fill>
        <patternFill>
          <bgColor theme="6"/>
        </patternFill>
      </fill>
    </dxf>
    <dxf>
      <fill>
        <patternFill>
          <bgColor theme="8" tint="0.59996337778862885"/>
        </patternFill>
      </fill>
    </dxf>
    <dxf>
      <fill>
        <patternFill>
          <bgColor rgb="FFFFFF00"/>
        </patternFill>
      </fill>
    </dxf>
    <dxf>
      <fill>
        <patternFill>
          <bgColor theme="6"/>
        </patternFill>
      </fill>
    </dxf>
    <dxf>
      <fill>
        <patternFill>
          <bgColor indexed="47"/>
        </patternFill>
      </fill>
    </dxf>
    <dxf>
      <font>
        <b/>
        <i val="0"/>
        <color rgb="FFC00000"/>
      </font>
      <fill>
        <patternFill>
          <bgColor rgb="FFFFC000"/>
        </patternFill>
      </fill>
    </dxf>
    <dxf>
      <font>
        <b/>
        <i val="0"/>
        <color rgb="FFC00000"/>
      </font>
      <fill>
        <patternFill>
          <bgColor rgb="FFFFC000"/>
        </patternFill>
      </fill>
    </dxf>
    <dxf>
      <font>
        <b/>
        <i val="0"/>
        <color rgb="FFC00000"/>
      </font>
      <fill>
        <patternFill>
          <bgColor rgb="FFFFC000"/>
        </patternFill>
      </fill>
    </dxf>
    <dxf>
      <font>
        <b/>
        <i val="0"/>
        <color rgb="FFC00000"/>
      </font>
      <fill>
        <patternFill>
          <bgColor rgb="FFFFC000"/>
        </patternFill>
      </fill>
    </dxf>
    <dxf>
      <font>
        <b/>
        <i val="0"/>
        <color rgb="FFC00000"/>
      </font>
      <fill>
        <patternFill>
          <bgColor rgb="FFFFC000"/>
        </patternFill>
      </fill>
    </dxf>
    <dxf>
      <font>
        <b/>
        <i val="0"/>
        <color rgb="FFC00000"/>
      </font>
      <fill>
        <patternFill>
          <bgColor rgb="FFFFC000"/>
        </patternFill>
      </fill>
    </dxf>
    <dxf>
      <font>
        <b/>
        <i val="0"/>
        <color rgb="FFC00000"/>
      </font>
      <fill>
        <patternFill>
          <bgColor rgb="FFFFC000"/>
        </patternFill>
      </fill>
    </dxf>
    <dxf>
      <fill>
        <patternFill>
          <bgColor theme="0" tint="-0.14996795556505021"/>
        </patternFill>
      </fill>
    </dxf>
    <dxf>
      <fill>
        <patternFill>
          <bgColor theme="8" tint="0.59996337778862885"/>
        </patternFill>
      </fill>
    </dxf>
    <dxf>
      <fill>
        <patternFill>
          <bgColor rgb="FFFFFF00"/>
        </patternFill>
      </fill>
    </dxf>
    <dxf>
      <fill>
        <patternFill>
          <bgColor theme="6"/>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8" tint="0.59996337778862885"/>
        </patternFill>
      </fill>
    </dxf>
    <dxf>
      <fill>
        <patternFill>
          <bgColor rgb="FFFFFF00"/>
        </patternFill>
      </fill>
    </dxf>
    <dxf>
      <fill>
        <patternFill>
          <bgColor theme="6"/>
        </patternFill>
      </fill>
    </dxf>
    <dxf>
      <fill>
        <patternFill>
          <bgColor indexed="47"/>
        </patternFill>
      </fill>
    </dxf>
    <dxf>
      <fill>
        <patternFill>
          <bgColor theme="8" tint="0.59996337778862885"/>
        </patternFill>
      </fill>
    </dxf>
    <dxf>
      <fill>
        <patternFill>
          <bgColor rgb="FFFFFF00"/>
        </patternFill>
      </fill>
    </dxf>
    <dxf>
      <fill>
        <patternFill>
          <bgColor theme="6"/>
        </patternFill>
      </fill>
    </dxf>
    <dxf>
      <fill>
        <patternFill>
          <bgColor indexed="47"/>
        </patternFill>
      </fill>
    </dxf>
    <dxf>
      <fill>
        <patternFill>
          <bgColor theme="8" tint="0.59996337778862885"/>
        </patternFill>
      </fill>
    </dxf>
    <dxf>
      <fill>
        <patternFill>
          <bgColor rgb="FFFFFF00"/>
        </patternFill>
      </fill>
    </dxf>
    <dxf>
      <fill>
        <patternFill>
          <bgColor theme="6"/>
        </patternFill>
      </fill>
    </dxf>
    <dxf>
      <fill>
        <patternFill>
          <bgColor theme="8" tint="0.59996337778862885"/>
        </patternFill>
      </fill>
    </dxf>
    <dxf>
      <fill>
        <patternFill>
          <bgColor rgb="FFFFFF00"/>
        </patternFill>
      </fill>
    </dxf>
    <dxf>
      <fill>
        <patternFill>
          <bgColor theme="6"/>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theme="8" tint="0.59996337778862885"/>
        </patternFill>
      </fill>
    </dxf>
    <dxf>
      <fill>
        <patternFill>
          <bgColor rgb="FFFFFF00"/>
        </patternFill>
      </fill>
    </dxf>
    <dxf>
      <fill>
        <patternFill>
          <bgColor theme="6"/>
        </patternFill>
      </fill>
    </dxf>
    <dxf>
      <fill>
        <patternFill>
          <bgColor theme="8" tint="0.59996337778862885"/>
        </patternFill>
      </fill>
    </dxf>
    <dxf>
      <fill>
        <patternFill>
          <bgColor rgb="FFFFFF00"/>
        </patternFill>
      </fill>
    </dxf>
    <dxf>
      <fill>
        <patternFill>
          <bgColor theme="6"/>
        </patternFill>
      </fill>
    </dxf>
    <dxf>
      <fill>
        <patternFill>
          <bgColor theme="8" tint="0.59996337778862885"/>
        </patternFill>
      </fill>
    </dxf>
    <dxf>
      <fill>
        <patternFill>
          <bgColor rgb="FFFFFF00"/>
        </patternFill>
      </fill>
    </dxf>
    <dxf>
      <fill>
        <patternFill>
          <bgColor theme="6"/>
        </patternFill>
      </fill>
    </dxf>
    <dxf>
      <fill>
        <patternFill>
          <bgColor theme="8" tint="0.59996337778862885"/>
        </patternFill>
      </fill>
    </dxf>
    <dxf>
      <fill>
        <patternFill>
          <bgColor rgb="FFFFFF00"/>
        </patternFill>
      </fill>
    </dxf>
    <dxf>
      <fill>
        <patternFill>
          <bgColor theme="6"/>
        </patternFill>
      </fill>
    </dxf>
    <dxf>
      <fill>
        <patternFill>
          <bgColor theme="8" tint="0.59996337778862885"/>
        </patternFill>
      </fill>
    </dxf>
    <dxf>
      <fill>
        <patternFill>
          <bgColor rgb="FFFFFF00"/>
        </patternFill>
      </fill>
    </dxf>
    <dxf>
      <fill>
        <patternFill>
          <bgColor theme="6"/>
        </patternFill>
      </fill>
    </dxf>
    <dxf>
      <fill>
        <patternFill>
          <bgColor theme="8" tint="0.59996337778862885"/>
        </patternFill>
      </fill>
    </dxf>
    <dxf>
      <fill>
        <patternFill>
          <bgColor rgb="FFFFFF00"/>
        </patternFill>
      </fill>
    </dxf>
    <dxf>
      <fill>
        <patternFill>
          <bgColor theme="6"/>
        </patternFill>
      </fill>
    </dxf>
    <dxf>
      <fill>
        <patternFill>
          <bgColor theme="8" tint="0.59996337778862885"/>
        </patternFill>
      </fill>
    </dxf>
    <dxf>
      <fill>
        <patternFill>
          <bgColor rgb="FFFFFF00"/>
        </patternFill>
      </fill>
    </dxf>
    <dxf>
      <fill>
        <patternFill>
          <bgColor theme="6"/>
        </patternFill>
      </fill>
    </dxf>
    <dxf>
      <fill>
        <patternFill>
          <bgColor theme="8" tint="0.59996337778862885"/>
        </patternFill>
      </fill>
    </dxf>
    <dxf>
      <fill>
        <patternFill>
          <bgColor rgb="FFFFFF00"/>
        </patternFill>
      </fill>
    </dxf>
    <dxf>
      <fill>
        <patternFill>
          <bgColor theme="6"/>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ont>
        <b/>
        <i val="0"/>
        <color rgb="FFC00000"/>
      </font>
      <fill>
        <patternFill>
          <bgColor rgb="FFFFC000"/>
        </patternFill>
      </fill>
    </dxf>
    <dxf>
      <font>
        <b/>
        <i val="0"/>
        <color rgb="FFC00000"/>
      </font>
      <fill>
        <patternFill>
          <bgColor rgb="FFFFC000"/>
        </patternFill>
      </fill>
    </dxf>
    <dxf>
      <font>
        <b/>
        <i val="0"/>
        <color rgb="FFC00000"/>
      </font>
      <fill>
        <patternFill>
          <bgColor rgb="FFFFC000"/>
        </patternFill>
      </fill>
    </dxf>
    <dxf>
      <font>
        <b/>
        <i val="0"/>
        <color rgb="FFC00000"/>
      </font>
      <fill>
        <patternFill>
          <bgColor rgb="FFFFC000"/>
        </patternFill>
      </fill>
    </dxf>
    <dxf>
      <font>
        <b/>
        <i val="0"/>
        <color rgb="FFC00000"/>
      </font>
      <fill>
        <patternFill>
          <bgColor rgb="FFFFC000"/>
        </patternFill>
      </fill>
    </dxf>
    <dxf>
      <font>
        <b/>
        <i val="0"/>
        <color rgb="FFC00000"/>
      </font>
      <fill>
        <patternFill>
          <bgColor rgb="FFFFC000"/>
        </patternFill>
      </fill>
    </dxf>
    <dxf>
      <font>
        <b/>
        <i val="0"/>
        <color rgb="FFC00000"/>
      </font>
      <fill>
        <patternFill>
          <bgColor rgb="FFFFC000"/>
        </patternFill>
      </fill>
    </dxf>
    <dxf>
      <font>
        <b/>
        <i val="0"/>
        <color rgb="FFC00000"/>
      </font>
      <fill>
        <patternFill>
          <bgColor rgb="FFFFC000"/>
        </patternFill>
      </fill>
    </dxf>
    <dxf>
      <font>
        <b/>
        <i val="0"/>
        <color rgb="FFC00000"/>
      </font>
      <fill>
        <patternFill>
          <bgColor rgb="FFFFC000"/>
        </patternFill>
      </fill>
    </dxf>
    <dxf>
      <font>
        <b/>
        <i val="0"/>
        <color rgb="FFC00000"/>
      </font>
      <fill>
        <patternFill>
          <bgColor rgb="FFFFC000"/>
        </patternFill>
      </fill>
    </dxf>
    <dxf>
      <font>
        <b/>
        <i val="0"/>
        <color rgb="FFC00000"/>
      </font>
      <fill>
        <patternFill>
          <bgColor rgb="FFFFC000"/>
        </patternFill>
      </fill>
    </dxf>
    <dxf>
      <font>
        <b/>
        <i val="0"/>
        <color rgb="FFC00000"/>
      </font>
      <fill>
        <patternFill>
          <bgColor rgb="FFFFC000"/>
        </patternFill>
      </fill>
    </dxf>
    <dxf>
      <font>
        <b/>
        <i val="0"/>
        <color rgb="FFC00000"/>
      </font>
      <fill>
        <patternFill>
          <bgColor rgb="FFFFC000"/>
        </patternFill>
      </fill>
    </dxf>
    <dxf>
      <font>
        <b/>
        <i val="0"/>
        <color rgb="FFC00000"/>
      </font>
      <fill>
        <patternFill>
          <bgColor rgb="FFFFC000"/>
        </patternFill>
      </fill>
    </dxf>
    <dxf>
      <font>
        <b/>
        <i val="0"/>
        <color rgb="FFC00000"/>
      </font>
      <fill>
        <patternFill>
          <bgColor rgb="FFFFC000"/>
        </patternFill>
      </fill>
    </dxf>
    <dxf>
      <font>
        <b/>
        <i val="0"/>
        <color rgb="FFC00000"/>
      </font>
      <fill>
        <patternFill>
          <bgColor rgb="FFFFC000"/>
        </patternFill>
      </fill>
    </dxf>
    <dxf>
      <font>
        <b/>
        <i val="0"/>
        <color rgb="FFC00000"/>
      </font>
      <fill>
        <patternFill>
          <bgColor rgb="FFFFC000"/>
        </patternFill>
      </fill>
    </dxf>
    <dxf>
      <font>
        <b/>
        <i val="0"/>
        <color rgb="FFC00000"/>
      </font>
      <fill>
        <patternFill>
          <bgColor rgb="FFFFC000"/>
        </patternFill>
      </fill>
    </dxf>
    <dxf>
      <font>
        <b/>
        <i val="0"/>
        <color rgb="FFC00000"/>
      </font>
      <fill>
        <patternFill>
          <bgColor rgb="FFFFC000"/>
        </patternFill>
      </fill>
    </dxf>
    <dxf>
      <fill>
        <patternFill>
          <bgColor theme="8" tint="0.59996337778862885"/>
        </patternFill>
      </fill>
    </dxf>
    <dxf>
      <fill>
        <patternFill>
          <bgColor rgb="FFFFFF00"/>
        </patternFill>
      </fill>
    </dxf>
    <dxf>
      <fill>
        <patternFill>
          <bgColor theme="6"/>
        </patternFill>
      </fill>
    </dxf>
    <dxf>
      <fill>
        <patternFill>
          <bgColor theme="8" tint="0.59996337778862885"/>
        </patternFill>
      </fill>
    </dxf>
    <dxf>
      <fill>
        <patternFill>
          <bgColor rgb="FFFFFF00"/>
        </patternFill>
      </fill>
    </dxf>
    <dxf>
      <fill>
        <patternFill>
          <bgColor theme="6"/>
        </patternFill>
      </fill>
    </dxf>
    <dxf>
      <fill>
        <patternFill>
          <bgColor theme="8" tint="0.59996337778862885"/>
        </patternFill>
      </fill>
    </dxf>
    <dxf>
      <fill>
        <patternFill>
          <bgColor rgb="FFFFFF00"/>
        </patternFill>
      </fill>
    </dxf>
    <dxf>
      <fill>
        <patternFill>
          <bgColor theme="6"/>
        </patternFill>
      </fill>
    </dxf>
    <dxf>
      <fill>
        <patternFill>
          <bgColor theme="8" tint="0.59996337778862885"/>
        </patternFill>
      </fill>
    </dxf>
    <dxf>
      <fill>
        <patternFill>
          <bgColor rgb="FFFFFF00"/>
        </patternFill>
      </fill>
    </dxf>
    <dxf>
      <fill>
        <patternFill>
          <bgColor theme="6"/>
        </patternFill>
      </fill>
    </dxf>
    <dxf>
      <fill>
        <patternFill>
          <bgColor theme="8" tint="0.59996337778862885"/>
        </patternFill>
      </fill>
    </dxf>
    <dxf>
      <fill>
        <patternFill>
          <bgColor rgb="FFFFFF00"/>
        </patternFill>
      </fill>
    </dxf>
    <dxf>
      <fill>
        <patternFill>
          <bgColor theme="6"/>
        </patternFill>
      </fill>
    </dxf>
    <dxf>
      <fill>
        <patternFill>
          <bgColor theme="8" tint="0.59996337778862885"/>
        </patternFill>
      </fill>
    </dxf>
    <dxf>
      <fill>
        <patternFill>
          <bgColor rgb="FFFFFF00"/>
        </patternFill>
      </fill>
    </dxf>
    <dxf>
      <fill>
        <patternFill>
          <bgColor theme="6"/>
        </patternFill>
      </fill>
    </dxf>
    <dxf>
      <fill>
        <patternFill>
          <bgColor theme="8" tint="0.59996337778862885"/>
        </patternFill>
      </fill>
    </dxf>
    <dxf>
      <fill>
        <patternFill>
          <bgColor rgb="FFFFFF00"/>
        </patternFill>
      </fill>
    </dxf>
    <dxf>
      <fill>
        <patternFill>
          <bgColor theme="6"/>
        </patternFill>
      </fill>
    </dxf>
    <dxf>
      <fill>
        <patternFill>
          <bgColor indexed="47"/>
        </patternFill>
      </fill>
    </dxf>
    <dxf>
      <fill>
        <patternFill>
          <bgColor indexed="47"/>
        </patternFill>
      </fill>
    </dxf>
    <dxf>
      <font>
        <b/>
        <i val="0"/>
        <color rgb="FFC00000"/>
      </font>
      <fill>
        <patternFill>
          <bgColor rgb="FFFFC000"/>
        </patternFill>
      </fill>
    </dxf>
    <dxf>
      <fill>
        <patternFill>
          <bgColor theme="8" tint="0.59996337778862885"/>
        </patternFill>
      </fill>
    </dxf>
    <dxf>
      <fill>
        <patternFill>
          <bgColor rgb="FFFFFF00"/>
        </patternFill>
      </fill>
    </dxf>
    <dxf>
      <fill>
        <patternFill>
          <bgColor theme="6"/>
        </patternFill>
      </fill>
    </dxf>
    <dxf>
      <fill>
        <patternFill>
          <bgColor theme="8" tint="0.59996337778862885"/>
        </patternFill>
      </fill>
    </dxf>
    <dxf>
      <fill>
        <patternFill>
          <bgColor rgb="FFFFFF00"/>
        </patternFill>
      </fill>
    </dxf>
    <dxf>
      <fill>
        <patternFill>
          <bgColor theme="6"/>
        </patternFill>
      </fill>
    </dxf>
    <dxf>
      <fill>
        <patternFill>
          <bgColor theme="8" tint="0.59996337778862885"/>
        </patternFill>
      </fill>
    </dxf>
    <dxf>
      <fill>
        <patternFill>
          <bgColor rgb="FFFFFF00"/>
        </patternFill>
      </fill>
    </dxf>
    <dxf>
      <fill>
        <patternFill>
          <bgColor theme="6"/>
        </patternFill>
      </fill>
    </dxf>
    <dxf>
      <fill>
        <patternFill>
          <bgColor theme="8" tint="0.59996337778862885"/>
        </patternFill>
      </fill>
    </dxf>
    <dxf>
      <fill>
        <patternFill>
          <bgColor rgb="FFFFFF00"/>
        </patternFill>
      </fill>
    </dxf>
    <dxf>
      <fill>
        <patternFill>
          <bgColor theme="6"/>
        </patternFill>
      </fill>
    </dxf>
    <dxf>
      <fill>
        <patternFill>
          <bgColor theme="8" tint="0.59996337778862885"/>
        </patternFill>
      </fill>
    </dxf>
    <dxf>
      <fill>
        <patternFill>
          <bgColor rgb="FFFFFF00"/>
        </patternFill>
      </fill>
    </dxf>
    <dxf>
      <fill>
        <patternFill>
          <bgColor theme="6"/>
        </patternFill>
      </fill>
    </dxf>
    <dxf>
      <fill>
        <patternFill>
          <bgColor theme="8" tint="0.59996337778862885"/>
        </patternFill>
      </fill>
    </dxf>
    <dxf>
      <fill>
        <patternFill>
          <bgColor rgb="FFFFFF00"/>
        </patternFill>
      </fill>
    </dxf>
    <dxf>
      <fill>
        <patternFill>
          <bgColor theme="6"/>
        </patternFill>
      </fill>
    </dxf>
    <dxf>
      <fill>
        <patternFill>
          <bgColor indexed="47"/>
        </patternFill>
      </fill>
    </dxf>
    <dxf>
      <fill>
        <patternFill>
          <bgColor theme="8" tint="0.59996337778862885"/>
        </patternFill>
      </fill>
    </dxf>
    <dxf>
      <fill>
        <patternFill>
          <bgColor rgb="FFFFFF00"/>
        </patternFill>
      </fill>
    </dxf>
    <dxf>
      <fill>
        <patternFill>
          <bgColor theme="6"/>
        </patternFill>
      </fill>
    </dxf>
    <dxf>
      <fill>
        <patternFill>
          <bgColor indexed="47"/>
        </patternFill>
      </fill>
    </dxf>
    <dxf>
      <font>
        <b/>
        <i val="0"/>
        <color rgb="FFC00000"/>
      </font>
      <fill>
        <patternFill>
          <bgColor rgb="FFFFC000"/>
        </patternFill>
      </fill>
    </dxf>
    <dxf>
      <fill>
        <patternFill>
          <bgColor theme="8" tint="0.39994506668294322"/>
        </patternFill>
      </fill>
    </dxf>
    <dxf>
      <fill>
        <patternFill>
          <bgColor rgb="FFFFFF00"/>
        </patternFill>
      </fill>
    </dxf>
    <dxf>
      <fill>
        <patternFill>
          <bgColor theme="6"/>
        </patternFill>
      </fill>
    </dxf>
    <dxf>
      <fill>
        <patternFill>
          <bgColor indexed="47"/>
        </patternFill>
      </fill>
    </dxf>
    <dxf>
      <fill>
        <patternFill>
          <bgColor indexed="47"/>
        </patternFill>
      </fill>
    </dxf>
    <dxf>
      <fill>
        <patternFill>
          <bgColor theme="8" tint="0.59996337778862885"/>
        </patternFill>
      </fill>
    </dxf>
    <dxf>
      <fill>
        <patternFill>
          <bgColor rgb="FFFFFF00"/>
        </patternFill>
      </fill>
    </dxf>
    <dxf>
      <fill>
        <patternFill>
          <bgColor theme="6"/>
        </patternFill>
      </fill>
    </dxf>
    <dxf>
      <fill>
        <patternFill>
          <bgColor theme="8" tint="0.59996337778862885"/>
        </patternFill>
      </fill>
    </dxf>
    <dxf>
      <fill>
        <patternFill>
          <bgColor rgb="FFFFFF00"/>
        </patternFill>
      </fill>
    </dxf>
    <dxf>
      <fill>
        <patternFill>
          <bgColor theme="6"/>
        </patternFill>
      </fill>
    </dxf>
    <dxf>
      <fill>
        <patternFill>
          <bgColor theme="8" tint="0.59996337778862885"/>
        </patternFill>
      </fill>
    </dxf>
    <dxf>
      <fill>
        <patternFill>
          <bgColor rgb="FFFFFF00"/>
        </patternFill>
      </fill>
    </dxf>
    <dxf>
      <fill>
        <patternFill>
          <bgColor theme="6"/>
        </patternFill>
      </fill>
    </dxf>
    <dxf>
      <fill>
        <patternFill>
          <bgColor theme="8" tint="0.59996337778862885"/>
        </patternFill>
      </fill>
    </dxf>
    <dxf>
      <fill>
        <patternFill>
          <bgColor rgb="FFFFFF00"/>
        </patternFill>
      </fill>
    </dxf>
    <dxf>
      <fill>
        <patternFill>
          <bgColor theme="6"/>
        </patternFill>
      </fill>
    </dxf>
    <dxf>
      <fill>
        <patternFill>
          <bgColor theme="8" tint="0.59996337778862885"/>
        </patternFill>
      </fill>
    </dxf>
    <dxf>
      <fill>
        <patternFill>
          <bgColor rgb="FFFFFF00"/>
        </patternFill>
      </fill>
    </dxf>
    <dxf>
      <fill>
        <patternFill>
          <bgColor theme="6"/>
        </patternFill>
      </fill>
    </dxf>
    <dxf>
      <fill>
        <patternFill>
          <bgColor indexed="47"/>
        </patternFill>
      </fill>
    </dxf>
    <dxf>
      <fill>
        <patternFill>
          <bgColor theme="8" tint="0.59996337778862885"/>
        </patternFill>
      </fill>
    </dxf>
    <dxf>
      <fill>
        <patternFill>
          <bgColor rgb="FFFFFF00"/>
        </patternFill>
      </fill>
    </dxf>
    <dxf>
      <fill>
        <patternFill>
          <bgColor theme="6"/>
        </patternFill>
      </fill>
    </dxf>
    <dxf>
      <fill>
        <patternFill>
          <bgColor indexed="47"/>
        </patternFill>
      </fill>
    </dxf>
    <dxf>
      <fill>
        <patternFill>
          <bgColor theme="8" tint="0.59996337778862885"/>
        </patternFill>
      </fill>
    </dxf>
    <dxf>
      <fill>
        <patternFill>
          <bgColor rgb="FFFFFF00"/>
        </patternFill>
      </fill>
    </dxf>
    <dxf>
      <fill>
        <patternFill>
          <bgColor theme="6"/>
        </patternFill>
      </fill>
    </dxf>
    <dxf>
      <font>
        <b/>
        <i val="0"/>
        <color rgb="FFC00000"/>
      </font>
      <fill>
        <patternFill>
          <bgColor rgb="FFFFC000"/>
        </patternFill>
      </fill>
    </dxf>
    <dxf>
      <font>
        <b/>
        <i val="0"/>
        <color rgb="FFC00000"/>
      </font>
      <fill>
        <patternFill>
          <bgColor rgb="FFFFC000"/>
        </patternFill>
      </fill>
    </dxf>
    <dxf>
      <font>
        <b/>
        <i val="0"/>
        <color rgb="FFC00000"/>
      </font>
      <fill>
        <patternFill>
          <bgColor rgb="FFFFC000"/>
        </patternFill>
      </fill>
    </dxf>
    <dxf>
      <font>
        <b/>
        <i val="0"/>
        <color rgb="FFC00000"/>
      </font>
      <fill>
        <patternFill>
          <bgColor rgb="FFFFC000"/>
        </patternFill>
      </fill>
    </dxf>
    <dxf>
      <font>
        <b/>
        <i val="0"/>
        <color rgb="FFC00000"/>
      </font>
      <fill>
        <patternFill>
          <bgColor rgb="FFFFC000"/>
        </patternFill>
      </fill>
    </dxf>
    <dxf>
      <font>
        <b/>
        <i val="0"/>
        <color rgb="FFC00000"/>
      </font>
      <fill>
        <patternFill>
          <bgColor rgb="FFFFC000"/>
        </patternFill>
      </fill>
    </dxf>
    <dxf>
      <fill>
        <patternFill>
          <bgColor indexed="47"/>
        </patternFill>
      </fill>
    </dxf>
    <dxf>
      <font>
        <b/>
        <i val="0"/>
        <color rgb="FFC00000"/>
      </font>
      <fill>
        <patternFill>
          <bgColor rgb="FFFFC000"/>
        </patternFill>
      </fill>
    </dxf>
    <dxf>
      <font>
        <b/>
        <i val="0"/>
        <color rgb="FFC00000"/>
      </font>
      <fill>
        <patternFill>
          <bgColor rgb="FFFFC000"/>
        </patternFill>
      </fill>
    </dxf>
    <dxf>
      <fill>
        <patternFill>
          <bgColor indexed="47"/>
        </patternFill>
      </fill>
    </dxf>
    <dxf>
      <font>
        <b/>
        <i val="0"/>
        <color rgb="FFC00000"/>
      </font>
      <fill>
        <patternFill>
          <bgColor rgb="FFFFC000"/>
        </patternFill>
      </fill>
    </dxf>
    <dxf>
      <font>
        <b/>
        <i val="0"/>
        <color rgb="FFC00000"/>
      </font>
      <fill>
        <patternFill>
          <bgColor rgb="FFFFC000"/>
        </patternFill>
      </fill>
    </dxf>
    <dxf>
      <fill>
        <patternFill>
          <bgColor indexed="47"/>
        </patternFill>
      </fill>
    </dxf>
    <dxf>
      <font>
        <b/>
        <i val="0"/>
        <color rgb="FFC00000"/>
      </font>
      <fill>
        <patternFill>
          <bgColor rgb="FFFFC000"/>
        </patternFill>
      </fill>
    </dxf>
    <dxf>
      <font>
        <b/>
        <i val="0"/>
        <color rgb="FFC00000"/>
      </font>
      <fill>
        <patternFill>
          <bgColor rgb="FFFFC000"/>
        </patternFill>
      </fill>
    </dxf>
    <dxf>
      <fill>
        <patternFill>
          <bgColor indexed="47"/>
        </patternFill>
      </fill>
    </dxf>
    <dxf>
      <font>
        <b/>
        <i val="0"/>
        <color rgb="FFC00000"/>
      </font>
      <fill>
        <patternFill>
          <bgColor rgb="FFFFC000"/>
        </patternFill>
      </fill>
    </dxf>
    <dxf>
      <font>
        <b/>
        <i val="0"/>
        <color rgb="FFC00000"/>
      </font>
      <fill>
        <patternFill>
          <bgColor rgb="FFFFC000"/>
        </patternFill>
      </fill>
    </dxf>
    <dxf>
      <fill>
        <patternFill>
          <bgColor theme="8" tint="0.59996337778862885"/>
        </patternFill>
      </fill>
    </dxf>
    <dxf>
      <fill>
        <patternFill>
          <bgColor rgb="FFFFFF00"/>
        </patternFill>
      </fill>
    </dxf>
    <dxf>
      <fill>
        <patternFill>
          <bgColor theme="6"/>
        </patternFill>
      </fill>
    </dxf>
    <dxf>
      <fill>
        <patternFill>
          <bgColor theme="8" tint="0.59996337778862885"/>
        </patternFill>
      </fill>
    </dxf>
    <dxf>
      <fill>
        <patternFill>
          <bgColor rgb="FFFFFF00"/>
        </patternFill>
      </fill>
    </dxf>
    <dxf>
      <fill>
        <patternFill>
          <bgColor theme="6"/>
        </patternFill>
      </fill>
    </dxf>
    <dxf>
      <fill>
        <patternFill>
          <bgColor theme="8" tint="0.59996337778862885"/>
        </patternFill>
      </fill>
    </dxf>
    <dxf>
      <fill>
        <patternFill>
          <bgColor rgb="FFFFFF00"/>
        </patternFill>
      </fill>
    </dxf>
    <dxf>
      <fill>
        <patternFill>
          <bgColor theme="6"/>
        </patternFill>
      </fill>
    </dxf>
    <dxf>
      <fill>
        <patternFill>
          <bgColor theme="8" tint="0.59996337778862885"/>
        </patternFill>
      </fill>
    </dxf>
    <dxf>
      <fill>
        <patternFill>
          <bgColor rgb="FFFFFF00"/>
        </patternFill>
      </fill>
    </dxf>
    <dxf>
      <fill>
        <patternFill>
          <bgColor theme="6"/>
        </patternFill>
      </fill>
    </dxf>
    <dxf>
      <fill>
        <patternFill>
          <bgColor theme="8" tint="0.59996337778862885"/>
        </patternFill>
      </fill>
    </dxf>
    <dxf>
      <fill>
        <patternFill>
          <bgColor rgb="FFFFFF00"/>
        </patternFill>
      </fill>
    </dxf>
    <dxf>
      <fill>
        <patternFill>
          <bgColor theme="6"/>
        </patternFill>
      </fill>
    </dxf>
    <dxf>
      <fill>
        <patternFill>
          <bgColor theme="8" tint="0.59996337778862885"/>
        </patternFill>
      </fill>
    </dxf>
    <dxf>
      <fill>
        <patternFill>
          <bgColor rgb="FFFFFF00"/>
        </patternFill>
      </fill>
    </dxf>
    <dxf>
      <fill>
        <patternFill>
          <bgColor theme="6"/>
        </patternFill>
      </fill>
    </dxf>
    <dxf>
      <fill>
        <patternFill>
          <bgColor theme="8" tint="0.59996337778862885"/>
        </patternFill>
      </fill>
    </dxf>
    <dxf>
      <fill>
        <patternFill>
          <bgColor rgb="FFFFFF00"/>
        </patternFill>
      </fill>
    </dxf>
    <dxf>
      <fill>
        <patternFill>
          <bgColor theme="6"/>
        </patternFill>
      </fill>
    </dxf>
    <dxf>
      <fill>
        <patternFill>
          <bgColor theme="8" tint="0.59996337778862885"/>
        </patternFill>
      </fill>
    </dxf>
    <dxf>
      <fill>
        <patternFill>
          <bgColor rgb="FFFFFF00"/>
        </patternFill>
      </fill>
    </dxf>
    <dxf>
      <fill>
        <patternFill>
          <bgColor theme="6"/>
        </patternFill>
      </fill>
    </dxf>
    <dxf>
      <fill>
        <patternFill>
          <bgColor theme="8" tint="0.59996337778862885"/>
        </patternFill>
      </fill>
    </dxf>
    <dxf>
      <fill>
        <patternFill>
          <bgColor rgb="FFFFFF00"/>
        </patternFill>
      </fill>
    </dxf>
    <dxf>
      <fill>
        <patternFill>
          <bgColor theme="6"/>
        </patternFill>
      </fill>
    </dxf>
    <dxf>
      <fill>
        <patternFill>
          <bgColor theme="8" tint="0.59996337778862885"/>
        </patternFill>
      </fill>
    </dxf>
    <dxf>
      <fill>
        <patternFill>
          <bgColor rgb="FFFFFF00"/>
        </patternFill>
      </fill>
    </dxf>
    <dxf>
      <fill>
        <patternFill>
          <bgColor theme="6"/>
        </patternFill>
      </fill>
    </dxf>
    <dxf>
      <fill>
        <patternFill>
          <bgColor theme="8" tint="0.59996337778862885"/>
        </patternFill>
      </fill>
    </dxf>
    <dxf>
      <fill>
        <patternFill>
          <bgColor rgb="FFFFFF00"/>
        </patternFill>
      </fill>
    </dxf>
    <dxf>
      <fill>
        <patternFill>
          <bgColor theme="6"/>
        </patternFill>
      </fill>
    </dxf>
    <dxf>
      <fill>
        <patternFill>
          <bgColor theme="8" tint="0.59996337778862885"/>
        </patternFill>
      </fill>
    </dxf>
    <dxf>
      <fill>
        <patternFill>
          <bgColor rgb="FFFFFF00"/>
        </patternFill>
      </fill>
    </dxf>
    <dxf>
      <fill>
        <patternFill>
          <bgColor theme="6"/>
        </patternFill>
      </fill>
    </dxf>
    <dxf>
      <fill>
        <patternFill>
          <bgColor theme="8" tint="0.59996337778862885"/>
        </patternFill>
      </fill>
    </dxf>
    <dxf>
      <fill>
        <patternFill>
          <bgColor rgb="FFFFFF00"/>
        </patternFill>
      </fill>
    </dxf>
    <dxf>
      <fill>
        <patternFill>
          <bgColor theme="6"/>
        </patternFill>
      </fill>
    </dxf>
    <dxf>
      <fill>
        <patternFill>
          <bgColor theme="8" tint="0.59996337778862885"/>
        </patternFill>
      </fill>
    </dxf>
    <dxf>
      <fill>
        <patternFill>
          <bgColor rgb="FFFFFF00"/>
        </patternFill>
      </fill>
    </dxf>
    <dxf>
      <fill>
        <patternFill>
          <bgColor theme="6"/>
        </patternFill>
      </fill>
    </dxf>
    <dxf>
      <fill>
        <patternFill>
          <bgColor theme="8" tint="0.59996337778862885"/>
        </patternFill>
      </fill>
    </dxf>
    <dxf>
      <fill>
        <patternFill>
          <bgColor rgb="FFFFFF00"/>
        </patternFill>
      </fill>
    </dxf>
    <dxf>
      <fill>
        <patternFill>
          <bgColor theme="6"/>
        </patternFill>
      </fill>
    </dxf>
    <dxf>
      <fill>
        <patternFill>
          <bgColor theme="8" tint="0.59996337778862885"/>
        </patternFill>
      </fill>
    </dxf>
    <dxf>
      <fill>
        <patternFill>
          <bgColor rgb="FFFFFF00"/>
        </patternFill>
      </fill>
    </dxf>
    <dxf>
      <fill>
        <patternFill>
          <bgColor theme="6"/>
        </patternFill>
      </fill>
    </dxf>
    <dxf>
      <fill>
        <patternFill>
          <bgColor theme="8" tint="0.59996337778862885"/>
        </patternFill>
      </fill>
    </dxf>
    <dxf>
      <fill>
        <patternFill>
          <bgColor rgb="FFFFFF00"/>
        </patternFill>
      </fill>
    </dxf>
    <dxf>
      <fill>
        <patternFill>
          <bgColor theme="6"/>
        </patternFill>
      </fill>
    </dxf>
    <dxf>
      <fill>
        <patternFill>
          <bgColor theme="8" tint="0.59996337778862885"/>
        </patternFill>
      </fill>
    </dxf>
    <dxf>
      <fill>
        <patternFill>
          <bgColor rgb="FFFFFF00"/>
        </patternFill>
      </fill>
    </dxf>
    <dxf>
      <fill>
        <patternFill>
          <bgColor theme="6"/>
        </patternFill>
      </fill>
    </dxf>
    <dxf>
      <fill>
        <patternFill>
          <bgColor theme="8" tint="0.59996337778862885"/>
        </patternFill>
      </fill>
    </dxf>
    <dxf>
      <fill>
        <patternFill>
          <bgColor rgb="FFFFFF00"/>
        </patternFill>
      </fill>
    </dxf>
    <dxf>
      <fill>
        <patternFill>
          <bgColor theme="6"/>
        </patternFill>
      </fill>
    </dxf>
    <dxf>
      <fill>
        <patternFill>
          <bgColor theme="8" tint="0.59996337778862885"/>
        </patternFill>
      </fill>
    </dxf>
    <dxf>
      <fill>
        <patternFill>
          <bgColor rgb="FFFFFF00"/>
        </patternFill>
      </fill>
    </dxf>
    <dxf>
      <fill>
        <patternFill>
          <bgColor theme="6"/>
        </patternFill>
      </fill>
    </dxf>
    <dxf>
      <fill>
        <patternFill>
          <bgColor theme="8" tint="0.59996337778862885"/>
        </patternFill>
      </fill>
    </dxf>
    <dxf>
      <fill>
        <patternFill>
          <bgColor rgb="FFFFFF00"/>
        </patternFill>
      </fill>
    </dxf>
    <dxf>
      <fill>
        <patternFill>
          <bgColor theme="6"/>
        </patternFill>
      </fill>
    </dxf>
    <dxf>
      <fill>
        <patternFill>
          <bgColor theme="8" tint="0.59996337778862885"/>
        </patternFill>
      </fill>
    </dxf>
    <dxf>
      <fill>
        <patternFill>
          <bgColor rgb="FFFFFF00"/>
        </patternFill>
      </fill>
    </dxf>
    <dxf>
      <fill>
        <patternFill>
          <bgColor theme="6"/>
        </patternFill>
      </fill>
    </dxf>
    <dxf>
      <fill>
        <patternFill>
          <bgColor theme="8" tint="0.59996337778862885"/>
        </patternFill>
      </fill>
    </dxf>
    <dxf>
      <fill>
        <patternFill>
          <bgColor rgb="FFFFFF00"/>
        </patternFill>
      </fill>
    </dxf>
    <dxf>
      <fill>
        <patternFill>
          <bgColor theme="6"/>
        </patternFill>
      </fill>
    </dxf>
    <dxf>
      <fill>
        <patternFill>
          <bgColor theme="8" tint="0.59996337778862885"/>
        </patternFill>
      </fill>
    </dxf>
    <dxf>
      <fill>
        <patternFill>
          <bgColor rgb="FFFFFF00"/>
        </patternFill>
      </fill>
    </dxf>
    <dxf>
      <fill>
        <patternFill>
          <bgColor theme="6"/>
        </patternFill>
      </fill>
    </dxf>
    <dxf>
      <fill>
        <patternFill>
          <bgColor theme="8" tint="0.59996337778862885"/>
        </patternFill>
      </fill>
    </dxf>
    <dxf>
      <fill>
        <patternFill>
          <bgColor rgb="FFFFFF00"/>
        </patternFill>
      </fill>
    </dxf>
    <dxf>
      <fill>
        <patternFill>
          <bgColor theme="6"/>
        </patternFill>
      </fill>
    </dxf>
    <dxf>
      <fill>
        <patternFill>
          <bgColor theme="8" tint="0.59996337778862885"/>
        </patternFill>
      </fill>
    </dxf>
    <dxf>
      <fill>
        <patternFill>
          <bgColor rgb="FFFFFF00"/>
        </patternFill>
      </fill>
    </dxf>
    <dxf>
      <fill>
        <patternFill>
          <bgColor theme="6"/>
        </patternFill>
      </fill>
    </dxf>
    <dxf>
      <fill>
        <patternFill>
          <bgColor theme="8" tint="0.59996337778862885"/>
        </patternFill>
      </fill>
    </dxf>
    <dxf>
      <fill>
        <patternFill>
          <bgColor rgb="FFFFFF00"/>
        </patternFill>
      </fill>
    </dxf>
    <dxf>
      <fill>
        <patternFill>
          <bgColor theme="6"/>
        </patternFill>
      </fill>
    </dxf>
    <dxf>
      <fill>
        <patternFill>
          <bgColor theme="8" tint="0.59996337778862885"/>
        </patternFill>
      </fill>
    </dxf>
    <dxf>
      <fill>
        <patternFill>
          <bgColor rgb="FFFFFF00"/>
        </patternFill>
      </fill>
    </dxf>
    <dxf>
      <fill>
        <patternFill>
          <bgColor theme="6"/>
        </patternFill>
      </fill>
    </dxf>
    <dxf>
      <fill>
        <patternFill>
          <bgColor theme="8" tint="0.59996337778862885"/>
        </patternFill>
      </fill>
    </dxf>
    <dxf>
      <fill>
        <patternFill>
          <bgColor rgb="FFFFFF00"/>
        </patternFill>
      </fill>
    </dxf>
    <dxf>
      <fill>
        <patternFill>
          <bgColor theme="6"/>
        </patternFill>
      </fill>
    </dxf>
    <dxf>
      <fill>
        <patternFill>
          <bgColor theme="8" tint="0.59996337778862885"/>
        </patternFill>
      </fill>
    </dxf>
    <dxf>
      <fill>
        <patternFill>
          <bgColor rgb="FFFFFF00"/>
        </patternFill>
      </fill>
    </dxf>
    <dxf>
      <fill>
        <patternFill>
          <bgColor theme="6"/>
        </patternFill>
      </fill>
    </dxf>
    <dxf>
      <fill>
        <patternFill>
          <bgColor theme="8" tint="0.59996337778862885"/>
        </patternFill>
      </fill>
    </dxf>
    <dxf>
      <fill>
        <patternFill>
          <bgColor rgb="FFFFFF00"/>
        </patternFill>
      </fill>
    </dxf>
    <dxf>
      <fill>
        <patternFill>
          <bgColor theme="6"/>
        </patternFill>
      </fill>
    </dxf>
    <dxf>
      <fill>
        <patternFill>
          <bgColor theme="8" tint="0.59996337778862885"/>
        </patternFill>
      </fill>
    </dxf>
    <dxf>
      <fill>
        <patternFill>
          <bgColor rgb="FFFFFF00"/>
        </patternFill>
      </fill>
    </dxf>
    <dxf>
      <fill>
        <patternFill>
          <bgColor theme="6"/>
        </patternFill>
      </fill>
    </dxf>
    <dxf>
      <fill>
        <patternFill>
          <bgColor theme="8" tint="0.59996337778862885"/>
        </patternFill>
      </fill>
    </dxf>
    <dxf>
      <fill>
        <patternFill>
          <bgColor rgb="FFFFFF00"/>
        </patternFill>
      </fill>
    </dxf>
    <dxf>
      <fill>
        <patternFill>
          <bgColor theme="6"/>
        </patternFill>
      </fill>
    </dxf>
    <dxf>
      <fill>
        <patternFill>
          <bgColor theme="8" tint="0.59996337778862885"/>
        </patternFill>
      </fill>
    </dxf>
    <dxf>
      <fill>
        <patternFill>
          <bgColor rgb="FFFFFF00"/>
        </patternFill>
      </fill>
    </dxf>
    <dxf>
      <fill>
        <patternFill>
          <bgColor theme="6"/>
        </patternFill>
      </fill>
    </dxf>
    <dxf>
      <fill>
        <patternFill>
          <bgColor theme="8" tint="0.59996337778862885"/>
        </patternFill>
      </fill>
    </dxf>
    <dxf>
      <fill>
        <patternFill>
          <bgColor rgb="FFFFFF00"/>
        </patternFill>
      </fill>
    </dxf>
    <dxf>
      <fill>
        <patternFill>
          <bgColor theme="6"/>
        </patternFill>
      </fill>
    </dxf>
    <dxf>
      <fill>
        <patternFill>
          <bgColor theme="8" tint="0.59996337778862885"/>
        </patternFill>
      </fill>
    </dxf>
    <dxf>
      <fill>
        <patternFill>
          <bgColor rgb="FFFFFF00"/>
        </patternFill>
      </fill>
    </dxf>
    <dxf>
      <fill>
        <patternFill>
          <bgColor theme="6"/>
        </patternFill>
      </fill>
    </dxf>
    <dxf>
      <fill>
        <patternFill>
          <bgColor theme="8" tint="0.59996337778862885"/>
        </patternFill>
      </fill>
    </dxf>
    <dxf>
      <fill>
        <patternFill>
          <bgColor rgb="FFFFFF00"/>
        </patternFill>
      </fill>
    </dxf>
    <dxf>
      <fill>
        <patternFill>
          <bgColor theme="6"/>
        </patternFill>
      </fill>
    </dxf>
    <dxf>
      <fill>
        <patternFill>
          <bgColor theme="8" tint="0.59996337778862885"/>
        </patternFill>
      </fill>
    </dxf>
    <dxf>
      <fill>
        <patternFill>
          <bgColor rgb="FFFFFF00"/>
        </patternFill>
      </fill>
    </dxf>
    <dxf>
      <fill>
        <patternFill>
          <bgColor theme="6"/>
        </patternFill>
      </fill>
    </dxf>
    <dxf>
      <fill>
        <patternFill>
          <bgColor theme="8" tint="0.59996337778862885"/>
        </patternFill>
      </fill>
    </dxf>
    <dxf>
      <fill>
        <patternFill>
          <bgColor rgb="FFFFFF00"/>
        </patternFill>
      </fill>
    </dxf>
    <dxf>
      <fill>
        <patternFill>
          <bgColor theme="6"/>
        </patternFill>
      </fill>
    </dxf>
    <dxf>
      <fill>
        <patternFill>
          <bgColor theme="8" tint="0.59996337778862885"/>
        </patternFill>
      </fill>
    </dxf>
    <dxf>
      <fill>
        <patternFill>
          <bgColor rgb="FFFFFF00"/>
        </patternFill>
      </fill>
    </dxf>
    <dxf>
      <fill>
        <patternFill>
          <bgColor theme="6"/>
        </patternFill>
      </fill>
    </dxf>
    <dxf>
      <fill>
        <patternFill>
          <bgColor theme="8" tint="0.59996337778862885"/>
        </patternFill>
      </fill>
    </dxf>
    <dxf>
      <fill>
        <patternFill>
          <bgColor rgb="FFFFFF00"/>
        </patternFill>
      </fill>
    </dxf>
    <dxf>
      <fill>
        <patternFill>
          <bgColor theme="6"/>
        </patternFill>
      </fill>
    </dxf>
    <dxf>
      <fill>
        <patternFill>
          <bgColor theme="8" tint="0.59996337778862885"/>
        </patternFill>
      </fill>
    </dxf>
    <dxf>
      <fill>
        <patternFill>
          <bgColor rgb="FFFFFF00"/>
        </patternFill>
      </fill>
    </dxf>
    <dxf>
      <fill>
        <patternFill>
          <bgColor theme="6"/>
        </patternFill>
      </fill>
    </dxf>
    <dxf>
      <fill>
        <patternFill>
          <bgColor theme="8" tint="0.59996337778862885"/>
        </patternFill>
      </fill>
    </dxf>
    <dxf>
      <fill>
        <patternFill>
          <bgColor rgb="FFFFFF00"/>
        </patternFill>
      </fill>
    </dxf>
    <dxf>
      <fill>
        <patternFill>
          <bgColor theme="6"/>
        </patternFill>
      </fill>
    </dxf>
    <dxf>
      <fill>
        <patternFill>
          <bgColor theme="8" tint="0.59996337778862885"/>
        </patternFill>
      </fill>
    </dxf>
    <dxf>
      <fill>
        <patternFill>
          <bgColor rgb="FFFFFF00"/>
        </patternFill>
      </fill>
    </dxf>
    <dxf>
      <fill>
        <patternFill>
          <bgColor theme="6"/>
        </patternFill>
      </fill>
    </dxf>
    <dxf>
      <fill>
        <patternFill>
          <bgColor theme="8" tint="0.59996337778862885"/>
        </patternFill>
      </fill>
    </dxf>
    <dxf>
      <fill>
        <patternFill>
          <bgColor rgb="FFFFFF00"/>
        </patternFill>
      </fill>
    </dxf>
    <dxf>
      <fill>
        <patternFill>
          <bgColor theme="6"/>
        </patternFill>
      </fill>
    </dxf>
    <dxf>
      <fill>
        <patternFill>
          <bgColor theme="8" tint="0.59996337778862885"/>
        </patternFill>
      </fill>
    </dxf>
    <dxf>
      <fill>
        <patternFill>
          <bgColor rgb="FFFFFF00"/>
        </patternFill>
      </fill>
    </dxf>
    <dxf>
      <fill>
        <patternFill>
          <bgColor theme="6"/>
        </patternFill>
      </fill>
    </dxf>
    <dxf>
      <fill>
        <patternFill>
          <bgColor theme="8" tint="0.59996337778862885"/>
        </patternFill>
      </fill>
    </dxf>
    <dxf>
      <fill>
        <patternFill>
          <bgColor rgb="FFFFFF00"/>
        </patternFill>
      </fill>
    </dxf>
    <dxf>
      <fill>
        <patternFill>
          <bgColor theme="6"/>
        </patternFill>
      </fill>
    </dxf>
    <dxf>
      <fill>
        <patternFill>
          <bgColor theme="8" tint="0.59996337778862885"/>
        </patternFill>
      </fill>
    </dxf>
    <dxf>
      <fill>
        <patternFill>
          <bgColor rgb="FFFFFF00"/>
        </patternFill>
      </fill>
    </dxf>
    <dxf>
      <fill>
        <patternFill>
          <bgColor theme="6"/>
        </patternFill>
      </fill>
    </dxf>
    <dxf>
      <fill>
        <patternFill>
          <bgColor theme="8" tint="0.59996337778862885"/>
        </patternFill>
      </fill>
    </dxf>
    <dxf>
      <fill>
        <patternFill>
          <bgColor rgb="FFFFFF00"/>
        </patternFill>
      </fill>
    </dxf>
    <dxf>
      <fill>
        <patternFill>
          <bgColor theme="6"/>
        </patternFill>
      </fill>
    </dxf>
    <dxf>
      <fill>
        <patternFill>
          <bgColor theme="8" tint="0.59996337778862885"/>
        </patternFill>
      </fill>
    </dxf>
    <dxf>
      <fill>
        <patternFill>
          <bgColor rgb="FFFFFF00"/>
        </patternFill>
      </fill>
    </dxf>
    <dxf>
      <fill>
        <patternFill>
          <bgColor theme="6"/>
        </patternFill>
      </fill>
    </dxf>
    <dxf>
      <fill>
        <patternFill>
          <bgColor theme="8" tint="0.59996337778862885"/>
        </patternFill>
      </fill>
    </dxf>
    <dxf>
      <fill>
        <patternFill>
          <bgColor rgb="FFFFFF00"/>
        </patternFill>
      </fill>
    </dxf>
    <dxf>
      <fill>
        <patternFill>
          <bgColor theme="6"/>
        </patternFill>
      </fill>
    </dxf>
    <dxf>
      <fill>
        <patternFill>
          <bgColor theme="8" tint="0.59996337778862885"/>
        </patternFill>
      </fill>
    </dxf>
    <dxf>
      <fill>
        <patternFill>
          <bgColor rgb="FFFFFF00"/>
        </patternFill>
      </fill>
    </dxf>
    <dxf>
      <fill>
        <patternFill>
          <bgColor theme="6"/>
        </patternFill>
      </fill>
    </dxf>
    <dxf>
      <fill>
        <patternFill>
          <bgColor theme="8" tint="0.59996337778862885"/>
        </patternFill>
      </fill>
    </dxf>
    <dxf>
      <fill>
        <patternFill>
          <bgColor rgb="FFFFFF00"/>
        </patternFill>
      </fill>
    </dxf>
    <dxf>
      <fill>
        <patternFill>
          <bgColor theme="6"/>
        </patternFill>
      </fill>
    </dxf>
    <dxf>
      <fill>
        <patternFill>
          <bgColor theme="8" tint="0.59996337778862885"/>
        </patternFill>
      </fill>
    </dxf>
    <dxf>
      <fill>
        <patternFill>
          <bgColor rgb="FFFFFF00"/>
        </patternFill>
      </fill>
    </dxf>
    <dxf>
      <fill>
        <patternFill>
          <bgColor theme="6"/>
        </patternFill>
      </fill>
    </dxf>
    <dxf>
      <fill>
        <patternFill>
          <bgColor theme="8" tint="0.59996337778862885"/>
        </patternFill>
      </fill>
    </dxf>
    <dxf>
      <fill>
        <patternFill>
          <bgColor rgb="FFFFFF00"/>
        </patternFill>
      </fill>
    </dxf>
    <dxf>
      <fill>
        <patternFill>
          <bgColor theme="6"/>
        </patternFill>
      </fill>
    </dxf>
    <dxf>
      <fill>
        <patternFill>
          <bgColor theme="8" tint="0.59996337778862885"/>
        </patternFill>
      </fill>
    </dxf>
    <dxf>
      <fill>
        <patternFill>
          <bgColor rgb="FFFFFF00"/>
        </patternFill>
      </fill>
    </dxf>
    <dxf>
      <fill>
        <patternFill>
          <bgColor theme="6"/>
        </patternFill>
      </fill>
    </dxf>
    <dxf>
      <fill>
        <patternFill>
          <bgColor theme="8" tint="0.59996337778862885"/>
        </patternFill>
      </fill>
    </dxf>
    <dxf>
      <fill>
        <patternFill>
          <bgColor rgb="FFFFFF00"/>
        </patternFill>
      </fill>
    </dxf>
    <dxf>
      <fill>
        <patternFill>
          <bgColor theme="6"/>
        </patternFill>
      </fill>
    </dxf>
    <dxf>
      <fill>
        <patternFill>
          <bgColor theme="8" tint="0.59996337778862885"/>
        </patternFill>
      </fill>
    </dxf>
    <dxf>
      <fill>
        <patternFill>
          <bgColor rgb="FFFFFF00"/>
        </patternFill>
      </fill>
    </dxf>
    <dxf>
      <fill>
        <patternFill>
          <bgColor theme="6"/>
        </patternFill>
      </fill>
    </dxf>
    <dxf>
      <fill>
        <patternFill>
          <bgColor theme="8" tint="0.59996337778862885"/>
        </patternFill>
      </fill>
    </dxf>
    <dxf>
      <fill>
        <patternFill>
          <bgColor rgb="FFFFFF00"/>
        </patternFill>
      </fill>
    </dxf>
    <dxf>
      <fill>
        <patternFill>
          <bgColor theme="6"/>
        </patternFill>
      </fill>
    </dxf>
    <dxf>
      <fill>
        <patternFill>
          <bgColor theme="8" tint="0.59996337778862885"/>
        </patternFill>
      </fill>
    </dxf>
    <dxf>
      <fill>
        <patternFill>
          <bgColor rgb="FFFFFF00"/>
        </patternFill>
      </fill>
    </dxf>
    <dxf>
      <fill>
        <patternFill>
          <bgColor theme="6"/>
        </patternFill>
      </fill>
    </dxf>
    <dxf>
      <fill>
        <patternFill>
          <bgColor theme="8" tint="0.59996337778862885"/>
        </patternFill>
      </fill>
    </dxf>
    <dxf>
      <fill>
        <patternFill>
          <bgColor rgb="FFFFFF00"/>
        </patternFill>
      </fill>
    </dxf>
    <dxf>
      <fill>
        <patternFill>
          <bgColor theme="6"/>
        </patternFill>
      </fill>
    </dxf>
    <dxf>
      <fill>
        <patternFill>
          <bgColor theme="8" tint="0.59996337778862885"/>
        </patternFill>
      </fill>
    </dxf>
    <dxf>
      <fill>
        <patternFill>
          <bgColor rgb="FFFFFF00"/>
        </patternFill>
      </fill>
    </dxf>
    <dxf>
      <fill>
        <patternFill>
          <bgColor theme="6"/>
        </patternFill>
      </fill>
    </dxf>
    <dxf>
      <fill>
        <patternFill>
          <bgColor theme="8" tint="0.59996337778862885"/>
        </patternFill>
      </fill>
    </dxf>
    <dxf>
      <fill>
        <patternFill>
          <bgColor rgb="FFFFFF00"/>
        </patternFill>
      </fill>
    </dxf>
    <dxf>
      <fill>
        <patternFill>
          <bgColor theme="6"/>
        </patternFill>
      </fill>
    </dxf>
    <dxf>
      <fill>
        <patternFill>
          <bgColor theme="8" tint="0.59996337778862885"/>
        </patternFill>
      </fill>
    </dxf>
    <dxf>
      <fill>
        <patternFill>
          <bgColor rgb="FFFFFF00"/>
        </patternFill>
      </fill>
    </dxf>
    <dxf>
      <fill>
        <patternFill>
          <bgColor theme="6"/>
        </patternFill>
      </fill>
    </dxf>
    <dxf>
      <fill>
        <patternFill>
          <bgColor theme="8" tint="0.59996337778862885"/>
        </patternFill>
      </fill>
    </dxf>
    <dxf>
      <fill>
        <patternFill>
          <bgColor rgb="FFFFFF00"/>
        </patternFill>
      </fill>
    </dxf>
    <dxf>
      <fill>
        <patternFill>
          <bgColor theme="6"/>
        </patternFill>
      </fill>
    </dxf>
    <dxf>
      <fill>
        <patternFill>
          <bgColor theme="8" tint="0.59996337778862885"/>
        </patternFill>
      </fill>
    </dxf>
    <dxf>
      <fill>
        <patternFill>
          <bgColor rgb="FFFFFF00"/>
        </patternFill>
      </fill>
    </dxf>
    <dxf>
      <fill>
        <patternFill>
          <bgColor theme="6"/>
        </patternFill>
      </fill>
    </dxf>
    <dxf>
      <fill>
        <patternFill>
          <bgColor theme="8" tint="0.59996337778862885"/>
        </patternFill>
      </fill>
    </dxf>
    <dxf>
      <fill>
        <patternFill>
          <bgColor rgb="FFFFFF00"/>
        </patternFill>
      </fill>
    </dxf>
    <dxf>
      <fill>
        <patternFill>
          <bgColor theme="6"/>
        </patternFill>
      </fill>
    </dxf>
    <dxf>
      <fill>
        <patternFill>
          <bgColor theme="8" tint="0.59996337778862885"/>
        </patternFill>
      </fill>
    </dxf>
    <dxf>
      <fill>
        <patternFill>
          <bgColor rgb="FFFFFF00"/>
        </patternFill>
      </fill>
    </dxf>
    <dxf>
      <fill>
        <patternFill>
          <bgColor theme="6"/>
        </patternFill>
      </fill>
    </dxf>
    <dxf>
      <fill>
        <patternFill>
          <bgColor theme="8" tint="0.59996337778862885"/>
        </patternFill>
      </fill>
    </dxf>
    <dxf>
      <fill>
        <patternFill>
          <bgColor rgb="FFFFFF00"/>
        </patternFill>
      </fill>
    </dxf>
    <dxf>
      <fill>
        <patternFill>
          <bgColor theme="6"/>
        </patternFill>
      </fill>
    </dxf>
    <dxf>
      <fill>
        <patternFill>
          <bgColor theme="8" tint="0.59996337778862885"/>
        </patternFill>
      </fill>
    </dxf>
    <dxf>
      <fill>
        <patternFill>
          <bgColor rgb="FFFFFF00"/>
        </patternFill>
      </fill>
    </dxf>
    <dxf>
      <fill>
        <patternFill>
          <bgColor theme="6"/>
        </patternFill>
      </fill>
    </dxf>
    <dxf>
      <fill>
        <patternFill>
          <bgColor theme="8" tint="0.59996337778862885"/>
        </patternFill>
      </fill>
    </dxf>
    <dxf>
      <fill>
        <patternFill>
          <bgColor rgb="FFFFFF00"/>
        </patternFill>
      </fill>
    </dxf>
    <dxf>
      <fill>
        <patternFill>
          <bgColor theme="6"/>
        </patternFill>
      </fill>
    </dxf>
    <dxf>
      <fill>
        <patternFill>
          <bgColor theme="8" tint="0.59996337778862885"/>
        </patternFill>
      </fill>
    </dxf>
    <dxf>
      <fill>
        <patternFill>
          <bgColor rgb="FFFFFF00"/>
        </patternFill>
      </fill>
    </dxf>
    <dxf>
      <fill>
        <patternFill>
          <bgColor theme="6"/>
        </patternFill>
      </fill>
    </dxf>
    <dxf>
      <fill>
        <patternFill>
          <bgColor theme="8" tint="0.59996337778862885"/>
        </patternFill>
      </fill>
    </dxf>
    <dxf>
      <fill>
        <patternFill>
          <bgColor rgb="FFFFFF00"/>
        </patternFill>
      </fill>
    </dxf>
    <dxf>
      <fill>
        <patternFill>
          <bgColor theme="6"/>
        </patternFill>
      </fill>
    </dxf>
    <dxf>
      <fill>
        <patternFill>
          <bgColor theme="8" tint="0.59996337778862885"/>
        </patternFill>
      </fill>
    </dxf>
    <dxf>
      <fill>
        <patternFill>
          <bgColor rgb="FFFFFF00"/>
        </patternFill>
      </fill>
    </dxf>
    <dxf>
      <fill>
        <patternFill>
          <bgColor theme="6"/>
        </patternFill>
      </fill>
    </dxf>
    <dxf>
      <fill>
        <patternFill>
          <bgColor theme="8" tint="0.59996337778862885"/>
        </patternFill>
      </fill>
    </dxf>
    <dxf>
      <fill>
        <patternFill>
          <bgColor rgb="FFFFFF00"/>
        </patternFill>
      </fill>
    </dxf>
    <dxf>
      <fill>
        <patternFill>
          <bgColor theme="6"/>
        </patternFill>
      </fill>
    </dxf>
    <dxf>
      <fill>
        <patternFill>
          <bgColor theme="8" tint="0.59996337778862885"/>
        </patternFill>
      </fill>
    </dxf>
    <dxf>
      <fill>
        <patternFill>
          <bgColor rgb="FFFFFF00"/>
        </patternFill>
      </fill>
    </dxf>
    <dxf>
      <fill>
        <patternFill>
          <bgColor theme="6"/>
        </patternFill>
      </fill>
    </dxf>
    <dxf>
      <fill>
        <patternFill>
          <bgColor theme="8" tint="0.59996337778862885"/>
        </patternFill>
      </fill>
    </dxf>
    <dxf>
      <fill>
        <patternFill>
          <bgColor rgb="FFFFFF00"/>
        </patternFill>
      </fill>
    </dxf>
    <dxf>
      <fill>
        <patternFill>
          <bgColor theme="6"/>
        </patternFill>
      </fill>
    </dxf>
    <dxf>
      <fill>
        <patternFill>
          <bgColor theme="8" tint="0.59996337778862885"/>
        </patternFill>
      </fill>
    </dxf>
    <dxf>
      <fill>
        <patternFill>
          <bgColor rgb="FFFFFF00"/>
        </patternFill>
      </fill>
    </dxf>
    <dxf>
      <fill>
        <patternFill>
          <bgColor theme="6"/>
        </patternFill>
      </fill>
    </dxf>
    <dxf>
      <fill>
        <patternFill>
          <bgColor theme="8" tint="0.59996337778862885"/>
        </patternFill>
      </fill>
    </dxf>
    <dxf>
      <fill>
        <patternFill>
          <bgColor rgb="FFFFFF00"/>
        </patternFill>
      </fill>
    </dxf>
    <dxf>
      <fill>
        <patternFill>
          <bgColor theme="6"/>
        </patternFill>
      </fill>
    </dxf>
    <dxf>
      <fill>
        <patternFill>
          <bgColor theme="8" tint="0.59996337778862885"/>
        </patternFill>
      </fill>
    </dxf>
    <dxf>
      <fill>
        <patternFill>
          <bgColor rgb="FFFFFF00"/>
        </patternFill>
      </fill>
    </dxf>
    <dxf>
      <fill>
        <patternFill>
          <bgColor theme="6"/>
        </patternFill>
      </fill>
    </dxf>
    <dxf>
      <fill>
        <patternFill>
          <bgColor theme="8" tint="0.59996337778862885"/>
        </patternFill>
      </fill>
    </dxf>
    <dxf>
      <fill>
        <patternFill>
          <bgColor rgb="FFFFFF00"/>
        </patternFill>
      </fill>
    </dxf>
    <dxf>
      <fill>
        <patternFill>
          <bgColor theme="6"/>
        </patternFill>
      </fill>
    </dxf>
    <dxf>
      <fill>
        <patternFill>
          <bgColor theme="8" tint="0.59996337778862885"/>
        </patternFill>
      </fill>
    </dxf>
    <dxf>
      <fill>
        <patternFill>
          <bgColor rgb="FFFFFF00"/>
        </patternFill>
      </fill>
    </dxf>
    <dxf>
      <fill>
        <patternFill>
          <bgColor theme="6"/>
        </patternFill>
      </fill>
    </dxf>
    <dxf>
      <fill>
        <patternFill>
          <bgColor theme="8" tint="0.59996337778862885"/>
        </patternFill>
      </fill>
    </dxf>
    <dxf>
      <fill>
        <patternFill>
          <bgColor rgb="FFFFFF00"/>
        </patternFill>
      </fill>
    </dxf>
    <dxf>
      <fill>
        <patternFill>
          <bgColor theme="6"/>
        </patternFill>
      </fill>
    </dxf>
    <dxf>
      <fill>
        <patternFill>
          <bgColor theme="8" tint="0.59996337778862885"/>
        </patternFill>
      </fill>
    </dxf>
    <dxf>
      <fill>
        <patternFill>
          <bgColor rgb="FFFFFF00"/>
        </patternFill>
      </fill>
    </dxf>
    <dxf>
      <fill>
        <patternFill>
          <bgColor theme="6"/>
        </patternFill>
      </fill>
    </dxf>
    <dxf>
      <fill>
        <patternFill>
          <bgColor theme="8" tint="0.59996337778862885"/>
        </patternFill>
      </fill>
    </dxf>
    <dxf>
      <fill>
        <patternFill>
          <bgColor rgb="FFFFFF00"/>
        </patternFill>
      </fill>
    </dxf>
    <dxf>
      <fill>
        <patternFill>
          <bgColor theme="6"/>
        </patternFill>
      </fill>
    </dxf>
    <dxf>
      <fill>
        <patternFill>
          <bgColor theme="8" tint="0.59996337778862885"/>
        </patternFill>
      </fill>
    </dxf>
    <dxf>
      <fill>
        <patternFill>
          <bgColor rgb="FFFFFF00"/>
        </patternFill>
      </fill>
    </dxf>
    <dxf>
      <fill>
        <patternFill>
          <bgColor theme="6"/>
        </patternFill>
      </fill>
    </dxf>
    <dxf>
      <fill>
        <patternFill>
          <bgColor theme="8" tint="0.59996337778862885"/>
        </patternFill>
      </fill>
    </dxf>
    <dxf>
      <fill>
        <patternFill>
          <bgColor rgb="FFFFFF00"/>
        </patternFill>
      </fill>
    </dxf>
    <dxf>
      <fill>
        <patternFill>
          <bgColor theme="6"/>
        </patternFill>
      </fill>
    </dxf>
    <dxf>
      <fill>
        <patternFill>
          <bgColor theme="8" tint="0.59996337778862885"/>
        </patternFill>
      </fill>
    </dxf>
    <dxf>
      <fill>
        <patternFill>
          <bgColor rgb="FFFFFF00"/>
        </patternFill>
      </fill>
    </dxf>
    <dxf>
      <fill>
        <patternFill>
          <bgColor theme="6"/>
        </patternFill>
      </fill>
    </dxf>
    <dxf>
      <fill>
        <patternFill>
          <bgColor theme="8" tint="0.59996337778862885"/>
        </patternFill>
      </fill>
    </dxf>
    <dxf>
      <fill>
        <patternFill>
          <bgColor rgb="FFFFFF00"/>
        </patternFill>
      </fill>
    </dxf>
    <dxf>
      <fill>
        <patternFill>
          <bgColor theme="6"/>
        </patternFill>
      </fill>
    </dxf>
    <dxf>
      <fill>
        <patternFill>
          <bgColor theme="8" tint="0.59996337778862885"/>
        </patternFill>
      </fill>
    </dxf>
    <dxf>
      <fill>
        <patternFill>
          <bgColor rgb="FFFFFF00"/>
        </patternFill>
      </fill>
    </dxf>
    <dxf>
      <fill>
        <patternFill>
          <bgColor theme="6"/>
        </patternFill>
      </fill>
    </dxf>
    <dxf>
      <fill>
        <patternFill>
          <bgColor theme="8" tint="0.59996337778862885"/>
        </patternFill>
      </fill>
    </dxf>
    <dxf>
      <fill>
        <patternFill>
          <bgColor rgb="FFFFFF00"/>
        </patternFill>
      </fill>
    </dxf>
    <dxf>
      <fill>
        <patternFill>
          <bgColor theme="6"/>
        </patternFill>
      </fill>
    </dxf>
    <dxf>
      <fill>
        <patternFill>
          <bgColor theme="8" tint="0.59996337778862885"/>
        </patternFill>
      </fill>
    </dxf>
    <dxf>
      <fill>
        <patternFill>
          <bgColor rgb="FFFFFF00"/>
        </patternFill>
      </fill>
    </dxf>
    <dxf>
      <fill>
        <patternFill>
          <bgColor theme="6"/>
        </patternFill>
      </fill>
    </dxf>
    <dxf>
      <fill>
        <patternFill>
          <bgColor theme="8" tint="0.59996337778862885"/>
        </patternFill>
      </fill>
    </dxf>
    <dxf>
      <fill>
        <patternFill>
          <bgColor rgb="FFFFFF00"/>
        </patternFill>
      </fill>
    </dxf>
    <dxf>
      <fill>
        <patternFill>
          <bgColor theme="6"/>
        </patternFill>
      </fill>
    </dxf>
    <dxf>
      <fill>
        <patternFill>
          <bgColor theme="8" tint="0.59996337778862885"/>
        </patternFill>
      </fill>
    </dxf>
    <dxf>
      <fill>
        <patternFill>
          <bgColor rgb="FFFFFF00"/>
        </patternFill>
      </fill>
    </dxf>
    <dxf>
      <fill>
        <patternFill>
          <bgColor theme="6"/>
        </patternFill>
      </fill>
    </dxf>
    <dxf>
      <fill>
        <patternFill>
          <bgColor theme="8" tint="0.59996337778862885"/>
        </patternFill>
      </fill>
    </dxf>
    <dxf>
      <fill>
        <patternFill>
          <bgColor rgb="FFFFFF00"/>
        </patternFill>
      </fill>
    </dxf>
    <dxf>
      <fill>
        <patternFill>
          <bgColor theme="6"/>
        </patternFill>
      </fill>
    </dxf>
    <dxf>
      <fill>
        <patternFill>
          <bgColor theme="8" tint="0.59996337778862885"/>
        </patternFill>
      </fill>
    </dxf>
    <dxf>
      <fill>
        <patternFill>
          <bgColor rgb="FFFFFF00"/>
        </patternFill>
      </fill>
    </dxf>
    <dxf>
      <fill>
        <patternFill>
          <bgColor theme="6"/>
        </patternFill>
      </fill>
    </dxf>
    <dxf>
      <fill>
        <patternFill>
          <bgColor theme="8" tint="0.59996337778862885"/>
        </patternFill>
      </fill>
    </dxf>
    <dxf>
      <fill>
        <patternFill>
          <bgColor rgb="FFFFFF00"/>
        </patternFill>
      </fill>
    </dxf>
    <dxf>
      <fill>
        <patternFill>
          <bgColor theme="6"/>
        </patternFill>
      </fill>
    </dxf>
    <dxf>
      <fill>
        <patternFill>
          <bgColor theme="8" tint="0.59996337778862885"/>
        </patternFill>
      </fill>
    </dxf>
    <dxf>
      <fill>
        <patternFill>
          <bgColor rgb="FFFFFF00"/>
        </patternFill>
      </fill>
    </dxf>
    <dxf>
      <fill>
        <patternFill>
          <bgColor theme="6"/>
        </patternFill>
      </fill>
    </dxf>
    <dxf>
      <fill>
        <patternFill>
          <bgColor theme="8" tint="0.39994506668294322"/>
        </patternFill>
      </fill>
    </dxf>
    <dxf>
      <fill>
        <patternFill>
          <bgColor rgb="FFFFFF00"/>
        </patternFill>
      </fill>
    </dxf>
    <dxf>
      <fill>
        <patternFill>
          <bgColor theme="6"/>
        </patternFill>
      </fill>
    </dxf>
    <dxf>
      <fill>
        <patternFill>
          <bgColor theme="8" tint="0.59996337778862885"/>
        </patternFill>
      </fill>
    </dxf>
    <dxf>
      <fill>
        <patternFill>
          <bgColor rgb="FFFFFF00"/>
        </patternFill>
      </fill>
    </dxf>
    <dxf>
      <fill>
        <patternFill>
          <bgColor theme="6"/>
        </patternFill>
      </fill>
    </dxf>
    <dxf>
      <fill>
        <patternFill>
          <bgColor theme="8" tint="0.59996337778862885"/>
        </patternFill>
      </fill>
    </dxf>
    <dxf>
      <fill>
        <patternFill>
          <bgColor rgb="FFFFFF00"/>
        </patternFill>
      </fill>
    </dxf>
    <dxf>
      <fill>
        <patternFill>
          <bgColor theme="6"/>
        </patternFill>
      </fill>
    </dxf>
    <dxf>
      <fill>
        <patternFill>
          <bgColor theme="8" tint="0.59996337778862885"/>
        </patternFill>
      </fill>
    </dxf>
    <dxf>
      <fill>
        <patternFill>
          <bgColor rgb="FFFFFF00"/>
        </patternFill>
      </fill>
    </dxf>
    <dxf>
      <fill>
        <patternFill>
          <bgColor theme="6"/>
        </patternFill>
      </fill>
    </dxf>
    <dxf>
      <fill>
        <patternFill>
          <bgColor theme="8" tint="0.39994506668294322"/>
        </patternFill>
      </fill>
    </dxf>
    <dxf>
      <fill>
        <patternFill>
          <bgColor rgb="FFFFFF00"/>
        </patternFill>
      </fill>
    </dxf>
    <dxf>
      <fill>
        <patternFill>
          <bgColor theme="6"/>
        </patternFill>
      </fill>
    </dxf>
    <dxf>
      <fill>
        <patternFill>
          <bgColor indexed="47"/>
        </patternFill>
      </fill>
    </dxf>
    <dxf>
      <font>
        <b/>
        <i val="0"/>
        <color rgb="FFC00000"/>
      </font>
      <fill>
        <patternFill>
          <bgColor rgb="FFFFC000"/>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ont>
        <b/>
        <i val="0"/>
        <color rgb="FFC00000"/>
      </font>
      <fill>
        <patternFill>
          <bgColor rgb="FFFFC000"/>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rgb="FF92D050"/>
        </patternFill>
      </fill>
    </dxf>
    <dxf>
      <fill>
        <patternFill>
          <bgColor indexed="47"/>
        </patternFill>
      </fill>
    </dxf>
    <dxf>
      <fill>
        <patternFill>
          <bgColor rgb="FF92D050"/>
        </patternFill>
      </fill>
    </dxf>
    <dxf>
      <fill>
        <patternFill>
          <bgColor indexed="47"/>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rgb="FF92D050"/>
        </patternFill>
      </fill>
    </dxf>
    <dxf>
      <fill>
        <patternFill>
          <bgColor indexed="47"/>
        </patternFill>
      </fill>
    </dxf>
    <dxf>
      <fill>
        <patternFill>
          <bgColor rgb="FF92D050"/>
        </patternFill>
      </fill>
    </dxf>
    <dxf>
      <fill>
        <patternFill>
          <bgColor indexed="47"/>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rgb="FF92D050"/>
        </patternFill>
      </fill>
    </dxf>
    <dxf>
      <fill>
        <patternFill>
          <bgColor indexed="47"/>
        </patternFill>
      </fill>
    </dxf>
    <dxf>
      <fill>
        <patternFill>
          <bgColor rgb="FF92D050"/>
        </patternFill>
      </fill>
    </dxf>
    <dxf>
      <fill>
        <patternFill>
          <bgColor indexed="47"/>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rgb="FF92D050"/>
        </patternFill>
      </fill>
    </dxf>
    <dxf>
      <fill>
        <patternFill>
          <bgColor indexed="47"/>
        </patternFill>
      </fill>
    </dxf>
    <dxf>
      <fill>
        <patternFill>
          <bgColor rgb="FF92D050"/>
        </patternFill>
      </fill>
    </dxf>
    <dxf>
      <fill>
        <patternFill>
          <bgColor indexed="47"/>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92D050"/>
        </patternFill>
      </fill>
    </dxf>
    <dxf>
      <fill>
        <patternFill>
          <bgColor indexed="47"/>
        </patternFill>
      </fill>
    </dxf>
    <dxf>
      <fill>
        <patternFill>
          <bgColor rgb="FF92D050"/>
        </patternFill>
      </fill>
    </dxf>
    <dxf>
      <fill>
        <patternFill>
          <bgColor indexed="47"/>
        </patternFill>
      </fill>
    </dxf>
    <dxf>
      <fill>
        <patternFill>
          <bgColor indexed="47"/>
        </patternFill>
      </fill>
    </dxf>
    <dxf>
      <fill>
        <patternFill>
          <bgColor rgb="FF92D050"/>
        </patternFill>
      </fill>
    </dxf>
    <dxf>
      <fill>
        <patternFill>
          <bgColor indexed="47"/>
        </patternFill>
      </fill>
    </dxf>
    <dxf>
      <fill>
        <patternFill>
          <bgColor rgb="FF92D050"/>
        </patternFill>
      </fill>
    </dxf>
    <dxf>
      <fill>
        <patternFill>
          <bgColor indexed="47"/>
        </patternFill>
      </fill>
    </dxf>
    <dxf>
      <fill>
        <patternFill>
          <bgColor rgb="FF92D050"/>
        </patternFill>
      </fill>
    </dxf>
    <dxf>
      <fill>
        <patternFill>
          <bgColor rgb="FF92D050"/>
        </patternFill>
      </fill>
    </dxf>
    <dxf>
      <fill>
        <patternFill>
          <bgColor indexed="47"/>
        </patternFill>
      </fill>
    </dxf>
    <dxf>
      <fill>
        <patternFill>
          <bgColor rgb="FF92D050"/>
        </patternFill>
      </fill>
    </dxf>
    <dxf>
      <fill>
        <patternFill>
          <bgColor indexed="47"/>
        </patternFill>
      </fill>
    </dxf>
    <dxf>
      <fill>
        <patternFill>
          <bgColor rgb="FF92D050"/>
        </patternFill>
      </fill>
    </dxf>
    <dxf>
      <fill>
        <patternFill>
          <bgColor indexed="47"/>
        </patternFill>
      </fill>
    </dxf>
    <dxf>
      <fill>
        <patternFill>
          <bgColor rgb="FF92D050"/>
        </patternFill>
      </fill>
    </dxf>
    <dxf>
      <fill>
        <patternFill>
          <bgColor indexed="47"/>
        </patternFill>
      </fill>
    </dxf>
    <dxf>
      <fill>
        <patternFill>
          <bgColor rgb="FF92D050"/>
        </patternFill>
      </fill>
    </dxf>
    <dxf>
      <fill>
        <patternFill>
          <bgColor indexed="47"/>
        </patternFill>
      </fill>
    </dxf>
    <dxf>
      <fill>
        <patternFill>
          <bgColor rgb="FF92D050"/>
        </patternFill>
      </fill>
    </dxf>
    <dxf>
      <fill>
        <patternFill>
          <bgColor rgb="FF92D050"/>
        </patternFill>
      </fill>
    </dxf>
    <dxf>
      <fill>
        <patternFill>
          <bgColor indexed="47"/>
        </patternFill>
      </fill>
    </dxf>
    <dxf>
      <fill>
        <patternFill>
          <bgColor indexed="47"/>
        </patternFill>
      </fill>
    </dxf>
    <dxf>
      <fill>
        <patternFill>
          <bgColor rgb="FF92D050"/>
        </patternFill>
      </fill>
    </dxf>
    <dxf>
      <fill>
        <patternFill>
          <bgColor indexed="47"/>
        </patternFill>
      </fill>
    </dxf>
    <dxf>
      <fill>
        <patternFill>
          <bgColor rgb="FF92D050"/>
        </patternFill>
      </fill>
    </dxf>
    <dxf>
      <fill>
        <patternFill>
          <bgColor indexed="47"/>
        </patternFill>
      </fill>
    </dxf>
    <dxf>
      <fill>
        <patternFill>
          <bgColor rgb="FF92D050"/>
        </patternFill>
      </fill>
    </dxf>
    <dxf>
      <fill>
        <patternFill>
          <bgColor rgb="FF92D050"/>
        </patternFill>
      </fill>
    </dxf>
    <dxf>
      <fill>
        <patternFill>
          <bgColor indexed="47"/>
        </patternFill>
      </fill>
    </dxf>
    <dxf>
      <fill>
        <patternFill>
          <bgColor rgb="FF92D050"/>
        </patternFill>
      </fill>
    </dxf>
    <dxf>
      <fill>
        <patternFill>
          <bgColor indexed="47"/>
        </patternFill>
      </fill>
    </dxf>
    <dxf>
      <fill>
        <patternFill>
          <bgColor rgb="FF92D050"/>
        </patternFill>
      </fill>
    </dxf>
    <dxf>
      <fill>
        <patternFill>
          <bgColor indexed="47"/>
        </patternFill>
      </fill>
    </dxf>
    <dxf>
      <fill>
        <patternFill>
          <bgColor rgb="FF92D050"/>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patternType="solid">
          <bgColor indexed="47"/>
        </patternFill>
      </fill>
    </dxf>
    <dxf>
      <fill>
        <patternFill>
          <bgColor indexed="47"/>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dialogsheet" Target="dialogsheets/sheet1.xml"/><Relationship Id="rId18" Type="http://schemas.openxmlformats.org/officeDocument/2006/relationships/dialogsheet" Target="dialogsheets/sheet6.xml"/><Relationship Id="rId26" Type="http://schemas.openxmlformats.org/officeDocument/2006/relationships/worksheet" Target="worksheets/sheet15.xml"/><Relationship Id="rId3" Type="http://schemas.openxmlformats.org/officeDocument/2006/relationships/worksheet" Target="worksheets/sheet3.xml"/><Relationship Id="rId21" Type="http://schemas.openxmlformats.org/officeDocument/2006/relationships/dialogsheet" Target="dialogsheets/sheet9.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dialogsheet" Target="dialogsheets/sheet5.xml"/><Relationship Id="rId25" Type="http://schemas.openxmlformats.org/officeDocument/2006/relationships/worksheet" Target="worksheets/sheet14.xml"/><Relationship Id="rId2" Type="http://schemas.openxmlformats.org/officeDocument/2006/relationships/worksheet" Target="worksheets/sheet2.xml"/><Relationship Id="rId16" Type="http://schemas.openxmlformats.org/officeDocument/2006/relationships/dialogsheet" Target="dialogsheets/sheet4.xml"/><Relationship Id="rId20" Type="http://schemas.openxmlformats.org/officeDocument/2006/relationships/dialogsheet" Target="dialogsheets/sheet8.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13.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dialogsheet" Target="dialogsheets/sheet3.xml"/><Relationship Id="rId23" Type="http://schemas.openxmlformats.org/officeDocument/2006/relationships/dialogsheet" Target="dialogsheets/sheet11.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dialogsheet" Target="dialogsheets/sheet7.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dialogsheet" Target="dialogsheets/sheet2.xml"/><Relationship Id="rId22" Type="http://schemas.openxmlformats.org/officeDocument/2006/relationships/dialogsheet" Target="dialogsheets/sheet10.xml"/><Relationship Id="rId27" Type="http://schemas.openxmlformats.org/officeDocument/2006/relationships/externalLink" Target="externalLinks/externalLink1.xml"/><Relationship Id="rId30"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List" dx="16" fmlaLink="'Main Menu'!$M$2" fmlaRange="'Main Menu'!$L$2:$L$6" sel="2" val="0"/>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List" dx="16" fmlaLink="'Main Menu'!$P$1" fmlaRange="'Main Menu'!$O$1:$O$50" sel="2" val="0"/>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List" dx="16" fmlaLink="'Main Menu'!$Q$1" fmlaRange="'Main Menu'!$O$1:$O$50" sel="9" val="5"/>
</file>

<file path=xl/ctrlProps/ctrlProp14.xml><?xml version="1.0" encoding="utf-8"?>
<formControlPr xmlns="http://schemas.microsoft.com/office/spreadsheetml/2009/9/main" objectType="CheckBox" fmlaLink="$A$1" lockText="1"/>
</file>

<file path=xl/ctrlProps/ctrlProp15.xml><?xml version="1.0" encoding="utf-8"?>
<formControlPr xmlns="http://schemas.microsoft.com/office/spreadsheetml/2009/9/main" objectType="CheckBox" fmlaLink="$A$2" lockText="1"/>
</file>

<file path=xl/ctrlProps/ctrlProp16.xml><?xml version="1.0" encoding="utf-8"?>
<formControlPr xmlns="http://schemas.microsoft.com/office/spreadsheetml/2009/9/main" objectType="CheckBox" fmlaLink="$A$3"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CheckBox" fmlaLink="$A$1" lockText="1"/>
</file>

<file path=xl/ctrlProps/ctrlProp20.xml><?xml version="1.0" encoding="utf-8"?>
<formControlPr xmlns="http://schemas.microsoft.com/office/spreadsheetml/2009/9/main" objectType="CheckBox" fmlaLink="$A$2" lockText="1"/>
</file>

<file path=xl/ctrlProps/ctrlProp21.xml><?xml version="1.0" encoding="utf-8"?>
<formControlPr xmlns="http://schemas.microsoft.com/office/spreadsheetml/2009/9/main" objectType="CheckBox" checked="Checked" fmlaLink="$A$3"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dialogsheets/_rels/sheet1.xml.rels><?xml version="1.0" encoding="UTF-8" standalone="yes"?>
<Relationships xmlns="http://schemas.openxmlformats.org/package/2006/relationships"><Relationship Id="rId1" Type="http://schemas.openxmlformats.org/officeDocument/2006/relationships/vmlDrawing" Target="../drawings/vmlDrawing8.vml"/></Relationships>
</file>

<file path=xl/dialogsheets/_rels/sheet2.xml.rels><?xml version="1.0" encoding="UTF-8" standalone="yes"?>
<Relationships xmlns="http://schemas.openxmlformats.org/package/2006/relationships"><Relationship Id="rId1" Type="http://schemas.openxmlformats.org/officeDocument/2006/relationships/vmlDrawing" Target="../drawings/vmlDrawing9.vml"/></Relationships>
</file>

<file path=xl/dialogsheets/_rels/sheet3.xml.rels><?xml version="1.0" encoding="UTF-8" standalone="yes"?>
<Relationships xmlns="http://schemas.openxmlformats.org/package/2006/relationships"><Relationship Id="rId1" Type="http://schemas.openxmlformats.org/officeDocument/2006/relationships/vmlDrawing" Target="../drawings/vmlDrawing10.vml"/></Relationships>
</file>

<file path=xl/dialogsheets/_rels/sheet4.xml.rels><?xml version="1.0" encoding="UTF-8" standalone="yes"?>
<Relationships xmlns="http://schemas.openxmlformats.org/package/2006/relationships"><Relationship Id="rId1" Type="http://schemas.openxmlformats.org/officeDocument/2006/relationships/vmlDrawing" Target="../drawings/vmlDrawing11.vml"/></Relationships>
</file>

<file path=xl/dialogsheets/_rels/sheet5.xml.rels><?xml version="1.0" encoding="UTF-8" standalone="yes"?>
<Relationships xmlns="http://schemas.openxmlformats.org/package/2006/relationships"><Relationship Id="rId1" Type="http://schemas.openxmlformats.org/officeDocument/2006/relationships/vmlDrawing" Target="../drawings/vmlDrawing12.vml"/></Relationships>
</file>

<file path=xl/dialogsheets/_rels/sheet6.xml.rels><?xml version="1.0" encoding="UTF-8" standalone="yes"?>
<Relationships xmlns="http://schemas.openxmlformats.org/package/2006/relationships"><Relationship Id="rId1" Type="http://schemas.openxmlformats.org/officeDocument/2006/relationships/vmlDrawing" Target="../drawings/vmlDrawing13.vml"/></Relationships>
</file>

<file path=xl/dialogsheets/_rels/sheet7.xml.rels><?xml version="1.0" encoding="UTF-8" standalone="yes"?>
<Relationships xmlns="http://schemas.openxmlformats.org/package/2006/relationships"><Relationship Id="rId1" Type="http://schemas.openxmlformats.org/officeDocument/2006/relationships/vmlDrawing" Target="../drawings/vmlDrawing14.vml"/></Relationships>
</file>

<file path=xl/dialogsheets/_rels/sheet8.xml.rels><?xml version="1.0" encoding="UTF-8" standalone="yes"?>
<Relationships xmlns="http://schemas.openxmlformats.org/package/2006/relationships"><Relationship Id="rId1" Type="http://schemas.openxmlformats.org/officeDocument/2006/relationships/vmlDrawing" Target="../drawings/vmlDrawing15.vml"/></Relationships>
</file>

<file path=xl/dialogsheets/_rels/sheet9.xml.rels><?xml version="1.0" encoding="UTF-8" standalone="yes"?>
<Relationships xmlns="http://schemas.openxmlformats.org/package/2006/relationships"><Relationship Id="rId1" Type="http://schemas.openxmlformats.org/officeDocument/2006/relationships/vmlDrawing" Target="../drawings/vmlDrawing16.vml"/></Relationships>
</file>

<file path=xl/dialogsheets/_rels/sheet10.xml.rels><?xml version="1.0" encoding="UTF-8" standalone="yes"?>
<Relationships xmlns="http://schemas.openxmlformats.org/package/2006/relationships"><Relationship Id="rId1" Type="http://schemas.openxmlformats.org/officeDocument/2006/relationships/vmlDrawing" Target="../drawings/vmlDrawing17.vml"/></Relationships>
</file>

<file path=xl/dialogsheets/_rels/sheet11.xml.rels><?xml version="1.0" encoding="UTF-8" standalone="yes"?>
<Relationships xmlns="http://schemas.openxmlformats.org/package/2006/relationships"><Relationship Id="rId1" Type="http://schemas.openxmlformats.org/officeDocument/2006/relationships/vmlDrawing" Target="../drawings/vmlDrawing18.vml"/></Relationships>
</file>

<file path=xl/dialogsheets/sheet1.xml><?xml version="1.0" encoding="utf-8"?>
<dialog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Views>
    <sheetView showRowColHeaders="0" showZeros="0" showOutlineSymbols="0" workbookViewId="0"/>
  </sheetViews>
  <sheetFormatPr defaultColWidth="1" defaultRowHeight="5.25" customHeight="1" x14ac:dyDescent="0.2"/>
  <sheetProtection sheet="1"/>
  <pageMargins left="0.75" right="0.75" top="1" bottom="1" header="0.5" footer="0.5"/>
  <pageSetup orientation="portrait"/>
  <headerFooter alignWithMargins="0">
    <oddHeader>&amp;A</oddHeader>
    <oddFooter>Page &amp;P</oddFooter>
  </headerFooter>
  <legacyDrawing r:id="rId1"/>
</dialogsheet>
</file>

<file path=xl/dialogsheets/sheet2.xml><?xml version="1.0" encoding="utf-8"?>
<dialog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Views>
    <sheetView showRowColHeaders="0" showZeros="0" showOutlineSymbols="0" workbookViewId="0"/>
  </sheetViews>
  <sheetFormatPr defaultColWidth="1" defaultRowHeight="5.25" customHeight="1" x14ac:dyDescent="0.2"/>
  <sheetProtection sheet="1"/>
  <pageMargins left="0.75" right="0.75" top="1" bottom="1" header="0.5" footer="0.5"/>
  <pageSetup orientation="portrait"/>
  <headerFooter alignWithMargins="0">
    <oddHeader>&amp;A</oddHeader>
    <oddFooter>Page &amp;P</oddFooter>
  </headerFooter>
  <legacyDrawing r:id="rId1"/>
</dialogsheet>
</file>

<file path=xl/dialogsheets/sheet3.xml><?xml version="1.0" encoding="utf-8"?>
<dialog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Views>
    <sheetView showRowColHeaders="0" showZeros="0" showOutlineSymbols="0" workbookViewId="0"/>
  </sheetViews>
  <sheetFormatPr defaultColWidth="1" defaultRowHeight="5.25" customHeight="1" x14ac:dyDescent="0.2"/>
  <sheetProtection sheet="1"/>
  <pageMargins left="0.75" right="0.75" top="1" bottom="1" header="0.5" footer="0.5"/>
  <pageSetup orientation="portrait"/>
  <headerFooter alignWithMargins="0">
    <oddHeader>&amp;A</oddHeader>
    <oddFooter>Page &amp;P</oddFooter>
  </headerFooter>
  <legacyDrawing r:id="rId1"/>
</dialogsheet>
</file>

<file path=xl/dialogsheets/sheet4.xml><?xml version="1.0" encoding="utf-8"?>
<dialog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Views>
    <sheetView showRowColHeaders="0" showZeros="0" showOutlineSymbols="0" workbookViewId="0"/>
  </sheetViews>
  <sheetFormatPr defaultColWidth="1" defaultRowHeight="5.25" customHeight="1" x14ac:dyDescent="0.2"/>
  <sheetProtection sheet="1"/>
  <pageMargins left="0.75" right="0.75" top="1" bottom="1" header="0.5" footer="0.5"/>
  <pageSetup orientation="portrait"/>
  <headerFooter alignWithMargins="0">
    <oddHeader>&amp;A</oddHeader>
    <oddFooter>Page &amp;P</oddFooter>
  </headerFooter>
  <legacyDrawing r:id="rId1"/>
</dialogsheet>
</file>

<file path=xl/dialogsheets/sheet5.xml><?xml version="1.0" encoding="utf-8"?>
<dialog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Views>
    <sheetView showRowColHeaders="0" showZeros="0" showOutlineSymbols="0" workbookViewId="0"/>
  </sheetViews>
  <sheetFormatPr defaultColWidth="1" defaultRowHeight="5.25" customHeight="1" x14ac:dyDescent="0.2"/>
  <sheetProtection password="CC18" sheet="1" objects="1" scenarios="1"/>
  <pageMargins left="0.75" right="0.75" top="1" bottom="1" header="0.5" footer="0.5"/>
  <pageSetup orientation="portrait"/>
  <headerFooter alignWithMargins="0">
    <oddHeader>&amp;A</oddHeader>
    <oddFooter>Page &amp;P</oddFooter>
  </headerFooter>
  <legacyDrawing r:id="rId1"/>
</dialogsheet>
</file>

<file path=xl/dialogsheets/sheet6.xml><?xml version="1.0" encoding="utf-8"?>
<dialog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Views>
    <sheetView showRowColHeaders="0" showZeros="0" showOutlineSymbols="0" workbookViewId="0"/>
  </sheetViews>
  <sheetFormatPr defaultColWidth="1" defaultRowHeight="5.25" customHeight="1" x14ac:dyDescent="0.2"/>
  <sheetProtection sheet="1"/>
  <pageMargins left="0.75" right="0.75" top="1" bottom="1" header="0.5" footer="0.5"/>
  <pageSetup orientation="portrait"/>
  <headerFooter alignWithMargins="0">
    <oddHeader>&amp;A</oddHeader>
    <oddFooter>Page &amp;P</oddFooter>
  </headerFooter>
  <legacyDrawing r:id="rId1"/>
</dialogsheet>
</file>

<file path=xl/dialogsheets/sheet7.xml><?xml version="1.0" encoding="utf-8"?>
<dialog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Views>
    <sheetView showRowColHeaders="0" showZeros="0" showOutlineSymbols="0" workbookViewId="0"/>
  </sheetViews>
  <sheetFormatPr defaultColWidth="1" defaultRowHeight="5.25" customHeight="1" x14ac:dyDescent="0.2"/>
  <sheetProtection sheet="1"/>
  <pageMargins left="0.75" right="0.75" top="1" bottom="1" header="0.5" footer="0.5"/>
  <pageSetup orientation="portrait"/>
  <headerFooter alignWithMargins="0">
    <oddHeader>&amp;A</oddHeader>
    <oddFooter>Page &amp;P</oddFooter>
  </headerFooter>
  <legacyDrawing r:id="rId1"/>
</dialogsheet>
</file>

<file path=xl/dialogsheets/sheet8.xml><?xml version="1.0" encoding="utf-8"?>
<dialog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Views>
    <sheetView showRowColHeaders="0" showZeros="0" showOutlineSymbols="0" workbookViewId="0"/>
  </sheetViews>
  <sheetFormatPr defaultColWidth="1" defaultRowHeight="5.25" customHeight="1" x14ac:dyDescent="0.2"/>
  <sheetProtection sheet="1"/>
  <pageMargins left="0.75" right="0.75" top="1" bottom="1" header="0.5" footer="0.5"/>
  <pageSetup orientation="portrait"/>
  <headerFooter alignWithMargins="0">
    <oddHeader>&amp;A</oddHeader>
    <oddFooter>Page &amp;P</oddFooter>
  </headerFooter>
  <legacyDrawing r:id="rId1"/>
</dialogsheet>
</file>

<file path=xl/dialogsheets/sheet9.xml><?xml version="1.0" encoding="utf-8"?>
<dialog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Views>
    <sheetView showRowColHeaders="0" showZeros="0" showOutlineSymbols="0" workbookViewId="0"/>
  </sheetViews>
  <sheetFormatPr defaultColWidth="1" defaultRowHeight="5.25" customHeight="1" x14ac:dyDescent="0.2"/>
  <sheetProtection sheet="1"/>
  <pageMargins left="0.75" right="0.75" top="1" bottom="1" header="0.5" footer="0.5"/>
  <pageSetup orientation="portrait"/>
  <headerFooter alignWithMargins="0">
    <oddHeader>&amp;A</oddHeader>
    <oddFooter>Page &amp;P</oddFooter>
  </headerFooter>
  <legacyDrawing r:id="rId1"/>
</dialogsheet>
</file>

<file path=xl/dialogsheets/sheet10.xml><?xml version="1.0" encoding="utf-8"?>
<dialog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Views>
    <sheetView showRowColHeaders="0" showZeros="0" showOutlineSymbols="0" workbookViewId="0"/>
  </sheetViews>
  <sheetFormatPr defaultColWidth="1" defaultRowHeight="5.25" customHeight="1" x14ac:dyDescent="0.2"/>
  <sheetProtection sheet="1"/>
  <pageMargins left="0.75" right="0.75" top="1" bottom="1" header="0.5" footer="0.5"/>
  <pageSetup orientation="portrait"/>
  <headerFooter alignWithMargins="0">
    <oddHeader>&amp;A</oddHeader>
    <oddFooter>Page &amp;P</oddFooter>
  </headerFooter>
  <legacyDrawing r:id="rId1"/>
</dialogsheet>
</file>

<file path=xl/dialogsheets/sheet11.xml><?xml version="1.0" encoding="utf-8"?>
<dialog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Views>
    <sheetView showRowColHeaders="0" showZeros="0" showOutlineSymbols="0" workbookViewId="0"/>
  </sheetViews>
  <sheetFormatPr defaultColWidth="1" defaultRowHeight="5.25" customHeight="1" x14ac:dyDescent="0.2"/>
  <sheetProtection sheet="1"/>
  <pageMargins left="0.75" right="0.75" top="1" bottom="1" header="0.5" footer="0.5"/>
  <pageSetup orientation="portrait"/>
  <headerFooter alignWithMargins="0">
    <oddHeader>&amp;A</oddHeader>
    <oddFooter>Page &amp;P</oddFooter>
  </headerFooter>
  <legacyDrawing r:id="rId1"/>
</dialogsheet>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228600</xdr:colOff>
          <xdr:row>2</xdr:row>
          <xdr:rowOff>76200</xdr:rowOff>
        </xdr:from>
        <xdr:to>
          <xdr:col>4</xdr:col>
          <xdr:colOff>85725</xdr:colOff>
          <xdr:row>4</xdr:row>
          <xdr:rowOff>66675</xdr:rowOff>
        </xdr:to>
        <xdr:sp macro="" textlink="">
          <xdr:nvSpPr>
            <xdr:cNvPr id="1039" name="Button 15" hidden="1">
              <a:extLst>
                <a:ext uri="{63B3BB69-23CF-44E3-9099-C40C66FF867C}">
                  <a14:compatExt spid="_x0000_s1039"/>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200" b="1" i="0" u="none" strike="noStrike" baseline="0">
                  <a:solidFill>
                    <a:srgbClr val="339933"/>
                  </a:solidFill>
                  <a:latin typeface="Arial"/>
                  <a:cs typeface="Arial"/>
                </a:rPr>
                <a:t>SCHEDULE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228600</xdr:colOff>
          <xdr:row>7</xdr:row>
          <xdr:rowOff>38100</xdr:rowOff>
        </xdr:from>
        <xdr:to>
          <xdr:col>4</xdr:col>
          <xdr:colOff>85725</xdr:colOff>
          <xdr:row>9</xdr:row>
          <xdr:rowOff>28575</xdr:rowOff>
        </xdr:to>
        <xdr:sp macro="" textlink="">
          <xdr:nvSpPr>
            <xdr:cNvPr id="1040" name="Button 16" hidden="1">
              <a:extLst>
                <a:ext uri="{63B3BB69-23CF-44E3-9099-C40C66FF867C}">
                  <a14:compatExt spid="_x0000_s1040"/>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200" b="1" i="0" u="none" strike="noStrike" baseline="0">
                  <a:solidFill>
                    <a:srgbClr val="FF0000"/>
                  </a:solidFill>
                  <a:latin typeface="Arial"/>
                  <a:cs typeface="Arial"/>
                </a:rPr>
                <a:t>UTILITIES 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228600</xdr:colOff>
          <xdr:row>9</xdr:row>
          <xdr:rowOff>114300</xdr:rowOff>
        </xdr:from>
        <xdr:to>
          <xdr:col>4</xdr:col>
          <xdr:colOff>76200</xdr:colOff>
          <xdr:row>11</xdr:row>
          <xdr:rowOff>104775</xdr:rowOff>
        </xdr:to>
        <xdr:sp macro="" textlink="">
          <xdr:nvSpPr>
            <xdr:cNvPr id="1042" name="Button 18" hidden="1">
              <a:extLst>
                <a:ext uri="{63B3BB69-23CF-44E3-9099-C40C66FF867C}">
                  <a14:compatExt spid="_x0000_s1042"/>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200" b="1" i="0" u="none" strike="noStrike" baseline="0">
                  <a:solidFill>
                    <a:srgbClr val="FFFF00"/>
                  </a:solidFill>
                  <a:latin typeface="Arial"/>
                  <a:cs typeface="Arial"/>
                </a:rPr>
                <a:t>SAVE 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228600</xdr:colOff>
          <xdr:row>4</xdr:row>
          <xdr:rowOff>152400</xdr:rowOff>
        </xdr:from>
        <xdr:to>
          <xdr:col>4</xdr:col>
          <xdr:colOff>85725</xdr:colOff>
          <xdr:row>6</xdr:row>
          <xdr:rowOff>123825</xdr:rowOff>
        </xdr:to>
        <xdr:sp macro="" textlink="">
          <xdr:nvSpPr>
            <xdr:cNvPr id="1043" name="Button 19" hidden="1">
              <a:extLst>
                <a:ext uri="{63B3BB69-23CF-44E3-9099-C40C66FF867C}">
                  <a14:compatExt spid="_x0000_s1043"/>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200" b="1" i="0" u="none" strike="noStrike" baseline="0">
                  <a:solidFill>
                    <a:srgbClr val="3366FF"/>
                  </a:solidFill>
                  <a:latin typeface="Arial"/>
                  <a:cs typeface="Arial"/>
                </a:rPr>
                <a:t>PRINT MENU</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60</xdr:col>
      <xdr:colOff>19050</xdr:colOff>
      <xdr:row>13</xdr:row>
      <xdr:rowOff>190500</xdr:rowOff>
    </xdr:from>
    <xdr:to>
      <xdr:col>64</xdr:col>
      <xdr:colOff>762000</xdr:colOff>
      <xdr:row>18</xdr:row>
      <xdr:rowOff>9525</xdr:rowOff>
    </xdr:to>
    <xdr:sp macro="" textlink="">
      <xdr:nvSpPr>
        <xdr:cNvPr id="188740" name="Text 1"/>
        <xdr:cNvSpPr txBox="1">
          <a:spLocks noChangeArrowheads="1"/>
        </xdr:cNvSpPr>
      </xdr:nvSpPr>
      <xdr:spPr bwMode="auto">
        <a:xfrm>
          <a:off x="43957875" y="2686050"/>
          <a:ext cx="1847850" cy="771525"/>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64</xdr:col>
      <xdr:colOff>190500</xdr:colOff>
      <xdr:row>10</xdr:row>
      <xdr:rowOff>142875</xdr:rowOff>
    </xdr:from>
    <xdr:to>
      <xdr:col>72</xdr:col>
      <xdr:colOff>9525</xdr:colOff>
      <xdr:row>15</xdr:row>
      <xdr:rowOff>38100</xdr:rowOff>
    </xdr:to>
    <xdr:sp macro="" textlink="">
      <xdr:nvSpPr>
        <xdr:cNvPr id="188741" name="Text 1"/>
        <xdr:cNvSpPr txBox="1">
          <a:spLocks noChangeArrowheads="1"/>
        </xdr:cNvSpPr>
      </xdr:nvSpPr>
      <xdr:spPr bwMode="auto">
        <a:xfrm>
          <a:off x="45234225" y="2066925"/>
          <a:ext cx="2676525" cy="847725"/>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19</xdr:col>
      <xdr:colOff>38100</xdr:colOff>
      <xdr:row>58</xdr:row>
      <xdr:rowOff>114300</xdr:rowOff>
    </xdr:from>
    <xdr:to>
      <xdr:col>20</xdr:col>
      <xdr:colOff>720939</xdr:colOff>
      <xdr:row>78</xdr:row>
      <xdr:rowOff>114300</xdr:rowOff>
    </xdr:to>
    <xdr:sp macro="[0]!HideActiveSheet" textlink="">
      <xdr:nvSpPr>
        <xdr:cNvPr id="184398" name="Text 3"/>
        <xdr:cNvSpPr>
          <a:spLocks noChangeArrowheads="1"/>
        </xdr:cNvSpPr>
      </xdr:nvSpPr>
      <xdr:spPr bwMode="auto">
        <a:xfrm>
          <a:off x="24028400" y="11163300"/>
          <a:ext cx="1663700" cy="762000"/>
        </a:xfrm>
        <a:prstGeom prst="roundRect">
          <a:avLst>
            <a:gd name="adj" fmla="val 16667"/>
          </a:avLst>
        </a:prstGeom>
        <a:solidFill>
          <a:srgbClr xmlns:mc="http://schemas.openxmlformats.org/markup-compatibility/2006" xmlns:a14="http://schemas.microsoft.com/office/drawing/2010/main" val="FFFF00" mc:Ignorable="a14" a14:legacySpreadsheetColorIndex="13"/>
        </a:solidFill>
        <a:ln w="9525">
          <a:solidFill>
            <a:srgbClr xmlns:mc="http://schemas.openxmlformats.org/markup-compatibility/2006" xmlns:a14="http://schemas.microsoft.com/office/drawing/2010/main" val="000000" mc:Ignorable="a14" a14:legacySpreadsheetColorIndex="64"/>
          </a:solidFill>
          <a:round/>
          <a:headEnd/>
          <a:tailEnd/>
        </a:ln>
        <a:effectLst>
          <a:outerShdw blurRad="63500" dist="38099" dir="2700000" algn="ctr" rotWithShape="0">
            <a:srgbClr val="000000">
              <a:alpha val="74997"/>
            </a:srgbClr>
          </a:outerShdw>
        </a:effectLst>
        <a:extLst>
          <a:ext uri="{53640926-AAD7-44D8-BBD7-CCE9431645EC}">
            <a14:shadowObscured xmlns:a14="http://schemas.microsoft.com/office/drawing/2010/main" val="1"/>
          </a:ext>
        </a:extLst>
      </xdr:spPr>
      <xdr:txBody>
        <a:bodyPr vertOverflow="clip" wrap="square" lIns="27432" tIns="18288" rIns="27432" bIns="18288" anchor="ctr" upright="1"/>
        <a:lstStyle/>
        <a:p>
          <a:pPr algn="ctr" rtl="0">
            <a:defRPr sz="1000"/>
          </a:pPr>
          <a:r>
            <a:rPr lang="nl-NL" sz="1400" b="1" i="0" u="none" strike="noStrike" baseline="0">
              <a:solidFill>
                <a:srgbClr val="0000FF"/>
              </a:solidFill>
              <a:latin typeface="Arial"/>
              <a:ea typeface="Arial"/>
              <a:cs typeface="Arial"/>
            </a:rPr>
            <a:t>GoTo Main Sheet</a:t>
          </a:r>
        </a:p>
      </xdr:txBody>
    </xdr:sp>
    <xdr:clientData fPrintsWithSheet="0"/>
  </xdr:twoCellAnchor>
  <xdr:twoCellAnchor>
    <xdr:from>
      <xdr:col>19</xdr:col>
      <xdr:colOff>38100</xdr:colOff>
      <xdr:row>79</xdr:row>
      <xdr:rowOff>114300</xdr:rowOff>
    </xdr:from>
    <xdr:to>
      <xdr:col>20</xdr:col>
      <xdr:colOff>682845</xdr:colOff>
      <xdr:row>82</xdr:row>
      <xdr:rowOff>38100</xdr:rowOff>
    </xdr:to>
    <xdr:sp macro="[0]!ShowSelectedCrewSheet" textlink="">
      <xdr:nvSpPr>
        <xdr:cNvPr id="184399" name="Text 2"/>
        <xdr:cNvSpPr>
          <a:spLocks noChangeArrowheads="1"/>
        </xdr:cNvSpPr>
      </xdr:nvSpPr>
      <xdr:spPr bwMode="auto">
        <a:xfrm>
          <a:off x="24028400" y="12115800"/>
          <a:ext cx="1625600" cy="495300"/>
        </a:xfrm>
        <a:prstGeom prst="roundRect">
          <a:avLst>
            <a:gd name="adj" fmla="val 16667"/>
          </a:avLst>
        </a:prstGeom>
        <a:solidFill>
          <a:srgbClr xmlns:mc="http://schemas.openxmlformats.org/markup-compatibility/2006" xmlns:a14="http://schemas.microsoft.com/office/drawing/2010/main" val="0000FF" mc:Ignorable="a14" a14:legacySpreadsheetColorIndex="12"/>
        </a:solidFill>
        <a:ln w="17145">
          <a:solidFill>
            <a:srgbClr xmlns:mc="http://schemas.openxmlformats.org/markup-compatibility/2006" xmlns:a14="http://schemas.microsoft.com/office/drawing/2010/main" val="000000" mc:Ignorable="a14" a14:legacySpreadsheetColorIndex="8"/>
          </a:solidFill>
          <a:round/>
          <a:headEnd/>
          <a:tailEnd/>
        </a:ln>
        <a:effectLst>
          <a:outerShdw blurRad="63500" dist="38099" dir="2700000" algn="ctr" rotWithShape="0">
            <a:srgbClr val="000000">
              <a:alpha val="74997"/>
            </a:srgbClr>
          </a:outerShdw>
        </a:effectLst>
        <a:extLst>
          <a:ext uri="{53640926-AAD7-44D8-BBD7-CCE9431645EC}">
            <a14:shadowObscured xmlns:a14="http://schemas.microsoft.com/office/drawing/2010/main" val="1"/>
          </a:ext>
        </a:extLst>
      </xdr:spPr>
      <xdr:txBody>
        <a:bodyPr vertOverflow="clip" wrap="square" lIns="27432" tIns="18288" rIns="27432" bIns="18288" anchor="ctr" upright="1"/>
        <a:lstStyle/>
        <a:p>
          <a:pPr algn="ctr" rtl="0">
            <a:defRPr sz="1000"/>
          </a:pPr>
          <a:r>
            <a:rPr lang="en-US" sz="1400" b="1" i="0" u="none" strike="noStrike" baseline="0">
              <a:solidFill>
                <a:srgbClr val="FFFFFF"/>
              </a:solidFill>
              <a:latin typeface="Arial"/>
              <a:ea typeface="Arial"/>
              <a:cs typeface="Arial"/>
            </a:rPr>
            <a:t>Do Another Crew</a:t>
          </a:r>
        </a:p>
      </xdr:txBody>
    </xdr:sp>
    <xdr:clientData fPrintsWithSheet="0"/>
  </xdr:twoCellAnchor>
  <xdr:twoCellAnchor>
    <xdr:from>
      <xdr:col>19</xdr:col>
      <xdr:colOff>38100</xdr:colOff>
      <xdr:row>1</xdr:row>
      <xdr:rowOff>63500</xdr:rowOff>
    </xdr:from>
    <xdr:to>
      <xdr:col>23</xdr:col>
      <xdr:colOff>0</xdr:colOff>
      <xdr:row>3</xdr:row>
      <xdr:rowOff>38100</xdr:rowOff>
    </xdr:to>
    <xdr:sp macro="[0]!HideActiveSheet" textlink="">
      <xdr:nvSpPr>
        <xdr:cNvPr id="184400" name="Text 3"/>
        <xdr:cNvSpPr>
          <a:spLocks noChangeArrowheads="1"/>
        </xdr:cNvSpPr>
      </xdr:nvSpPr>
      <xdr:spPr bwMode="auto">
        <a:xfrm>
          <a:off x="24028400" y="215900"/>
          <a:ext cx="2959100" cy="393700"/>
        </a:xfrm>
        <a:prstGeom prst="roundRect">
          <a:avLst>
            <a:gd name="adj" fmla="val 16667"/>
          </a:avLst>
        </a:prstGeom>
        <a:solidFill>
          <a:srgbClr xmlns:mc="http://schemas.openxmlformats.org/markup-compatibility/2006" xmlns:a14="http://schemas.microsoft.com/office/drawing/2010/main" val="FFFF00" mc:Ignorable="a14" a14:legacySpreadsheetColorIndex="13"/>
        </a:solidFill>
        <a:ln w="9525">
          <a:solidFill>
            <a:srgbClr xmlns:mc="http://schemas.openxmlformats.org/markup-compatibility/2006" xmlns:a14="http://schemas.microsoft.com/office/drawing/2010/main" val="000000" mc:Ignorable="a14" a14:legacySpreadsheetColorIndex="64"/>
          </a:solidFill>
          <a:round/>
          <a:headEnd/>
          <a:tailEnd/>
        </a:ln>
        <a:effectLst>
          <a:outerShdw blurRad="63500" dist="38099" dir="2700000" algn="ctr" rotWithShape="0">
            <a:srgbClr val="000000">
              <a:alpha val="74997"/>
            </a:srgbClr>
          </a:outerShdw>
        </a:effectLst>
        <a:extLst>
          <a:ext uri="{53640926-AAD7-44D8-BBD7-CCE9431645EC}">
            <a14:shadowObscured xmlns:a14="http://schemas.microsoft.com/office/drawing/2010/main" val="1"/>
          </a:ext>
        </a:extLst>
      </xdr:spPr>
      <xdr:txBody>
        <a:bodyPr vertOverflow="clip" wrap="square" lIns="27432" tIns="22860" rIns="27432" bIns="22860" anchor="ctr" upright="1"/>
        <a:lstStyle/>
        <a:p>
          <a:pPr algn="ctr" rtl="0">
            <a:defRPr sz="1000"/>
          </a:pPr>
          <a:r>
            <a:rPr lang="nl-NL" sz="1400" b="1" i="0" u="none" strike="noStrike" baseline="0">
              <a:solidFill>
                <a:srgbClr val="0000FF"/>
              </a:solidFill>
              <a:latin typeface="Arial"/>
              <a:ea typeface="Arial"/>
              <a:cs typeface="Arial"/>
            </a:rPr>
            <a:t>GoTo Main Sheet</a:t>
          </a:r>
        </a:p>
      </xdr:txBody>
    </xdr:sp>
    <xdr:clientData fPrintsWithSheet="0"/>
  </xdr:twoCellAnchor>
  <xdr:twoCellAnchor>
    <xdr:from>
      <xdr:col>19</xdr:col>
      <xdr:colOff>38100</xdr:colOff>
      <xdr:row>7</xdr:row>
      <xdr:rowOff>114300</xdr:rowOff>
    </xdr:from>
    <xdr:to>
      <xdr:col>23</xdr:col>
      <xdr:colOff>0</xdr:colOff>
      <xdr:row>9</xdr:row>
      <xdr:rowOff>127000</xdr:rowOff>
    </xdr:to>
    <xdr:sp macro="[0]!ShowSelectedCrewSheet" textlink="">
      <xdr:nvSpPr>
        <xdr:cNvPr id="184401" name="Text 2"/>
        <xdr:cNvSpPr>
          <a:spLocks noChangeArrowheads="1"/>
        </xdr:cNvSpPr>
      </xdr:nvSpPr>
      <xdr:spPr bwMode="auto">
        <a:xfrm>
          <a:off x="24028400" y="1447800"/>
          <a:ext cx="2959100" cy="393700"/>
        </a:xfrm>
        <a:prstGeom prst="roundRect">
          <a:avLst>
            <a:gd name="adj" fmla="val 16667"/>
          </a:avLst>
        </a:prstGeom>
        <a:solidFill>
          <a:srgbClr xmlns:mc="http://schemas.openxmlformats.org/markup-compatibility/2006" xmlns:a14="http://schemas.microsoft.com/office/drawing/2010/main" val="0000FF" mc:Ignorable="a14" a14:legacySpreadsheetColorIndex="12"/>
        </a:solidFill>
        <a:ln w="17145">
          <a:solidFill>
            <a:srgbClr xmlns:mc="http://schemas.openxmlformats.org/markup-compatibility/2006" xmlns:a14="http://schemas.microsoft.com/office/drawing/2010/main" val="000000" mc:Ignorable="a14" a14:legacySpreadsheetColorIndex="8"/>
          </a:solidFill>
          <a:round/>
          <a:headEnd/>
          <a:tailEnd/>
        </a:ln>
        <a:effectLst>
          <a:outerShdw blurRad="63500" dist="38099" dir="2700000" algn="ctr" rotWithShape="0">
            <a:srgbClr val="000000">
              <a:alpha val="74997"/>
            </a:srgbClr>
          </a:outerShdw>
        </a:effectLst>
        <a:extLst>
          <a:ext uri="{53640926-AAD7-44D8-BBD7-CCE9431645EC}">
            <a14:shadowObscured xmlns:a14="http://schemas.microsoft.com/office/drawing/2010/main" val="1"/>
          </a:ext>
        </a:extLst>
      </xdr:spPr>
      <xdr:txBody>
        <a:bodyPr vertOverflow="clip" wrap="square" lIns="27432" tIns="22860" rIns="27432" bIns="22860" anchor="ctr" upright="1"/>
        <a:lstStyle/>
        <a:p>
          <a:pPr algn="ctr" rtl="0">
            <a:defRPr sz="1000"/>
          </a:pPr>
          <a:r>
            <a:rPr lang="en-US" sz="1400" b="1" i="0" u="none" strike="noStrike" baseline="0">
              <a:solidFill>
                <a:srgbClr val="FFFFFF"/>
              </a:solidFill>
              <a:latin typeface="Arial"/>
              <a:ea typeface="Arial"/>
              <a:cs typeface="Arial"/>
            </a:rPr>
            <a:t>Do Another Crew</a:t>
          </a:r>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xdr:from>
      <xdr:col>59</xdr:col>
      <xdr:colOff>219075</xdr:colOff>
      <xdr:row>10</xdr:row>
      <xdr:rowOff>142875</xdr:rowOff>
    </xdr:from>
    <xdr:to>
      <xdr:col>62</xdr:col>
      <xdr:colOff>542925</xdr:colOff>
      <xdr:row>13</xdr:row>
      <xdr:rowOff>200025</xdr:rowOff>
    </xdr:to>
    <xdr:sp macro="" textlink="">
      <xdr:nvSpPr>
        <xdr:cNvPr id="188002" name="Text 1"/>
        <xdr:cNvSpPr txBox="1">
          <a:spLocks noChangeArrowheads="1"/>
        </xdr:cNvSpPr>
      </xdr:nvSpPr>
      <xdr:spPr bwMode="auto">
        <a:xfrm>
          <a:off x="48406050" y="2286000"/>
          <a:ext cx="2609850" cy="26670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8</xdr:col>
      <xdr:colOff>295275</xdr:colOff>
      <xdr:row>10</xdr:row>
      <xdr:rowOff>0</xdr:rowOff>
    </xdr:from>
    <xdr:to>
      <xdr:col>9</xdr:col>
      <xdr:colOff>1000125</xdr:colOff>
      <xdr:row>12</xdr:row>
      <xdr:rowOff>228600</xdr:rowOff>
    </xdr:to>
    <xdr:sp macro="[0]!ShowSelectedCrewSheet" textlink="">
      <xdr:nvSpPr>
        <xdr:cNvPr id="187993" name="Text 2"/>
        <xdr:cNvSpPr>
          <a:spLocks noChangeArrowheads="1"/>
        </xdr:cNvSpPr>
      </xdr:nvSpPr>
      <xdr:spPr bwMode="auto">
        <a:xfrm>
          <a:off x="11153775" y="2143125"/>
          <a:ext cx="1257300" cy="409575"/>
        </a:xfrm>
        <a:prstGeom prst="roundRect">
          <a:avLst>
            <a:gd name="adj" fmla="val 16667"/>
          </a:avLst>
        </a:prstGeom>
        <a:solidFill>
          <a:srgbClr xmlns:mc="http://schemas.openxmlformats.org/markup-compatibility/2006" xmlns:a14="http://schemas.microsoft.com/office/drawing/2010/main" val="0000FF" mc:Ignorable="a14" a14:legacySpreadsheetColorIndex="12"/>
        </a:solidFill>
        <a:ln w="17145">
          <a:solidFill>
            <a:srgbClr xmlns:mc="http://schemas.openxmlformats.org/markup-compatibility/2006" xmlns:a14="http://schemas.microsoft.com/office/drawing/2010/main" val="000000" mc:Ignorable="a14" a14:legacySpreadsheetColorIndex="8"/>
          </a:solidFill>
          <a:round/>
          <a:headEnd/>
          <a:tailEnd/>
        </a:ln>
        <a:effectLst>
          <a:outerShdw blurRad="63500" dist="38099" dir="2700000" algn="ctr" rotWithShape="0">
            <a:srgbClr val="000000">
              <a:alpha val="74997"/>
            </a:srgbClr>
          </a:outerShdw>
        </a:effectLst>
        <a:extLst>
          <a:ext uri="{53640926-AAD7-44D8-BBD7-CCE9431645EC}">
            <a14:shadowObscured xmlns:a14="http://schemas.microsoft.com/office/drawing/2010/main" val="1"/>
          </a:ext>
        </a:extLst>
      </xdr:spPr>
      <xdr:txBody>
        <a:bodyPr vertOverflow="clip" wrap="square" lIns="36576" tIns="27432" rIns="36576" bIns="27432" anchor="ctr" upright="1"/>
        <a:lstStyle/>
        <a:p>
          <a:pPr algn="ctr" rtl="0">
            <a:defRPr sz="1000"/>
          </a:pPr>
          <a:r>
            <a:rPr lang="en-US" sz="1400" b="1" i="0" u="none" strike="noStrike" baseline="0">
              <a:solidFill>
                <a:srgbClr val="FFFFFF"/>
              </a:solidFill>
              <a:latin typeface="Arial"/>
              <a:cs typeface="Arial"/>
            </a:rPr>
            <a:t>Do Another Crew</a:t>
          </a:r>
        </a:p>
      </xdr:txBody>
    </xdr:sp>
    <xdr:clientData fPrintsWithSheet="0"/>
  </xdr:twoCellAnchor>
  <xdr:twoCellAnchor>
    <xdr:from>
      <xdr:col>8</xdr:col>
      <xdr:colOff>228600</xdr:colOff>
      <xdr:row>6</xdr:row>
      <xdr:rowOff>0</xdr:rowOff>
    </xdr:from>
    <xdr:to>
      <xdr:col>9</xdr:col>
      <xdr:colOff>1015912</xdr:colOff>
      <xdr:row>8</xdr:row>
      <xdr:rowOff>190500</xdr:rowOff>
    </xdr:to>
    <xdr:sp macro="[0]!HideActiveSheet" textlink="">
      <xdr:nvSpPr>
        <xdr:cNvPr id="182848" name="Text 3"/>
        <xdr:cNvSpPr>
          <a:spLocks noChangeArrowheads="1"/>
        </xdr:cNvSpPr>
      </xdr:nvSpPr>
      <xdr:spPr bwMode="auto">
        <a:xfrm>
          <a:off x="12649200" y="1155700"/>
          <a:ext cx="1536700" cy="698500"/>
        </a:xfrm>
        <a:prstGeom prst="roundRect">
          <a:avLst>
            <a:gd name="adj" fmla="val 16667"/>
          </a:avLst>
        </a:prstGeom>
        <a:solidFill>
          <a:srgbClr xmlns:mc="http://schemas.openxmlformats.org/markup-compatibility/2006" xmlns:a14="http://schemas.microsoft.com/office/drawing/2010/main" val="FFFF00" mc:Ignorable="a14" a14:legacySpreadsheetColorIndex="13"/>
        </a:solidFill>
        <a:ln w="9525">
          <a:solidFill>
            <a:srgbClr xmlns:mc="http://schemas.openxmlformats.org/markup-compatibility/2006" xmlns:a14="http://schemas.microsoft.com/office/drawing/2010/main" val="000000" mc:Ignorable="a14" a14:legacySpreadsheetColorIndex="64"/>
          </a:solidFill>
          <a:round/>
          <a:headEnd/>
          <a:tailEnd/>
        </a:ln>
        <a:effectLst>
          <a:outerShdw blurRad="63500" dist="38099" dir="2700000" algn="ctr" rotWithShape="0">
            <a:srgbClr val="000000">
              <a:alpha val="74997"/>
            </a:srgbClr>
          </a:outerShdw>
        </a:effectLst>
        <a:extLst>
          <a:ext uri="{53640926-AAD7-44D8-BBD7-CCE9431645EC}">
            <a14:shadowObscured xmlns:a14="http://schemas.microsoft.com/office/drawing/2010/main" val="1"/>
          </a:ext>
        </a:extLst>
      </xdr:spPr>
      <xdr:txBody>
        <a:bodyPr vertOverflow="clip" wrap="square" lIns="36576" tIns="27432" rIns="36576" bIns="27432" anchor="ctr" upright="1"/>
        <a:lstStyle/>
        <a:p>
          <a:pPr algn="ctr" rtl="0">
            <a:defRPr sz="1000"/>
          </a:pPr>
          <a:r>
            <a:rPr lang="nl-NL" sz="1400" b="1" i="0" u="none" strike="noStrike" baseline="0">
              <a:solidFill>
                <a:srgbClr val="0000FF"/>
              </a:solidFill>
              <a:latin typeface="Arial"/>
              <a:ea typeface="Arial"/>
              <a:cs typeface="Arial"/>
            </a:rPr>
            <a:t>GoTo Main Sheet</a:t>
          </a:r>
        </a:p>
      </xdr:txBody>
    </xdr:sp>
    <xdr:clientData fPrintsWithSheet="0"/>
  </xdr:twoCellAnchor>
  <xdr:twoCellAnchor>
    <xdr:from>
      <xdr:col>23</xdr:col>
      <xdr:colOff>266700</xdr:colOff>
      <xdr:row>36</xdr:row>
      <xdr:rowOff>50800</xdr:rowOff>
    </xdr:from>
    <xdr:to>
      <xdr:col>24</xdr:col>
      <xdr:colOff>133302</xdr:colOff>
      <xdr:row>40</xdr:row>
      <xdr:rowOff>88900</xdr:rowOff>
    </xdr:to>
    <xdr:sp macro="[0]!HideActiveSheet" textlink="">
      <xdr:nvSpPr>
        <xdr:cNvPr id="182849" name="Text 3"/>
        <xdr:cNvSpPr>
          <a:spLocks noChangeArrowheads="1"/>
        </xdr:cNvSpPr>
      </xdr:nvSpPr>
      <xdr:spPr bwMode="auto">
        <a:xfrm>
          <a:off x="26098500" y="6794500"/>
          <a:ext cx="1435100" cy="1054100"/>
        </a:xfrm>
        <a:prstGeom prst="roundRect">
          <a:avLst>
            <a:gd name="adj" fmla="val 16667"/>
          </a:avLst>
        </a:prstGeom>
        <a:solidFill>
          <a:srgbClr xmlns:mc="http://schemas.openxmlformats.org/markup-compatibility/2006" xmlns:a14="http://schemas.microsoft.com/office/drawing/2010/main" val="FFFF00" mc:Ignorable="a14" a14:legacySpreadsheetColorIndex="13"/>
        </a:solidFill>
        <a:ln w="9525">
          <a:solidFill>
            <a:srgbClr xmlns:mc="http://schemas.openxmlformats.org/markup-compatibility/2006" xmlns:a14="http://schemas.microsoft.com/office/drawing/2010/main" val="000000" mc:Ignorable="a14" a14:legacySpreadsheetColorIndex="64"/>
          </a:solidFill>
          <a:round/>
          <a:headEnd/>
          <a:tailEnd/>
        </a:ln>
        <a:effectLst>
          <a:outerShdw blurRad="63500" dist="38099" dir="2700000" algn="ctr" rotWithShape="0">
            <a:srgbClr val="000000">
              <a:alpha val="74997"/>
            </a:srgbClr>
          </a:outerShdw>
        </a:effectLst>
        <a:extLst>
          <a:ext uri="{53640926-AAD7-44D8-BBD7-CCE9431645EC}">
            <a14:shadowObscured xmlns:a14="http://schemas.microsoft.com/office/drawing/2010/main" val="1"/>
          </a:ext>
        </a:extLst>
      </xdr:spPr>
      <xdr:txBody>
        <a:bodyPr vertOverflow="clip" wrap="square" lIns="27432" tIns="18288" rIns="27432" bIns="18288" anchor="ctr" upright="1"/>
        <a:lstStyle/>
        <a:p>
          <a:pPr algn="ctr" rtl="0">
            <a:defRPr sz="1000"/>
          </a:pPr>
          <a:r>
            <a:rPr lang="nl-NL" sz="1400" b="1" i="0" u="none" strike="noStrike" baseline="0">
              <a:solidFill>
                <a:srgbClr val="0000FF"/>
              </a:solidFill>
              <a:latin typeface="Arial"/>
              <a:ea typeface="Arial"/>
              <a:cs typeface="Arial"/>
            </a:rPr>
            <a:t>GoTo Main Sheet</a:t>
          </a:r>
        </a:p>
      </xdr:txBody>
    </xdr:sp>
    <xdr:clientData fPrintsWithSheet="0"/>
  </xdr:twoCellAnchor>
  <xdr:twoCellAnchor>
    <xdr:from>
      <xdr:col>25</xdr:col>
      <xdr:colOff>38100</xdr:colOff>
      <xdr:row>36</xdr:row>
      <xdr:rowOff>0</xdr:rowOff>
    </xdr:from>
    <xdr:to>
      <xdr:col>26</xdr:col>
      <xdr:colOff>612679</xdr:colOff>
      <xdr:row>40</xdr:row>
      <xdr:rowOff>152400</xdr:rowOff>
    </xdr:to>
    <xdr:sp macro="[0]!ShowSelectedCrewSheet" textlink="">
      <xdr:nvSpPr>
        <xdr:cNvPr id="182850" name="Text 2"/>
        <xdr:cNvSpPr>
          <a:spLocks noChangeArrowheads="1"/>
        </xdr:cNvSpPr>
      </xdr:nvSpPr>
      <xdr:spPr bwMode="auto">
        <a:xfrm>
          <a:off x="28155900" y="6743700"/>
          <a:ext cx="1397000" cy="1168400"/>
        </a:xfrm>
        <a:prstGeom prst="roundRect">
          <a:avLst>
            <a:gd name="adj" fmla="val 16667"/>
          </a:avLst>
        </a:prstGeom>
        <a:solidFill>
          <a:srgbClr xmlns:mc="http://schemas.openxmlformats.org/markup-compatibility/2006" xmlns:a14="http://schemas.microsoft.com/office/drawing/2010/main" val="0000FF" mc:Ignorable="a14" a14:legacySpreadsheetColorIndex="12"/>
        </a:solidFill>
        <a:ln w="17145">
          <a:solidFill>
            <a:srgbClr xmlns:mc="http://schemas.openxmlformats.org/markup-compatibility/2006" xmlns:a14="http://schemas.microsoft.com/office/drawing/2010/main" val="000000" mc:Ignorable="a14" a14:legacySpreadsheetColorIndex="8"/>
          </a:solidFill>
          <a:round/>
          <a:headEnd/>
          <a:tailEnd/>
        </a:ln>
        <a:effectLst>
          <a:outerShdw blurRad="63500" dist="38099" dir="2700000" algn="ctr" rotWithShape="0">
            <a:srgbClr val="000000">
              <a:alpha val="74997"/>
            </a:srgbClr>
          </a:outerShdw>
        </a:effectLst>
        <a:extLst>
          <a:ext uri="{53640926-AAD7-44D8-BBD7-CCE9431645EC}">
            <a14:shadowObscured xmlns:a14="http://schemas.microsoft.com/office/drawing/2010/main" val="1"/>
          </a:ext>
        </a:extLst>
      </xdr:spPr>
      <xdr:txBody>
        <a:bodyPr vertOverflow="clip" wrap="square" lIns="27432" tIns="18288" rIns="27432" bIns="18288" anchor="ctr" upright="1"/>
        <a:lstStyle/>
        <a:p>
          <a:pPr algn="ctr" rtl="0">
            <a:defRPr sz="1000"/>
          </a:pPr>
          <a:r>
            <a:rPr lang="en-US" sz="1400" b="1" i="0" u="none" strike="noStrike" baseline="0">
              <a:solidFill>
                <a:srgbClr val="FFFFFF"/>
              </a:solidFill>
              <a:latin typeface="Arial"/>
              <a:ea typeface="Arial"/>
              <a:cs typeface="Arial"/>
            </a:rPr>
            <a:t>Do Another Crew</a:t>
          </a:r>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xdr:from>
      <xdr:col>40</xdr:col>
      <xdr:colOff>371475</xdr:colOff>
      <xdr:row>5</xdr:row>
      <xdr:rowOff>85725</xdr:rowOff>
    </xdr:from>
    <xdr:to>
      <xdr:col>43</xdr:col>
      <xdr:colOff>276225</xdr:colOff>
      <xdr:row>10</xdr:row>
      <xdr:rowOff>28575</xdr:rowOff>
    </xdr:to>
    <xdr:sp macro="" textlink="">
      <xdr:nvSpPr>
        <xdr:cNvPr id="186995" name="Text 1"/>
        <xdr:cNvSpPr txBox="1">
          <a:spLocks noChangeArrowheads="1"/>
        </xdr:cNvSpPr>
      </xdr:nvSpPr>
      <xdr:spPr bwMode="auto">
        <a:xfrm>
          <a:off x="32146875" y="942975"/>
          <a:ext cx="1447800" cy="80010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8</xdr:col>
      <xdr:colOff>228600</xdr:colOff>
      <xdr:row>6</xdr:row>
      <xdr:rowOff>0</xdr:rowOff>
    </xdr:from>
    <xdr:to>
      <xdr:col>9</xdr:col>
      <xdr:colOff>1041020</xdr:colOff>
      <xdr:row>10</xdr:row>
      <xdr:rowOff>0</xdr:rowOff>
    </xdr:to>
    <xdr:sp macro="[0]!ShowSelectedCrewSheet" textlink="">
      <xdr:nvSpPr>
        <xdr:cNvPr id="179792" name="Text 2"/>
        <xdr:cNvSpPr>
          <a:spLocks noChangeArrowheads="1"/>
        </xdr:cNvSpPr>
      </xdr:nvSpPr>
      <xdr:spPr bwMode="auto">
        <a:xfrm>
          <a:off x="12865100" y="1066800"/>
          <a:ext cx="1562100" cy="711200"/>
        </a:xfrm>
        <a:prstGeom prst="roundRect">
          <a:avLst>
            <a:gd name="adj" fmla="val 16667"/>
          </a:avLst>
        </a:prstGeom>
        <a:solidFill>
          <a:srgbClr xmlns:mc="http://schemas.openxmlformats.org/markup-compatibility/2006" xmlns:a14="http://schemas.microsoft.com/office/drawing/2010/main" val="0000FF" mc:Ignorable="a14" a14:legacySpreadsheetColorIndex="12"/>
        </a:solidFill>
        <a:ln w="17145">
          <a:solidFill>
            <a:srgbClr xmlns:mc="http://schemas.openxmlformats.org/markup-compatibility/2006" xmlns:a14="http://schemas.microsoft.com/office/drawing/2010/main" val="000000" mc:Ignorable="a14" a14:legacySpreadsheetColorIndex="8"/>
          </a:solidFill>
          <a:round/>
          <a:headEnd/>
          <a:tailEnd/>
        </a:ln>
        <a:effectLst>
          <a:outerShdw blurRad="63500" dist="38099" dir="2700000" algn="ctr" rotWithShape="0">
            <a:srgbClr val="000000">
              <a:alpha val="74997"/>
            </a:srgbClr>
          </a:outerShdw>
        </a:effectLst>
        <a:extLst>
          <a:ext uri="{53640926-AAD7-44D8-BBD7-CCE9431645EC}">
            <a14:shadowObscured xmlns:a14="http://schemas.microsoft.com/office/drawing/2010/main" val="1"/>
          </a:ext>
        </a:extLst>
      </xdr:spPr>
      <xdr:txBody>
        <a:bodyPr vertOverflow="clip" wrap="square" lIns="27432" tIns="22860" rIns="27432" bIns="22860" anchor="ctr" upright="1"/>
        <a:lstStyle/>
        <a:p>
          <a:pPr algn="ctr" rtl="0">
            <a:defRPr sz="1000"/>
          </a:pPr>
          <a:r>
            <a:rPr lang="en-US" sz="1400" b="1" i="0" u="none" strike="noStrike" baseline="0">
              <a:solidFill>
                <a:srgbClr val="FFFFFF"/>
              </a:solidFill>
              <a:latin typeface="Arial"/>
              <a:ea typeface="Arial"/>
              <a:cs typeface="Arial"/>
            </a:rPr>
            <a:t>Do Another Crew</a:t>
          </a:r>
        </a:p>
      </xdr:txBody>
    </xdr:sp>
    <xdr:clientData fPrintsWithSheet="0"/>
  </xdr:twoCellAnchor>
  <xdr:twoCellAnchor>
    <xdr:from>
      <xdr:col>8</xdr:col>
      <xdr:colOff>184150</xdr:colOff>
      <xdr:row>0</xdr:row>
      <xdr:rowOff>25400</xdr:rowOff>
    </xdr:from>
    <xdr:to>
      <xdr:col>9</xdr:col>
      <xdr:colOff>1066922</xdr:colOff>
      <xdr:row>4</xdr:row>
      <xdr:rowOff>88900</xdr:rowOff>
    </xdr:to>
    <xdr:sp macro="[0]!HideActiveSheet" textlink="">
      <xdr:nvSpPr>
        <xdr:cNvPr id="179793" name="Text 3"/>
        <xdr:cNvSpPr>
          <a:spLocks noChangeArrowheads="1"/>
        </xdr:cNvSpPr>
      </xdr:nvSpPr>
      <xdr:spPr bwMode="auto">
        <a:xfrm>
          <a:off x="12801600" y="25400"/>
          <a:ext cx="1651000" cy="774700"/>
        </a:xfrm>
        <a:prstGeom prst="roundRect">
          <a:avLst>
            <a:gd name="adj" fmla="val 16667"/>
          </a:avLst>
        </a:prstGeom>
        <a:solidFill>
          <a:srgbClr xmlns:mc="http://schemas.openxmlformats.org/markup-compatibility/2006" xmlns:a14="http://schemas.microsoft.com/office/drawing/2010/main" val="FFFF00" mc:Ignorable="a14" a14:legacySpreadsheetColorIndex="13"/>
        </a:solidFill>
        <a:ln w="9525">
          <a:solidFill>
            <a:srgbClr xmlns:mc="http://schemas.openxmlformats.org/markup-compatibility/2006" xmlns:a14="http://schemas.microsoft.com/office/drawing/2010/main" val="000000" mc:Ignorable="a14" a14:legacySpreadsheetColorIndex="64"/>
          </a:solidFill>
          <a:round/>
          <a:headEnd/>
          <a:tailEnd/>
        </a:ln>
        <a:effectLst>
          <a:outerShdw blurRad="63500" dist="38099" dir="2700000" algn="ctr" rotWithShape="0">
            <a:srgbClr val="000000">
              <a:alpha val="74997"/>
            </a:srgbClr>
          </a:outerShdw>
        </a:effectLst>
        <a:extLst>
          <a:ext uri="{53640926-AAD7-44D8-BBD7-CCE9431645EC}">
            <a14:shadowObscured xmlns:a14="http://schemas.microsoft.com/office/drawing/2010/main" val="1"/>
          </a:ext>
        </a:extLst>
      </xdr:spPr>
      <xdr:txBody>
        <a:bodyPr vertOverflow="clip" wrap="square" lIns="27432" tIns="22860" rIns="27432" bIns="22860" anchor="ctr" upright="1"/>
        <a:lstStyle/>
        <a:p>
          <a:pPr algn="ctr" rtl="0">
            <a:defRPr sz="1000"/>
          </a:pPr>
          <a:r>
            <a:rPr lang="nl-NL" sz="1400" b="1" i="0" u="none" strike="noStrike" baseline="0">
              <a:solidFill>
                <a:srgbClr val="0000FF"/>
              </a:solidFill>
              <a:latin typeface="Arial"/>
              <a:ea typeface="Arial"/>
              <a:cs typeface="Arial"/>
            </a:rPr>
            <a:t>GoTo Main Sheet</a:t>
          </a:r>
        </a:p>
      </xdr:txBody>
    </xdr:sp>
    <xdr:clientData fPrintsWithSheet="0"/>
  </xdr:twoCellAnchor>
  <xdr:twoCellAnchor>
    <xdr:from>
      <xdr:col>20</xdr:col>
      <xdr:colOff>0</xdr:colOff>
      <xdr:row>82</xdr:row>
      <xdr:rowOff>0</xdr:rowOff>
    </xdr:from>
    <xdr:to>
      <xdr:col>22</xdr:col>
      <xdr:colOff>333287</xdr:colOff>
      <xdr:row>99</xdr:row>
      <xdr:rowOff>152400</xdr:rowOff>
    </xdr:to>
    <xdr:sp macro="[0]!HideActiveSheet" textlink="">
      <xdr:nvSpPr>
        <xdr:cNvPr id="179794" name="Text 3"/>
        <xdr:cNvSpPr>
          <a:spLocks noChangeArrowheads="1"/>
        </xdr:cNvSpPr>
      </xdr:nvSpPr>
      <xdr:spPr bwMode="auto">
        <a:xfrm>
          <a:off x="23177500" y="12077700"/>
          <a:ext cx="1562100" cy="368300"/>
        </a:xfrm>
        <a:prstGeom prst="roundRect">
          <a:avLst>
            <a:gd name="adj" fmla="val 16667"/>
          </a:avLst>
        </a:prstGeom>
        <a:solidFill>
          <a:srgbClr xmlns:mc="http://schemas.openxmlformats.org/markup-compatibility/2006" xmlns:a14="http://schemas.microsoft.com/office/drawing/2010/main" val="FFFF00" mc:Ignorable="a14" a14:legacySpreadsheetColorIndex="13"/>
        </a:solidFill>
        <a:ln w="9525">
          <a:solidFill>
            <a:srgbClr xmlns:mc="http://schemas.openxmlformats.org/markup-compatibility/2006" xmlns:a14="http://schemas.microsoft.com/office/drawing/2010/main" val="000000" mc:Ignorable="a14" a14:legacySpreadsheetColorIndex="64"/>
          </a:solidFill>
          <a:round/>
          <a:headEnd/>
          <a:tailEnd/>
        </a:ln>
        <a:effectLst>
          <a:outerShdw blurRad="63500" dist="38099" dir="2700000" algn="ctr" rotWithShape="0">
            <a:srgbClr val="000000">
              <a:alpha val="74997"/>
            </a:srgbClr>
          </a:outerShdw>
        </a:effectLst>
        <a:extLst>
          <a:ext uri="{53640926-AAD7-44D8-BBD7-CCE9431645EC}">
            <a14:shadowObscured xmlns:a14="http://schemas.microsoft.com/office/drawing/2010/main" val="1"/>
          </a:ext>
        </a:extLst>
      </xdr:spPr>
      <xdr:txBody>
        <a:bodyPr vertOverflow="clip" wrap="square" lIns="27432" tIns="22860" rIns="27432" bIns="22860" anchor="ctr" upright="1"/>
        <a:lstStyle/>
        <a:p>
          <a:pPr algn="ctr" rtl="0">
            <a:defRPr sz="1000"/>
          </a:pPr>
          <a:r>
            <a:rPr lang="nl-NL" sz="1400" b="1" i="0" u="none" strike="noStrike" baseline="0">
              <a:solidFill>
                <a:srgbClr val="0000FF"/>
              </a:solidFill>
              <a:latin typeface="Arial"/>
              <a:ea typeface="Arial"/>
              <a:cs typeface="Arial"/>
            </a:rPr>
            <a:t>GoTo Main Sheet</a:t>
          </a:r>
        </a:p>
      </xdr:txBody>
    </xdr:sp>
    <xdr:clientData fPrintsWithSheet="0"/>
  </xdr:twoCellAnchor>
  <xdr:twoCellAnchor>
    <xdr:from>
      <xdr:col>20</xdr:col>
      <xdr:colOff>0</xdr:colOff>
      <xdr:row>100</xdr:row>
      <xdr:rowOff>25400</xdr:rowOff>
    </xdr:from>
    <xdr:to>
      <xdr:col>22</xdr:col>
      <xdr:colOff>371389</xdr:colOff>
      <xdr:row>103</xdr:row>
      <xdr:rowOff>76200</xdr:rowOff>
    </xdr:to>
    <xdr:sp macro="[0]!ShowSelectedCrewSheet" textlink="">
      <xdr:nvSpPr>
        <xdr:cNvPr id="179795" name="Text 2"/>
        <xdr:cNvSpPr>
          <a:spLocks noChangeArrowheads="1"/>
        </xdr:cNvSpPr>
      </xdr:nvSpPr>
      <xdr:spPr bwMode="auto">
        <a:xfrm>
          <a:off x="23177500" y="12534900"/>
          <a:ext cx="1600200" cy="736600"/>
        </a:xfrm>
        <a:prstGeom prst="roundRect">
          <a:avLst>
            <a:gd name="adj" fmla="val 16667"/>
          </a:avLst>
        </a:prstGeom>
        <a:solidFill>
          <a:srgbClr xmlns:mc="http://schemas.openxmlformats.org/markup-compatibility/2006" xmlns:a14="http://schemas.microsoft.com/office/drawing/2010/main" val="0000FF" mc:Ignorable="a14" a14:legacySpreadsheetColorIndex="12"/>
        </a:solidFill>
        <a:ln w="17145">
          <a:solidFill>
            <a:srgbClr xmlns:mc="http://schemas.openxmlformats.org/markup-compatibility/2006" xmlns:a14="http://schemas.microsoft.com/office/drawing/2010/main" val="000000" mc:Ignorable="a14" a14:legacySpreadsheetColorIndex="8"/>
          </a:solidFill>
          <a:round/>
          <a:headEnd/>
          <a:tailEnd/>
        </a:ln>
        <a:effectLst>
          <a:outerShdw blurRad="63500" dist="38099" dir="2700000" algn="ctr" rotWithShape="0">
            <a:srgbClr val="000000">
              <a:alpha val="74997"/>
            </a:srgbClr>
          </a:outerShdw>
        </a:effectLst>
        <a:extLst>
          <a:ext uri="{53640926-AAD7-44D8-BBD7-CCE9431645EC}">
            <a14:shadowObscured xmlns:a14="http://schemas.microsoft.com/office/drawing/2010/main" val="1"/>
          </a:ext>
        </a:extLst>
      </xdr:spPr>
      <xdr:txBody>
        <a:bodyPr vertOverflow="clip" wrap="square" lIns="27432" tIns="22860" rIns="27432" bIns="22860" anchor="ctr" upright="1"/>
        <a:lstStyle/>
        <a:p>
          <a:pPr algn="ctr" rtl="0">
            <a:defRPr sz="1000"/>
          </a:pPr>
          <a:r>
            <a:rPr lang="en-US" sz="1400" b="1" i="0" u="none" strike="noStrike" baseline="0">
              <a:solidFill>
                <a:srgbClr val="FFFFFF"/>
              </a:solidFill>
              <a:latin typeface="Arial"/>
              <a:ea typeface="Arial"/>
              <a:cs typeface="Arial"/>
            </a:rPr>
            <a:t>Do Another Crew</a:t>
          </a:r>
        </a:p>
      </xdr:txBody>
    </xdr:sp>
    <xdr:clientData fPrintsWithSheet="0"/>
  </xdr:twoCellAnchor>
</xdr:wsDr>
</file>

<file path=xl/drawings/drawing5.xml><?xml version="1.0" encoding="utf-8"?>
<xdr:wsDr xmlns:xdr="http://schemas.openxmlformats.org/drawingml/2006/spreadsheetDrawing" xmlns:a="http://schemas.openxmlformats.org/drawingml/2006/main">
  <xdr:twoCellAnchor>
    <xdr:from>
      <xdr:col>44</xdr:col>
      <xdr:colOff>266700</xdr:colOff>
      <xdr:row>5</xdr:row>
      <xdr:rowOff>66675</xdr:rowOff>
    </xdr:from>
    <xdr:to>
      <xdr:col>47</xdr:col>
      <xdr:colOff>180975</xdr:colOff>
      <xdr:row>10</xdr:row>
      <xdr:rowOff>9525</xdr:rowOff>
    </xdr:to>
    <xdr:sp macro="" textlink="">
      <xdr:nvSpPr>
        <xdr:cNvPr id="186009" name="Text 1"/>
        <xdr:cNvSpPr txBox="1">
          <a:spLocks noChangeArrowheads="1"/>
        </xdr:cNvSpPr>
      </xdr:nvSpPr>
      <xdr:spPr bwMode="auto">
        <a:xfrm>
          <a:off x="35690175" y="1019175"/>
          <a:ext cx="1657350" cy="97155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9</xdr:col>
      <xdr:colOff>295275</xdr:colOff>
      <xdr:row>5</xdr:row>
      <xdr:rowOff>25400</xdr:rowOff>
    </xdr:from>
    <xdr:to>
      <xdr:col>11</xdr:col>
      <xdr:colOff>28489</xdr:colOff>
      <xdr:row>13</xdr:row>
      <xdr:rowOff>0</xdr:rowOff>
    </xdr:to>
    <xdr:sp macro="[0]!ShowSelectedCrewSheet" textlink="">
      <xdr:nvSpPr>
        <xdr:cNvPr id="178806" name="Text 2"/>
        <xdr:cNvSpPr>
          <a:spLocks noChangeArrowheads="1"/>
        </xdr:cNvSpPr>
      </xdr:nvSpPr>
      <xdr:spPr bwMode="auto">
        <a:xfrm>
          <a:off x="13144500" y="977900"/>
          <a:ext cx="1371600" cy="1574800"/>
        </a:xfrm>
        <a:prstGeom prst="roundRect">
          <a:avLst>
            <a:gd name="adj" fmla="val 16667"/>
          </a:avLst>
        </a:prstGeom>
        <a:solidFill>
          <a:srgbClr xmlns:mc="http://schemas.openxmlformats.org/markup-compatibility/2006" xmlns:a14="http://schemas.microsoft.com/office/drawing/2010/main" val="0000FF" mc:Ignorable="a14" a14:legacySpreadsheetColorIndex="12"/>
        </a:solidFill>
        <a:ln w="17145">
          <a:solidFill>
            <a:srgbClr xmlns:mc="http://schemas.openxmlformats.org/markup-compatibility/2006" xmlns:a14="http://schemas.microsoft.com/office/drawing/2010/main" val="000000" mc:Ignorable="a14" a14:legacySpreadsheetColorIndex="8"/>
          </a:solidFill>
          <a:round/>
          <a:headEnd/>
          <a:tailEnd/>
        </a:ln>
        <a:effectLst>
          <a:outerShdw blurRad="63500" dist="38099" dir="2700000" algn="ctr" rotWithShape="0">
            <a:srgbClr val="000000">
              <a:alpha val="74997"/>
            </a:srgbClr>
          </a:outerShdw>
        </a:effectLst>
        <a:extLst>
          <a:ext uri="{53640926-AAD7-44D8-BBD7-CCE9431645EC}">
            <a14:shadowObscured xmlns:a14="http://schemas.microsoft.com/office/drawing/2010/main" val="1"/>
          </a:ext>
        </a:extLst>
      </xdr:spPr>
      <xdr:txBody>
        <a:bodyPr vertOverflow="clip" wrap="square" lIns="27432" tIns="22860" rIns="27432" bIns="22860" anchor="ctr" upright="1"/>
        <a:lstStyle/>
        <a:p>
          <a:pPr algn="ctr" rtl="0">
            <a:lnSpc>
              <a:spcPts val="1500"/>
            </a:lnSpc>
            <a:defRPr sz="1000"/>
          </a:pPr>
          <a:r>
            <a:rPr lang="en-US" sz="1400" b="1" i="0" u="none" strike="noStrike" baseline="0">
              <a:solidFill>
                <a:srgbClr val="FFFFFF"/>
              </a:solidFill>
              <a:latin typeface="Arial"/>
              <a:ea typeface="Arial"/>
              <a:cs typeface="Arial"/>
            </a:rPr>
            <a:t>Do Another Crew</a:t>
          </a:r>
        </a:p>
      </xdr:txBody>
    </xdr:sp>
    <xdr:clientData fPrintsWithSheet="0"/>
  </xdr:twoCellAnchor>
  <xdr:twoCellAnchor>
    <xdr:from>
      <xdr:col>9</xdr:col>
      <xdr:colOff>254000</xdr:colOff>
      <xdr:row>0</xdr:row>
      <xdr:rowOff>0</xdr:rowOff>
    </xdr:from>
    <xdr:to>
      <xdr:col>11</xdr:col>
      <xdr:colOff>4180</xdr:colOff>
      <xdr:row>4</xdr:row>
      <xdr:rowOff>0</xdr:rowOff>
    </xdr:to>
    <xdr:sp macro="[0]!HideActiveSheet" textlink="">
      <xdr:nvSpPr>
        <xdr:cNvPr id="178807" name="Text 3"/>
        <xdr:cNvSpPr>
          <a:spLocks noChangeArrowheads="1"/>
        </xdr:cNvSpPr>
      </xdr:nvSpPr>
      <xdr:spPr bwMode="auto">
        <a:xfrm>
          <a:off x="13093700" y="0"/>
          <a:ext cx="1384300" cy="762000"/>
        </a:xfrm>
        <a:prstGeom prst="roundRect">
          <a:avLst>
            <a:gd name="adj" fmla="val 16667"/>
          </a:avLst>
        </a:prstGeom>
        <a:solidFill>
          <a:srgbClr xmlns:mc="http://schemas.openxmlformats.org/markup-compatibility/2006" xmlns:a14="http://schemas.microsoft.com/office/drawing/2010/main" val="FFFF00" mc:Ignorable="a14" a14:legacySpreadsheetColorIndex="13"/>
        </a:solidFill>
        <a:ln w="9525">
          <a:solidFill>
            <a:srgbClr xmlns:mc="http://schemas.openxmlformats.org/markup-compatibility/2006" xmlns:a14="http://schemas.microsoft.com/office/drawing/2010/main" val="000000" mc:Ignorable="a14" a14:legacySpreadsheetColorIndex="64"/>
          </a:solidFill>
          <a:round/>
          <a:headEnd/>
          <a:tailEnd/>
        </a:ln>
        <a:effectLst>
          <a:outerShdw blurRad="63500" dist="38099" dir="2700000" algn="ctr" rotWithShape="0">
            <a:srgbClr val="000000">
              <a:alpha val="74997"/>
            </a:srgbClr>
          </a:outerShdw>
        </a:effectLst>
        <a:extLst>
          <a:ext uri="{53640926-AAD7-44D8-BBD7-CCE9431645EC}">
            <a14:shadowObscured xmlns:a14="http://schemas.microsoft.com/office/drawing/2010/main" val="1"/>
          </a:ext>
        </a:extLst>
      </xdr:spPr>
      <xdr:txBody>
        <a:bodyPr vertOverflow="clip" wrap="square" lIns="27432" tIns="22860" rIns="27432" bIns="22860" anchor="ctr" upright="1"/>
        <a:lstStyle/>
        <a:p>
          <a:pPr algn="ctr" rtl="0">
            <a:lnSpc>
              <a:spcPts val="1600"/>
            </a:lnSpc>
            <a:defRPr sz="1000"/>
          </a:pPr>
          <a:r>
            <a:rPr lang="nl-NL" sz="1400" b="1" i="0" u="none" strike="noStrike" baseline="0">
              <a:solidFill>
                <a:srgbClr val="0000FF"/>
              </a:solidFill>
              <a:latin typeface="Arial"/>
              <a:ea typeface="Arial"/>
              <a:cs typeface="Arial"/>
            </a:rPr>
            <a:t>GoTo Main Sheet</a:t>
          </a:r>
        </a:p>
      </xdr:txBody>
    </xdr:sp>
    <xdr:clientData fPrintsWithSheet="0"/>
  </xdr:twoCellAnchor>
  <xdr:twoCellAnchor>
    <xdr:from>
      <xdr:col>24</xdr:col>
      <xdr:colOff>0</xdr:colOff>
      <xdr:row>107</xdr:row>
      <xdr:rowOff>25400</xdr:rowOff>
    </xdr:from>
    <xdr:to>
      <xdr:col>26</xdr:col>
      <xdr:colOff>333209</xdr:colOff>
      <xdr:row>110</xdr:row>
      <xdr:rowOff>152400</xdr:rowOff>
    </xdr:to>
    <xdr:sp macro="[0]!HideActiveSheet" textlink="">
      <xdr:nvSpPr>
        <xdr:cNvPr id="178808" name="Text 3"/>
        <xdr:cNvSpPr>
          <a:spLocks noChangeArrowheads="1"/>
        </xdr:cNvSpPr>
      </xdr:nvSpPr>
      <xdr:spPr bwMode="auto">
        <a:xfrm>
          <a:off x="25590500" y="17437100"/>
          <a:ext cx="1955800" cy="698500"/>
        </a:xfrm>
        <a:prstGeom prst="roundRect">
          <a:avLst>
            <a:gd name="adj" fmla="val 16667"/>
          </a:avLst>
        </a:prstGeom>
        <a:solidFill>
          <a:srgbClr xmlns:mc="http://schemas.openxmlformats.org/markup-compatibility/2006" xmlns:a14="http://schemas.microsoft.com/office/drawing/2010/main" val="FFFF00" mc:Ignorable="a14" a14:legacySpreadsheetColorIndex="13"/>
        </a:solidFill>
        <a:ln w="9525">
          <a:solidFill>
            <a:srgbClr xmlns:mc="http://schemas.openxmlformats.org/markup-compatibility/2006" xmlns:a14="http://schemas.microsoft.com/office/drawing/2010/main" val="000000" mc:Ignorable="a14" a14:legacySpreadsheetColorIndex="64"/>
          </a:solidFill>
          <a:round/>
          <a:headEnd/>
          <a:tailEnd/>
        </a:ln>
        <a:effectLst>
          <a:outerShdw blurRad="63500" dist="38099" dir="2700000" algn="ctr" rotWithShape="0">
            <a:srgbClr val="000000">
              <a:alpha val="74997"/>
            </a:srgbClr>
          </a:outerShdw>
        </a:effectLst>
        <a:extLst>
          <a:ext uri="{53640926-AAD7-44D8-BBD7-CCE9431645EC}">
            <a14:shadowObscured xmlns:a14="http://schemas.microsoft.com/office/drawing/2010/main" val="1"/>
          </a:ext>
        </a:extLst>
      </xdr:spPr>
      <xdr:txBody>
        <a:bodyPr vertOverflow="clip" wrap="square" lIns="27432" tIns="22860" rIns="27432" bIns="22860" anchor="ctr" upright="1"/>
        <a:lstStyle/>
        <a:p>
          <a:pPr algn="ctr" rtl="0">
            <a:defRPr sz="1000"/>
          </a:pPr>
          <a:r>
            <a:rPr lang="nl-NL" sz="1400" b="1" i="0" u="none" strike="noStrike" baseline="0">
              <a:solidFill>
                <a:srgbClr val="0000FF"/>
              </a:solidFill>
              <a:latin typeface="Arial"/>
              <a:ea typeface="Arial"/>
              <a:cs typeface="Arial"/>
            </a:rPr>
            <a:t>GoTo Main Sheet</a:t>
          </a:r>
        </a:p>
      </xdr:txBody>
    </xdr:sp>
    <xdr:clientData fPrintsWithSheet="0"/>
  </xdr:twoCellAnchor>
  <xdr:twoCellAnchor>
    <xdr:from>
      <xdr:col>24</xdr:col>
      <xdr:colOff>0</xdr:colOff>
      <xdr:row>112</xdr:row>
      <xdr:rowOff>76200</xdr:rowOff>
    </xdr:from>
    <xdr:to>
      <xdr:col>26</xdr:col>
      <xdr:colOff>371313</xdr:colOff>
      <xdr:row>113</xdr:row>
      <xdr:rowOff>177800</xdr:rowOff>
    </xdr:to>
    <xdr:sp macro="[0]!ShowSelectedCrewSheet" textlink="">
      <xdr:nvSpPr>
        <xdr:cNvPr id="178809" name="Text 2"/>
        <xdr:cNvSpPr>
          <a:spLocks noChangeArrowheads="1"/>
        </xdr:cNvSpPr>
      </xdr:nvSpPr>
      <xdr:spPr bwMode="auto">
        <a:xfrm>
          <a:off x="25590500" y="18440400"/>
          <a:ext cx="1993900" cy="292100"/>
        </a:xfrm>
        <a:prstGeom prst="roundRect">
          <a:avLst>
            <a:gd name="adj" fmla="val 16667"/>
          </a:avLst>
        </a:prstGeom>
        <a:solidFill>
          <a:srgbClr xmlns:mc="http://schemas.openxmlformats.org/markup-compatibility/2006" xmlns:a14="http://schemas.microsoft.com/office/drawing/2010/main" val="0000FF" mc:Ignorable="a14" a14:legacySpreadsheetColorIndex="12"/>
        </a:solidFill>
        <a:ln w="17145">
          <a:solidFill>
            <a:srgbClr xmlns:mc="http://schemas.openxmlformats.org/markup-compatibility/2006" xmlns:a14="http://schemas.microsoft.com/office/drawing/2010/main" val="000000" mc:Ignorable="a14" a14:legacySpreadsheetColorIndex="8"/>
          </a:solidFill>
          <a:round/>
          <a:headEnd/>
          <a:tailEnd/>
        </a:ln>
        <a:effectLst>
          <a:outerShdw blurRad="63500" dist="38099" dir="2700000" algn="ctr" rotWithShape="0">
            <a:srgbClr val="000000">
              <a:alpha val="74997"/>
            </a:srgbClr>
          </a:outerShdw>
        </a:effectLst>
        <a:extLst>
          <a:ext uri="{53640926-AAD7-44D8-BBD7-CCE9431645EC}">
            <a14:shadowObscured xmlns:a14="http://schemas.microsoft.com/office/drawing/2010/main" val="1"/>
          </a:ext>
        </a:extLst>
      </xdr:spPr>
      <xdr:txBody>
        <a:bodyPr vertOverflow="clip" wrap="square" lIns="27432" tIns="22860" rIns="27432" bIns="22860" anchor="ctr" upright="1"/>
        <a:lstStyle/>
        <a:p>
          <a:pPr algn="ctr" rtl="0">
            <a:defRPr sz="1000"/>
          </a:pPr>
          <a:r>
            <a:rPr lang="en-US" sz="1400" b="1" i="0" u="none" strike="noStrike" baseline="0">
              <a:solidFill>
                <a:srgbClr val="FFFFFF"/>
              </a:solidFill>
              <a:latin typeface="Arial"/>
              <a:ea typeface="Arial"/>
              <a:cs typeface="Arial"/>
            </a:rPr>
            <a:t>Do Another Crew</a:t>
          </a:r>
        </a:p>
      </xdr:txBody>
    </xdr:sp>
    <xdr:clientData fPrintsWithSheet="0"/>
  </xdr:twoCellAnchor>
</xdr:wsDr>
</file>

<file path=xl/drawings/drawing6.xml><?xml version="1.0" encoding="utf-8"?>
<xdr:wsDr xmlns:xdr="http://schemas.openxmlformats.org/drawingml/2006/spreadsheetDrawing" xmlns:a="http://schemas.openxmlformats.org/drawingml/2006/main">
  <xdr:twoCellAnchor>
    <xdr:from>
      <xdr:col>12</xdr:col>
      <xdr:colOff>193675</xdr:colOff>
      <xdr:row>3</xdr:row>
      <xdr:rowOff>142875</xdr:rowOff>
    </xdr:from>
    <xdr:to>
      <xdr:col>16</xdr:col>
      <xdr:colOff>142922</xdr:colOff>
      <xdr:row>14</xdr:row>
      <xdr:rowOff>114300</xdr:rowOff>
    </xdr:to>
    <xdr:sp macro="" textlink="">
      <xdr:nvSpPr>
        <xdr:cNvPr id="25601" name="Text 1"/>
        <xdr:cNvSpPr txBox="1">
          <a:spLocks noChangeArrowheads="1"/>
        </xdr:cNvSpPr>
      </xdr:nvSpPr>
      <xdr:spPr bwMode="auto">
        <a:xfrm>
          <a:off x="6448425" y="771525"/>
          <a:ext cx="2381250" cy="230505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vertOverflow="clip" wrap="square" lIns="36576" tIns="27432" rIns="0" bIns="0" anchor="t" upright="1"/>
        <a:lstStyle/>
        <a:p>
          <a:pPr algn="l" rtl="0">
            <a:defRPr sz="1000"/>
          </a:pPr>
          <a:r>
            <a:rPr lang="en-US" sz="1400" b="1" i="0" u="none" strike="noStrike" baseline="0">
              <a:solidFill>
                <a:srgbClr val="FF0000"/>
              </a:solidFill>
              <a:latin typeface="Arial"/>
              <a:cs typeface="Arial"/>
            </a:rPr>
            <a:t>All editing concerning Personnel should be done from this Sheet.  Known as the Master List, changes must be made here to accomodate references elsewhere in the program.  </a:t>
          </a:r>
          <a:r>
            <a:rPr lang="en-US" sz="1400" b="1" i="0" u="none" strike="noStrike" baseline="0">
              <a:solidFill>
                <a:srgbClr val="0000FF"/>
              </a:solidFill>
              <a:latin typeface="Arial"/>
              <a:cs typeface="Arial"/>
            </a:rPr>
            <a:t>A password </a:t>
          </a:r>
          <a:r>
            <a:rPr lang="en-US" sz="1400" b="1" i="0" u="sng" strike="noStrike" baseline="0">
              <a:solidFill>
                <a:srgbClr val="0000FF"/>
              </a:solidFill>
              <a:latin typeface="Arial"/>
              <a:cs typeface="Arial"/>
            </a:rPr>
            <a:t>is not</a:t>
          </a:r>
          <a:r>
            <a:rPr lang="en-US" sz="1400" b="1" i="0" u="none" strike="noStrike" baseline="0">
              <a:solidFill>
                <a:srgbClr val="0000FF"/>
              </a:solidFill>
              <a:latin typeface="Arial"/>
              <a:cs typeface="Arial"/>
            </a:rPr>
            <a:t> required!</a:t>
          </a:r>
        </a:p>
      </xdr:txBody>
    </xdr:sp>
    <xdr:clientData/>
  </xdr:twoCellAnchor>
  <xdr:twoCellAnchor>
    <xdr:from>
      <xdr:col>12</xdr:col>
      <xdr:colOff>295275</xdr:colOff>
      <xdr:row>1</xdr:row>
      <xdr:rowOff>152400</xdr:rowOff>
    </xdr:from>
    <xdr:to>
      <xdr:col>15</xdr:col>
      <xdr:colOff>466725</xdr:colOff>
      <xdr:row>2</xdr:row>
      <xdr:rowOff>177800</xdr:rowOff>
    </xdr:to>
    <xdr:sp macro="[0]!HideActiveSheet" textlink="">
      <xdr:nvSpPr>
        <xdr:cNvPr id="183412" name="Text 2"/>
        <xdr:cNvSpPr>
          <a:spLocks noChangeArrowheads="1"/>
        </xdr:cNvSpPr>
      </xdr:nvSpPr>
      <xdr:spPr bwMode="auto">
        <a:xfrm>
          <a:off x="7505700" y="368300"/>
          <a:ext cx="2819400" cy="241300"/>
        </a:xfrm>
        <a:prstGeom prst="roundRect">
          <a:avLst>
            <a:gd name="adj" fmla="val 16667"/>
          </a:avLst>
        </a:prstGeom>
        <a:solidFill>
          <a:srgbClr xmlns:mc="http://schemas.openxmlformats.org/markup-compatibility/2006" xmlns:a14="http://schemas.microsoft.com/office/drawing/2010/main" val="FFFF00" mc:Ignorable="a14" a14:legacySpreadsheetColorIndex="13"/>
        </a:solidFill>
        <a:ln w="9525">
          <a:solidFill>
            <a:srgbClr xmlns:mc="http://schemas.openxmlformats.org/markup-compatibility/2006" xmlns:a14="http://schemas.microsoft.com/office/drawing/2010/main" val="000000" mc:Ignorable="a14" a14:legacySpreadsheetColorIndex="64"/>
          </a:solidFill>
          <a:round/>
          <a:headEnd/>
          <a:tailEnd/>
        </a:ln>
        <a:effectLst>
          <a:outerShdw blurRad="63500" dist="38099" dir="2700000" algn="ctr" rotWithShape="0">
            <a:srgbClr val="000000">
              <a:alpha val="74997"/>
            </a:srgbClr>
          </a:outerShdw>
        </a:effectLst>
        <a:extLst>
          <a:ext uri="{53640926-AAD7-44D8-BBD7-CCE9431645EC}">
            <a14:shadowObscured xmlns:a14="http://schemas.microsoft.com/office/drawing/2010/main" val="1"/>
          </a:ext>
        </a:extLst>
      </xdr:spPr>
      <xdr:txBody>
        <a:bodyPr vertOverflow="clip" wrap="square" lIns="27432" tIns="22860" rIns="27432" bIns="22860" anchor="ctr" upright="1"/>
        <a:lstStyle/>
        <a:p>
          <a:pPr algn="ctr" rtl="0">
            <a:defRPr sz="1000"/>
          </a:pPr>
          <a:r>
            <a:rPr lang="en-US" sz="1400" b="1" i="0" u="none" strike="noStrike" baseline="0">
              <a:solidFill>
                <a:srgbClr val="0000FF"/>
              </a:solidFill>
              <a:latin typeface="Arial"/>
              <a:ea typeface="Arial"/>
              <a:cs typeface="Arial"/>
            </a:rPr>
            <a:t>GoTo Main Menu</a:t>
          </a:r>
        </a:p>
      </xdr:txBody>
    </xdr:sp>
    <xdr:clientData fPrintsWithSheet="0"/>
  </xdr:twoCellAnchor>
</xdr:wsDr>
</file>

<file path=xl/drawings/drawing7.xml><?xml version="1.0" encoding="utf-8"?>
<xdr:wsDr xmlns:xdr="http://schemas.openxmlformats.org/drawingml/2006/spreadsheetDrawing" xmlns:a="http://schemas.openxmlformats.org/drawingml/2006/main">
  <xdr:twoCellAnchor>
    <xdr:from>
      <xdr:col>2</xdr:col>
      <xdr:colOff>142875</xdr:colOff>
      <xdr:row>2</xdr:row>
      <xdr:rowOff>114300</xdr:rowOff>
    </xdr:from>
    <xdr:to>
      <xdr:col>5</xdr:col>
      <xdr:colOff>488408</xdr:colOff>
      <xdr:row>4</xdr:row>
      <xdr:rowOff>9525</xdr:rowOff>
    </xdr:to>
    <xdr:sp macro="" textlink="">
      <xdr:nvSpPr>
        <xdr:cNvPr id="26625" name="Text 1"/>
        <xdr:cNvSpPr txBox="1">
          <a:spLocks noChangeArrowheads="1"/>
        </xdr:cNvSpPr>
      </xdr:nvSpPr>
      <xdr:spPr bwMode="auto">
        <a:xfrm>
          <a:off x="1381125" y="495300"/>
          <a:ext cx="2181225" cy="276225"/>
        </a:xfrm>
        <a:prstGeom prst="rect">
          <a:avLst/>
        </a:prstGeom>
        <a:solidFill>
          <a:srgbClr xmlns:mc="http://schemas.openxmlformats.org/markup-compatibility/2006" xmlns:a14="http://schemas.microsoft.com/office/drawing/2010/main" val="E3E3E3" mc:Ignorable="a14" a14:legacySpreadsheetColorIndex="47"/>
        </a:solidFill>
        <a:ln>
          <a:noFill/>
        </a:ln>
        <a:extLs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vertOverflow="clip" wrap="square" lIns="36576" tIns="32004" rIns="36576" bIns="0" anchor="t" upright="1"/>
        <a:lstStyle/>
        <a:p>
          <a:pPr algn="ctr" rtl="0">
            <a:defRPr sz="1000"/>
          </a:pPr>
          <a:r>
            <a:rPr lang="en-US" sz="1600" b="1" i="0" u="none" strike="noStrike" baseline="0">
              <a:solidFill>
                <a:srgbClr val="000000"/>
              </a:solidFill>
              <a:latin typeface="Arial"/>
              <a:cs typeface="Arial"/>
            </a:rPr>
            <a:t>Select a Crew to Edit.</a:t>
          </a:r>
        </a:p>
      </xdr:txBody>
    </xdr:sp>
    <xdr:clientData/>
  </xdr:twoCellAnchor>
  <mc:AlternateContent xmlns:mc="http://schemas.openxmlformats.org/markup-compatibility/2006">
    <mc:Choice xmlns:a14="http://schemas.microsoft.com/office/drawing/2010/main" Requires="a14">
      <xdr:twoCellAnchor>
        <xdr:from>
          <xdr:col>4</xdr:col>
          <xdr:colOff>304800</xdr:colOff>
          <xdr:row>6</xdr:row>
          <xdr:rowOff>114300</xdr:rowOff>
        </xdr:from>
        <xdr:to>
          <xdr:col>5</xdr:col>
          <xdr:colOff>400050</xdr:colOff>
          <xdr:row>7</xdr:row>
          <xdr:rowOff>161925</xdr:rowOff>
        </xdr:to>
        <xdr:sp macro="" textlink="">
          <xdr:nvSpPr>
            <xdr:cNvPr id="26626" name="Button 2" hidden="1">
              <a:extLst>
                <a:ext uri="{63B3BB69-23CF-44E3-9099-C40C66FF867C}">
                  <a14:compatExt spid="_x0000_s26626"/>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Helv"/>
                </a:rPr>
                <a:t>Cancel/Exit</a:t>
              </a:r>
            </a:p>
          </xdr:txBody>
        </xdr:sp>
        <xdr:clientData/>
      </xdr:twoCellAnchor>
    </mc:Choice>
    <mc:Fallback/>
  </mc:AlternateContent>
  <mc:AlternateContent xmlns:mc="http://schemas.openxmlformats.org/markup-compatibility/2006">
    <mc:Choice xmlns:a14="http://schemas.microsoft.com/office/drawing/2010/main" Requires="a14">
      <xdr:twoCellAnchor>
        <xdr:from>
          <xdr:col>4</xdr:col>
          <xdr:colOff>304800</xdr:colOff>
          <xdr:row>5</xdr:row>
          <xdr:rowOff>9525</xdr:rowOff>
        </xdr:from>
        <xdr:to>
          <xdr:col>5</xdr:col>
          <xdr:colOff>400050</xdr:colOff>
          <xdr:row>6</xdr:row>
          <xdr:rowOff>66675</xdr:rowOff>
        </xdr:to>
        <xdr:sp macro="" textlink="">
          <xdr:nvSpPr>
            <xdr:cNvPr id="26627" name="Button 3" hidden="1">
              <a:extLst>
                <a:ext uri="{63B3BB69-23CF-44E3-9099-C40C66FF867C}">
                  <a14:compatExt spid="_x0000_s266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Helv"/>
                </a:rPr>
                <a:t>OK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466725</xdr:colOff>
          <xdr:row>4</xdr:row>
          <xdr:rowOff>152400</xdr:rowOff>
        </xdr:from>
        <xdr:to>
          <xdr:col>4</xdr:col>
          <xdr:colOff>209550</xdr:colOff>
          <xdr:row>8</xdr:row>
          <xdr:rowOff>38100</xdr:rowOff>
        </xdr:to>
        <xdr:sp macro="" textlink="">
          <xdr:nvSpPr>
            <xdr:cNvPr id="26628" name="List Box 4" hidden="1">
              <a:extLst>
                <a:ext uri="{63B3BB69-23CF-44E3-9099-C40C66FF867C}">
                  <a14:compatExt spid="_x0000_s26628"/>
                </a:ext>
              </a:extLst>
            </xdr:cNvPr>
            <xdr:cNvSpPr/>
          </xdr:nvSpPr>
          <xdr:spPr>
            <a:xfrm>
              <a:off x="0" y="0"/>
              <a:ext cx="0" cy="0"/>
            </a:xfrm>
            <a:prstGeom prst="rect">
              <a:avLst/>
            </a:prstGeom>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2</xdr:col>
      <xdr:colOff>47625</xdr:colOff>
      <xdr:row>2</xdr:row>
      <xdr:rowOff>114300</xdr:rowOff>
    </xdr:from>
    <xdr:to>
      <xdr:col>5</xdr:col>
      <xdr:colOff>536626</xdr:colOff>
      <xdr:row>4</xdr:row>
      <xdr:rowOff>9525</xdr:rowOff>
    </xdr:to>
    <xdr:sp macro="" textlink="">
      <xdr:nvSpPr>
        <xdr:cNvPr id="27649" name="Text 1"/>
        <xdr:cNvSpPr txBox="1">
          <a:spLocks noChangeArrowheads="1"/>
        </xdr:cNvSpPr>
      </xdr:nvSpPr>
      <xdr:spPr bwMode="auto">
        <a:xfrm>
          <a:off x="1266825" y="495300"/>
          <a:ext cx="2333625" cy="276225"/>
        </a:xfrm>
        <a:prstGeom prst="rect">
          <a:avLst/>
        </a:prstGeom>
        <a:solidFill>
          <a:srgbClr xmlns:mc="http://schemas.openxmlformats.org/markup-compatibility/2006" xmlns:a14="http://schemas.microsoft.com/office/drawing/2010/main" val="E3E3E3" mc:Ignorable="a14" a14:legacySpreadsheetColorIndex="47"/>
        </a:solidFill>
        <a:ln>
          <a:noFill/>
        </a:ln>
        <a:extLs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vertOverflow="clip" wrap="square" lIns="36576" tIns="32004" rIns="36576" bIns="0" anchor="t" upright="1"/>
        <a:lstStyle/>
        <a:p>
          <a:pPr algn="ctr" rtl="0">
            <a:defRPr sz="1000"/>
          </a:pPr>
          <a:r>
            <a:rPr lang="en-US" sz="1600" b="1" i="0" u="none" strike="noStrike" baseline="0">
              <a:solidFill>
                <a:srgbClr val="000000"/>
              </a:solidFill>
              <a:latin typeface="Arial"/>
              <a:cs typeface="Arial"/>
            </a:rPr>
            <a:t>Select a Sheet to Print.</a:t>
          </a:r>
        </a:p>
      </xdr:txBody>
    </xdr:sp>
    <xdr:clientData/>
  </xdr:twoCellAnchor>
  <mc:AlternateContent xmlns:mc="http://schemas.openxmlformats.org/markup-compatibility/2006">
    <mc:Choice xmlns:a14="http://schemas.microsoft.com/office/drawing/2010/main" Requires="a14">
      <xdr:twoCellAnchor>
        <xdr:from>
          <xdr:col>4</xdr:col>
          <xdr:colOff>304800</xdr:colOff>
          <xdr:row>6</xdr:row>
          <xdr:rowOff>114300</xdr:rowOff>
        </xdr:from>
        <xdr:to>
          <xdr:col>5</xdr:col>
          <xdr:colOff>400050</xdr:colOff>
          <xdr:row>7</xdr:row>
          <xdr:rowOff>161925</xdr:rowOff>
        </xdr:to>
        <xdr:sp macro="" textlink="">
          <xdr:nvSpPr>
            <xdr:cNvPr id="27650" name="Button 2" hidden="1">
              <a:extLst>
                <a:ext uri="{63B3BB69-23CF-44E3-9099-C40C66FF867C}">
                  <a14:compatExt spid="_x0000_s2765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Helv"/>
                </a:rPr>
                <a:t>Cancel/Exit</a:t>
              </a:r>
            </a:p>
          </xdr:txBody>
        </xdr:sp>
        <xdr:clientData/>
      </xdr:twoCellAnchor>
    </mc:Choice>
    <mc:Fallback/>
  </mc:AlternateContent>
  <mc:AlternateContent xmlns:mc="http://schemas.openxmlformats.org/markup-compatibility/2006">
    <mc:Choice xmlns:a14="http://schemas.microsoft.com/office/drawing/2010/main" Requires="a14">
      <xdr:twoCellAnchor>
        <xdr:from>
          <xdr:col>4</xdr:col>
          <xdr:colOff>304800</xdr:colOff>
          <xdr:row>5</xdr:row>
          <xdr:rowOff>9525</xdr:rowOff>
        </xdr:from>
        <xdr:to>
          <xdr:col>5</xdr:col>
          <xdr:colOff>400050</xdr:colOff>
          <xdr:row>6</xdr:row>
          <xdr:rowOff>66675</xdr:rowOff>
        </xdr:to>
        <xdr:sp macro="" textlink="">
          <xdr:nvSpPr>
            <xdr:cNvPr id="27651" name="Button 3" hidden="1">
              <a:extLst>
                <a:ext uri="{63B3BB69-23CF-44E3-9099-C40C66FF867C}">
                  <a14:compatExt spid="_x0000_s2765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Helv"/>
                </a:rPr>
                <a:t>OK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133350</xdr:colOff>
          <xdr:row>4</xdr:row>
          <xdr:rowOff>152400</xdr:rowOff>
        </xdr:from>
        <xdr:to>
          <xdr:col>4</xdr:col>
          <xdr:colOff>209550</xdr:colOff>
          <xdr:row>8</xdr:row>
          <xdr:rowOff>38100</xdr:rowOff>
        </xdr:to>
        <xdr:sp macro="" textlink="">
          <xdr:nvSpPr>
            <xdr:cNvPr id="27652" name="List Box 4" hidden="1">
              <a:extLst>
                <a:ext uri="{63B3BB69-23CF-44E3-9099-C40C66FF867C}">
                  <a14:compatExt spid="_x0000_s27652"/>
                </a:ext>
              </a:extLst>
            </xdr:cNvPr>
            <xdr:cNvSpPr/>
          </xdr:nvSpPr>
          <xdr:spPr>
            <a:xfrm>
              <a:off x="0" y="0"/>
              <a:ext cx="0" cy="0"/>
            </a:xfrm>
            <a:prstGeom prst="rect">
              <a:avLst/>
            </a:prstGeom>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14</xdr:col>
      <xdr:colOff>15875</xdr:colOff>
      <xdr:row>5</xdr:row>
      <xdr:rowOff>0</xdr:rowOff>
    </xdr:from>
    <xdr:to>
      <xdr:col>14</xdr:col>
      <xdr:colOff>1349375</xdr:colOff>
      <xdr:row>6</xdr:row>
      <xdr:rowOff>76200</xdr:rowOff>
    </xdr:to>
    <xdr:sp macro="[0]!HideActiveSheet" textlink="">
      <xdr:nvSpPr>
        <xdr:cNvPr id="176737" name="Text 7"/>
        <xdr:cNvSpPr>
          <a:spLocks noChangeArrowheads="1"/>
        </xdr:cNvSpPr>
      </xdr:nvSpPr>
      <xdr:spPr bwMode="auto">
        <a:xfrm>
          <a:off x="10820400" y="76200"/>
          <a:ext cx="1524000" cy="254000"/>
        </a:xfrm>
        <a:prstGeom prst="roundRect">
          <a:avLst>
            <a:gd name="adj" fmla="val 16667"/>
          </a:avLst>
        </a:prstGeom>
        <a:solidFill>
          <a:srgbClr xmlns:mc="http://schemas.openxmlformats.org/markup-compatibility/2006" xmlns:a14="http://schemas.microsoft.com/office/drawing/2010/main" val="FFFF00" mc:Ignorable="a14" a14:legacySpreadsheetColorIndex="13"/>
        </a:solidFill>
        <a:ln w="9525">
          <a:solidFill>
            <a:srgbClr xmlns:mc="http://schemas.openxmlformats.org/markup-compatibility/2006" xmlns:a14="http://schemas.microsoft.com/office/drawing/2010/main" val="000000" mc:Ignorable="a14" a14:legacySpreadsheetColorIndex="64"/>
          </a:solidFill>
          <a:round/>
          <a:headEnd/>
          <a:tailEnd/>
        </a:ln>
        <a:effectLst>
          <a:outerShdw blurRad="63500" dist="38099" dir="2700000" algn="ctr" rotWithShape="0">
            <a:srgbClr val="000000">
              <a:alpha val="74997"/>
            </a:srgbClr>
          </a:outerShdw>
        </a:effectLst>
        <a:extLst>
          <a:ext uri="{53640926-AAD7-44D8-BBD7-CCE9431645EC}">
            <a14:shadowObscured xmlns:a14="http://schemas.microsoft.com/office/drawing/2010/main" val="1"/>
          </a:ext>
        </a:extLst>
      </xdr:spPr>
      <xdr:txBody>
        <a:bodyPr vertOverflow="clip" wrap="square" lIns="27432" tIns="22860" rIns="27432" bIns="22860" anchor="ctr" upright="1"/>
        <a:lstStyle/>
        <a:p>
          <a:pPr algn="ctr" rtl="0">
            <a:defRPr sz="1000"/>
          </a:pPr>
          <a:r>
            <a:rPr lang="en-US" sz="1400" b="1" i="0" u="none" strike="noStrike" baseline="0">
              <a:solidFill>
                <a:srgbClr val="0000FF"/>
              </a:solidFill>
              <a:latin typeface="Arial"/>
              <a:ea typeface="Arial"/>
              <a:cs typeface="Arial"/>
            </a:rPr>
            <a:t>GoTo Main Menu</a:t>
          </a:r>
        </a:p>
      </xdr:txBody>
    </xdr:sp>
    <xdr:clientData fPrintsWithSheet="0"/>
  </xdr:twoCellAnchor>
  <xdr:twoCellAnchor>
    <xdr:from>
      <xdr:col>14</xdr:col>
      <xdr:colOff>0</xdr:colOff>
      <xdr:row>10</xdr:row>
      <xdr:rowOff>0</xdr:rowOff>
    </xdr:from>
    <xdr:to>
      <xdr:col>15</xdr:col>
      <xdr:colOff>0</xdr:colOff>
      <xdr:row>11</xdr:row>
      <xdr:rowOff>177800</xdr:rowOff>
    </xdr:to>
    <xdr:sp macro="[0]!ShowSelectedCrewSheet" textlink="">
      <xdr:nvSpPr>
        <xdr:cNvPr id="176738" name="Text 11"/>
        <xdr:cNvSpPr>
          <a:spLocks noChangeArrowheads="1"/>
        </xdr:cNvSpPr>
      </xdr:nvSpPr>
      <xdr:spPr bwMode="auto">
        <a:xfrm>
          <a:off x="10795000" y="952500"/>
          <a:ext cx="1562100" cy="406400"/>
        </a:xfrm>
        <a:custGeom>
          <a:avLst/>
          <a:gdLst>
            <a:gd name="T0" fmla="*/ 0 w 1562100"/>
            <a:gd name="T1" fmla="*/ 61746 h 254529"/>
            <a:gd name="T2" fmla="*/ 39600 w 1562100"/>
            <a:gd name="T3" fmla="*/ 0 h 254529"/>
            <a:gd name="T4" fmla="*/ 1522500 w 1562100"/>
            <a:gd name="T5" fmla="*/ 0 h 254529"/>
            <a:gd name="T6" fmla="*/ 1562100 w 1562100"/>
            <a:gd name="T7" fmla="*/ 61746 h 254529"/>
            <a:gd name="T8" fmla="*/ 1562100 w 1562100"/>
            <a:gd name="T9" fmla="*/ 308726 h 254529"/>
            <a:gd name="T10" fmla="*/ 1509270 w 1562100"/>
            <a:gd name="T11" fmla="*/ 391100 h 254529"/>
            <a:gd name="T12" fmla="*/ 39600 w 1562100"/>
            <a:gd name="T13" fmla="*/ 370472 h 254529"/>
            <a:gd name="T14" fmla="*/ 0 w 1562100"/>
            <a:gd name="T15" fmla="*/ 308726 h 254529"/>
            <a:gd name="T16" fmla="*/ 0 w 1562100"/>
            <a:gd name="T17" fmla="*/ 61746 h 254529"/>
            <a:gd name="T18" fmla="*/ 0 60000 65536"/>
            <a:gd name="T19" fmla="*/ 0 60000 65536"/>
            <a:gd name="T20" fmla="*/ 0 60000 65536"/>
            <a:gd name="T21" fmla="*/ 0 60000 65536"/>
            <a:gd name="T22" fmla="*/ 0 60000 65536"/>
            <a:gd name="T23" fmla="*/ 0 60000 65536"/>
            <a:gd name="T24" fmla="*/ 0 60000 65536"/>
            <a:gd name="T25" fmla="*/ 0 60000 65536"/>
            <a:gd name="T26" fmla="*/ 0 60000 65536"/>
            <a:gd name="T27" fmla="*/ 0 w 1562100"/>
            <a:gd name="T28" fmla="*/ 0 h 254529"/>
            <a:gd name="T29" fmla="*/ 1562100 w 1562100"/>
            <a:gd name="T30" fmla="*/ 254529 h 254529"/>
          </a:gdLst>
          <a:ahLst/>
          <a:cxnLst>
            <a:cxn ang="T18">
              <a:pos x="T0" y="T1"/>
            </a:cxn>
            <a:cxn ang="T19">
              <a:pos x="T2" y="T3"/>
            </a:cxn>
            <a:cxn ang="T20">
              <a:pos x="T4" y="T5"/>
            </a:cxn>
            <a:cxn ang="T21">
              <a:pos x="T6" y="T7"/>
            </a:cxn>
            <a:cxn ang="T22">
              <a:pos x="T8" y="T9"/>
            </a:cxn>
            <a:cxn ang="T23">
              <a:pos x="T10" y="T11"/>
            </a:cxn>
            <a:cxn ang="T24">
              <a:pos x="T12" y="T13"/>
            </a:cxn>
            <a:cxn ang="T25">
              <a:pos x="T14" y="T15"/>
            </a:cxn>
            <a:cxn ang="T26">
              <a:pos x="T16" y="T17"/>
            </a:cxn>
          </a:cxnLst>
          <a:rect l="T27" t="T28" r="T29" b="T30"/>
          <a:pathLst>
            <a:path w="1562100" h="254529">
              <a:moveTo>
                <a:pt x="0" y="39600"/>
              </a:moveTo>
              <a:cubicBezTo>
                <a:pt x="0" y="17730"/>
                <a:pt x="17730" y="0"/>
                <a:pt x="39600" y="0"/>
              </a:cubicBezTo>
              <a:lnTo>
                <a:pt x="1522500" y="0"/>
              </a:lnTo>
              <a:cubicBezTo>
                <a:pt x="1544370" y="0"/>
                <a:pt x="1562100" y="17730"/>
                <a:pt x="1562100" y="39600"/>
              </a:cubicBezTo>
              <a:lnTo>
                <a:pt x="1562100" y="197996"/>
              </a:lnTo>
              <a:cubicBezTo>
                <a:pt x="1562100" y="219866"/>
                <a:pt x="1531140" y="250825"/>
                <a:pt x="1509270" y="250825"/>
              </a:cubicBezTo>
              <a:cubicBezTo>
                <a:pt x="975282" y="264054"/>
                <a:pt x="533900" y="237596"/>
                <a:pt x="39600" y="237596"/>
              </a:cubicBezTo>
              <a:cubicBezTo>
                <a:pt x="17730" y="237596"/>
                <a:pt x="0" y="219866"/>
                <a:pt x="0" y="197996"/>
              </a:cubicBezTo>
              <a:lnTo>
                <a:pt x="0" y="39600"/>
              </a:lnTo>
              <a:close/>
            </a:path>
          </a:pathLst>
        </a:custGeom>
        <a:solidFill>
          <a:srgbClr xmlns:mc="http://schemas.openxmlformats.org/markup-compatibility/2006" xmlns:a14="http://schemas.microsoft.com/office/drawing/2010/main" val="0000FF" mc:Ignorable="a14" a14:legacySpreadsheetColorIndex="12"/>
        </a:solidFill>
        <a:ln w="9525">
          <a:solidFill>
            <a:srgbClr xmlns:mc="http://schemas.openxmlformats.org/markup-compatibility/2006" xmlns:a14="http://schemas.microsoft.com/office/drawing/2010/main" val="000000" mc:Ignorable="a14" a14:legacySpreadsheetColorIndex="64"/>
          </a:solidFill>
          <a:round/>
          <a:headEnd/>
          <a:tailEnd/>
        </a:ln>
        <a:effectLst>
          <a:outerShdw blurRad="63500" dist="38099" dir="2700000" algn="ctr" rotWithShape="0">
            <a:srgbClr val="000000">
              <a:alpha val="74997"/>
            </a:srgbClr>
          </a:outerShdw>
        </a:effectLst>
        <a:extLst>
          <a:ext uri="{53640926-AAD7-44D8-BBD7-CCE9431645EC}">
            <a14:shadowObscured xmlns:a14="http://schemas.microsoft.com/office/drawing/2010/main" val="1"/>
          </a:ext>
        </a:extLst>
      </xdr:spPr>
      <xdr:txBody>
        <a:bodyPr vertOverflow="clip" wrap="square" lIns="36576" tIns="27432" rIns="36576" bIns="27432" anchor="ctr" upright="1"/>
        <a:lstStyle/>
        <a:p>
          <a:pPr algn="ctr" rtl="0">
            <a:defRPr sz="1000"/>
          </a:pPr>
          <a:r>
            <a:rPr lang="en-US" sz="1400" b="1" i="0" u="none" strike="noStrike" baseline="0">
              <a:solidFill>
                <a:srgbClr val="FFFF00"/>
              </a:solidFill>
              <a:latin typeface="Arial"/>
              <a:ea typeface="Arial"/>
              <a:cs typeface="Arial"/>
            </a:rPr>
            <a:t>GoTo Assignments</a:t>
          </a:r>
        </a:p>
      </xdr:txBody>
    </xdr:sp>
    <xdr:clientData fPrintsWithSheet="0"/>
  </xdr:twoCellAnchor>
</xdr:wsDr>
</file>

<file path=xl/drawings/drawing10.xml><?xml version="1.0" encoding="utf-8"?>
<xdr:wsDr xmlns:xdr="http://schemas.openxmlformats.org/drawingml/2006/spreadsheetDrawing" xmlns:a="http://schemas.openxmlformats.org/drawingml/2006/main">
  <xdr:twoCellAnchor>
    <xdr:from>
      <xdr:col>2</xdr:col>
      <xdr:colOff>31750</xdr:colOff>
      <xdr:row>2</xdr:row>
      <xdr:rowOff>114300</xdr:rowOff>
    </xdr:from>
    <xdr:to>
      <xdr:col>5</xdr:col>
      <xdr:colOff>526958</xdr:colOff>
      <xdr:row>4</xdr:row>
      <xdr:rowOff>9525</xdr:rowOff>
    </xdr:to>
    <xdr:sp macro="" textlink="">
      <xdr:nvSpPr>
        <xdr:cNvPr id="29697" name="Text 1"/>
        <xdr:cNvSpPr txBox="1">
          <a:spLocks noChangeArrowheads="1"/>
        </xdr:cNvSpPr>
      </xdr:nvSpPr>
      <xdr:spPr bwMode="auto">
        <a:xfrm>
          <a:off x="1257300" y="495300"/>
          <a:ext cx="3057525" cy="276225"/>
        </a:xfrm>
        <a:prstGeom prst="rect">
          <a:avLst/>
        </a:prstGeom>
        <a:solidFill>
          <a:srgbClr xmlns:mc="http://schemas.openxmlformats.org/markup-compatibility/2006" xmlns:a14="http://schemas.microsoft.com/office/drawing/2010/main" val="E3E3E3" mc:Ignorable="a14" a14:legacySpreadsheetColorIndex="47"/>
        </a:solidFill>
        <a:ln>
          <a:noFill/>
        </a:ln>
        <a:extLs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vertOverflow="clip" wrap="square" lIns="36576" tIns="32004" rIns="36576" bIns="0" anchor="t" upright="1"/>
        <a:lstStyle/>
        <a:p>
          <a:pPr algn="ctr" rtl="0">
            <a:defRPr sz="1000"/>
          </a:pPr>
          <a:r>
            <a:rPr lang="en-US" sz="1600" b="1" i="0" u="none" strike="noStrike" baseline="0">
              <a:solidFill>
                <a:srgbClr val="000000"/>
              </a:solidFill>
              <a:latin typeface="Arial"/>
              <a:cs typeface="Arial"/>
            </a:rPr>
            <a:t>Select a Sheet to View.</a:t>
          </a:r>
        </a:p>
      </xdr:txBody>
    </xdr:sp>
    <xdr:clientData/>
  </xdr:twoCellAnchor>
  <mc:AlternateContent xmlns:mc="http://schemas.openxmlformats.org/markup-compatibility/2006">
    <mc:Choice xmlns:a14="http://schemas.microsoft.com/office/drawing/2010/main" Requires="a14">
      <xdr:twoCellAnchor>
        <xdr:from>
          <xdr:col>4</xdr:col>
          <xdr:colOff>314325</xdr:colOff>
          <xdr:row>6</xdr:row>
          <xdr:rowOff>114300</xdr:rowOff>
        </xdr:from>
        <xdr:to>
          <xdr:col>5</xdr:col>
          <xdr:colOff>400050</xdr:colOff>
          <xdr:row>7</xdr:row>
          <xdr:rowOff>161925</xdr:rowOff>
        </xdr:to>
        <xdr:sp macro="" textlink="">
          <xdr:nvSpPr>
            <xdr:cNvPr id="29698" name="Button 2" hidden="1">
              <a:extLst>
                <a:ext uri="{63B3BB69-23CF-44E3-9099-C40C66FF867C}">
                  <a14:compatExt spid="_x0000_s29698"/>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Helv"/>
                </a:rPr>
                <a:t>Cancel/Exit</a:t>
              </a:r>
            </a:p>
          </xdr:txBody>
        </xdr:sp>
        <xdr:clientData/>
      </xdr:twoCellAnchor>
    </mc:Choice>
    <mc:Fallback/>
  </mc:AlternateContent>
  <mc:AlternateContent xmlns:mc="http://schemas.openxmlformats.org/markup-compatibility/2006">
    <mc:Choice xmlns:a14="http://schemas.microsoft.com/office/drawing/2010/main" Requires="a14">
      <xdr:twoCellAnchor>
        <xdr:from>
          <xdr:col>4</xdr:col>
          <xdr:colOff>314325</xdr:colOff>
          <xdr:row>5</xdr:row>
          <xdr:rowOff>9525</xdr:rowOff>
        </xdr:from>
        <xdr:to>
          <xdr:col>5</xdr:col>
          <xdr:colOff>400050</xdr:colOff>
          <xdr:row>6</xdr:row>
          <xdr:rowOff>66675</xdr:rowOff>
        </xdr:to>
        <xdr:sp macro="" textlink="">
          <xdr:nvSpPr>
            <xdr:cNvPr id="29699" name="Button 3" hidden="1">
              <a:extLst>
                <a:ext uri="{63B3BB69-23CF-44E3-9099-C40C66FF867C}">
                  <a14:compatExt spid="_x0000_s296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Helv"/>
                </a:rPr>
                <a:t>OK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209550</xdr:colOff>
          <xdr:row>4</xdr:row>
          <xdr:rowOff>152400</xdr:rowOff>
        </xdr:from>
        <xdr:to>
          <xdr:col>4</xdr:col>
          <xdr:colOff>200025</xdr:colOff>
          <xdr:row>8</xdr:row>
          <xdr:rowOff>38100</xdr:rowOff>
        </xdr:to>
        <xdr:sp macro="" textlink="">
          <xdr:nvSpPr>
            <xdr:cNvPr id="29700" name="List Box 4" hidden="1">
              <a:extLst>
                <a:ext uri="{63B3BB69-23CF-44E3-9099-C40C66FF867C}">
                  <a14:compatExt spid="_x0000_s29700"/>
                </a:ext>
              </a:extLst>
            </xdr:cNvPr>
            <xdr:cNvSpPr/>
          </xdr:nvSpPr>
          <xdr:spPr>
            <a:xfrm>
              <a:off x="0" y="0"/>
              <a:ext cx="0" cy="0"/>
            </a:xfrm>
            <a:prstGeom prst="rect">
              <a:avLst/>
            </a:prstGeom>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0</xdr:colOff>
          <xdr:row>4</xdr:row>
          <xdr:rowOff>133350</xdr:rowOff>
        </xdr:from>
        <xdr:to>
          <xdr:col>5</xdr:col>
          <xdr:colOff>190500</xdr:colOff>
          <xdr:row>6</xdr:row>
          <xdr:rowOff>9525</xdr:rowOff>
        </xdr:to>
        <xdr:sp macro="" textlink="">
          <xdr:nvSpPr>
            <xdr:cNvPr id="30722" name="Check Box 2" hidden="1">
              <a:extLst>
                <a:ext uri="{63B3BB69-23CF-44E3-9099-C40C66FF867C}">
                  <a14:compatExt spid="_x0000_s3072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Save Only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xdr:row>
          <xdr:rowOff>133350</xdr:rowOff>
        </xdr:from>
        <xdr:to>
          <xdr:col>5</xdr:col>
          <xdr:colOff>457200</xdr:colOff>
          <xdr:row>8</xdr:row>
          <xdr:rowOff>9525</xdr:rowOff>
        </xdr:to>
        <xdr:sp macro="" textlink="">
          <xdr:nvSpPr>
            <xdr:cNvPr id="30724" name="Check Box 4" hidden="1">
              <a:extLst>
                <a:ext uri="{63B3BB69-23CF-44E3-9099-C40C66FF867C}">
                  <a14:compatExt spid="_x0000_s3072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Save &amp; Exit Excell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xdr:row>
          <xdr:rowOff>133350</xdr:rowOff>
        </xdr:from>
        <xdr:to>
          <xdr:col>6</xdr:col>
          <xdr:colOff>76200</xdr:colOff>
          <xdr:row>10</xdr:row>
          <xdr:rowOff>9525</xdr:rowOff>
        </xdr:to>
        <xdr:sp macro="" textlink="">
          <xdr:nvSpPr>
            <xdr:cNvPr id="30725" name="Check Box 5" hidden="1">
              <a:extLst>
                <a:ext uri="{63B3BB69-23CF-44E3-9099-C40C66FF867C}">
                  <a14:compatExt spid="_x0000_s3072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Save and Open TAGS</a:t>
              </a:r>
            </a:p>
          </xdr:txBody>
        </xdr:sp>
        <xdr:clientData/>
      </xdr:twoCellAnchor>
    </mc:Choice>
    <mc:Fallback/>
  </mc:AlternateContent>
  <mc:AlternateContent xmlns:mc="http://schemas.openxmlformats.org/markup-compatibility/2006">
    <mc:Choice xmlns:a14="http://schemas.microsoft.com/office/drawing/2010/main" Requires="a14">
      <xdr:twoCellAnchor>
        <xdr:from>
          <xdr:col>6</xdr:col>
          <xdr:colOff>0</xdr:colOff>
          <xdr:row>5</xdr:row>
          <xdr:rowOff>0</xdr:rowOff>
        </xdr:from>
        <xdr:to>
          <xdr:col>6</xdr:col>
          <xdr:colOff>533400</xdr:colOff>
          <xdr:row>6</xdr:row>
          <xdr:rowOff>38100</xdr:rowOff>
        </xdr:to>
        <xdr:sp macro="" textlink="">
          <xdr:nvSpPr>
            <xdr:cNvPr id="30726" name="Button 6" hidden="1">
              <a:extLst>
                <a:ext uri="{63B3BB69-23CF-44E3-9099-C40C66FF867C}">
                  <a14:compatExt spid="_x0000_s30726"/>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Helv"/>
                </a:rPr>
                <a:t>OK</a:t>
              </a:r>
            </a:p>
          </xdr:txBody>
        </xdr:sp>
        <xdr:clientData/>
      </xdr:twoCellAnchor>
    </mc:Choice>
    <mc:Fallback/>
  </mc:AlternateContent>
  <mc:AlternateContent xmlns:mc="http://schemas.openxmlformats.org/markup-compatibility/2006">
    <mc:Choice xmlns:a14="http://schemas.microsoft.com/office/drawing/2010/main" Requires="a14">
      <xdr:twoCellAnchor>
        <xdr:from>
          <xdr:col>6</xdr:col>
          <xdr:colOff>0</xdr:colOff>
          <xdr:row>6</xdr:row>
          <xdr:rowOff>85725</xdr:rowOff>
        </xdr:from>
        <xdr:to>
          <xdr:col>6</xdr:col>
          <xdr:colOff>533400</xdr:colOff>
          <xdr:row>7</xdr:row>
          <xdr:rowOff>123825</xdr:rowOff>
        </xdr:to>
        <xdr:sp macro="" textlink="">
          <xdr:nvSpPr>
            <xdr:cNvPr id="30727" name="Button 7" hidden="1">
              <a:extLst>
                <a:ext uri="{63B3BB69-23CF-44E3-9099-C40C66FF867C}">
                  <a14:compatExt spid="_x0000_s30727"/>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Helv"/>
                </a:rPr>
                <a:t>Cancel</a:t>
              </a:r>
            </a:p>
          </xdr:txBody>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0</xdr:colOff>
          <xdr:row>4</xdr:row>
          <xdr:rowOff>133350</xdr:rowOff>
        </xdr:from>
        <xdr:to>
          <xdr:col>5</xdr:col>
          <xdr:colOff>190500</xdr:colOff>
          <xdr:row>6</xdr:row>
          <xdr:rowOff>9525</xdr:rowOff>
        </xdr:to>
        <xdr:sp macro="" textlink="">
          <xdr:nvSpPr>
            <xdr:cNvPr id="31746" name="Check Box 2" hidden="1">
              <a:extLst>
                <a:ext uri="{63B3BB69-23CF-44E3-9099-C40C66FF867C}">
                  <a14:compatExt spid="_x0000_s3174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Filter Only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xdr:row>
          <xdr:rowOff>133350</xdr:rowOff>
        </xdr:from>
        <xdr:to>
          <xdr:col>5</xdr:col>
          <xdr:colOff>457200</xdr:colOff>
          <xdr:row>8</xdr:row>
          <xdr:rowOff>9525</xdr:rowOff>
        </xdr:to>
        <xdr:sp macro="" textlink="">
          <xdr:nvSpPr>
            <xdr:cNvPr id="31748" name="Check Box 4" hidden="1">
              <a:extLst>
                <a:ext uri="{63B3BB69-23CF-44E3-9099-C40C66FF867C}">
                  <a14:compatExt spid="_x0000_s3174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Filter &amp; Print All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xdr:row>
          <xdr:rowOff>133350</xdr:rowOff>
        </xdr:from>
        <xdr:to>
          <xdr:col>6</xdr:col>
          <xdr:colOff>76200</xdr:colOff>
          <xdr:row>10</xdr:row>
          <xdr:rowOff>9525</xdr:rowOff>
        </xdr:to>
        <xdr:sp macro="" textlink="">
          <xdr:nvSpPr>
            <xdr:cNvPr id="31749" name="Check Box 5" hidden="1">
              <a:extLst>
                <a:ext uri="{63B3BB69-23CF-44E3-9099-C40C66FF867C}">
                  <a14:compatExt spid="_x0000_s3174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Print Individual Sheets</a:t>
              </a:r>
            </a:p>
          </xdr:txBody>
        </xdr:sp>
        <xdr:clientData/>
      </xdr:twoCellAnchor>
    </mc:Choice>
    <mc:Fallback/>
  </mc:AlternateContent>
  <mc:AlternateContent xmlns:mc="http://schemas.openxmlformats.org/markup-compatibility/2006">
    <mc:Choice xmlns:a14="http://schemas.microsoft.com/office/drawing/2010/main" Requires="a14">
      <xdr:twoCellAnchor>
        <xdr:from>
          <xdr:col>6</xdr:col>
          <xdr:colOff>0</xdr:colOff>
          <xdr:row>5</xdr:row>
          <xdr:rowOff>0</xdr:rowOff>
        </xdr:from>
        <xdr:to>
          <xdr:col>6</xdr:col>
          <xdr:colOff>533400</xdr:colOff>
          <xdr:row>6</xdr:row>
          <xdr:rowOff>38100</xdr:rowOff>
        </xdr:to>
        <xdr:sp macro="" textlink="">
          <xdr:nvSpPr>
            <xdr:cNvPr id="31750" name="Button 6" hidden="1">
              <a:extLst>
                <a:ext uri="{63B3BB69-23CF-44E3-9099-C40C66FF867C}">
                  <a14:compatExt spid="_x0000_s3175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Helv"/>
                </a:rPr>
                <a:t>OK</a:t>
              </a:r>
            </a:p>
          </xdr:txBody>
        </xdr:sp>
        <xdr:clientData/>
      </xdr:twoCellAnchor>
    </mc:Choice>
    <mc:Fallback/>
  </mc:AlternateContent>
  <mc:AlternateContent xmlns:mc="http://schemas.openxmlformats.org/markup-compatibility/2006">
    <mc:Choice xmlns:a14="http://schemas.microsoft.com/office/drawing/2010/main" Requires="a14">
      <xdr:twoCellAnchor>
        <xdr:from>
          <xdr:col>6</xdr:col>
          <xdr:colOff>0</xdr:colOff>
          <xdr:row>6</xdr:row>
          <xdr:rowOff>85725</xdr:rowOff>
        </xdr:from>
        <xdr:to>
          <xdr:col>6</xdr:col>
          <xdr:colOff>533400</xdr:colOff>
          <xdr:row>7</xdr:row>
          <xdr:rowOff>123825</xdr:rowOff>
        </xdr:to>
        <xdr:sp macro="" textlink="">
          <xdr:nvSpPr>
            <xdr:cNvPr id="31751" name="Button 7" hidden="1">
              <a:extLst>
                <a:ext uri="{63B3BB69-23CF-44E3-9099-C40C66FF867C}">
                  <a14:compatExt spid="_x0000_s31751"/>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Helv"/>
                </a:rPr>
                <a:t>Cancel</a:t>
              </a:r>
            </a:p>
          </xdr:txBody>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E:\SCHEDULE\schedule\TAGS.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GS"/>
    </sheetNames>
    <definedNames>
      <definedName name="GetAdminPassWord"/>
      <definedName name="HideDialog"/>
      <definedName name="MainMenuSelection"/>
      <definedName name="UtilitiesMenuSelection"/>
    </definedNames>
    <sheetDataSet>
      <sheetData sheetId="0"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2.vml"/><Relationship Id="rId1" Type="http://schemas.openxmlformats.org/officeDocument/2006/relationships/drawing" Target="../drawings/drawing7.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3.vml"/><Relationship Id="rId1" Type="http://schemas.openxmlformats.org/officeDocument/2006/relationships/drawing" Target="../drawings/drawing8.xml"/><Relationship Id="rId5" Type="http://schemas.openxmlformats.org/officeDocument/2006/relationships/ctrlProp" Target="../ctrlProps/ctrlProp10.xml"/><Relationship Id="rId4" Type="http://schemas.openxmlformats.org/officeDocument/2006/relationships/ctrlProp" Target="../ctrlProps/ctrlProp9.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9.xml"/><Relationship Id="rId1" Type="http://schemas.openxmlformats.org/officeDocument/2006/relationships/printerSettings" Target="../printerSettings/printerSettings6.bin"/><Relationship Id="rId4" Type="http://schemas.openxmlformats.org/officeDocument/2006/relationships/comments" Target="../comments2.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5.vml"/><Relationship Id="rId1" Type="http://schemas.openxmlformats.org/officeDocument/2006/relationships/drawing" Target="../drawings/drawing10.xml"/><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14.xml"/><Relationship Id="rId7" Type="http://schemas.openxmlformats.org/officeDocument/2006/relationships/ctrlProp" Target="../ctrlProps/ctrlProp18.xml"/><Relationship Id="rId2" Type="http://schemas.openxmlformats.org/officeDocument/2006/relationships/vmlDrawing" Target="../drawings/vmlDrawing6.vml"/><Relationship Id="rId1" Type="http://schemas.openxmlformats.org/officeDocument/2006/relationships/drawing" Target="../drawings/drawing11.xml"/><Relationship Id="rId6" Type="http://schemas.openxmlformats.org/officeDocument/2006/relationships/ctrlProp" Target="../ctrlProps/ctrlProp17.xml"/><Relationship Id="rId5" Type="http://schemas.openxmlformats.org/officeDocument/2006/relationships/ctrlProp" Target="../ctrlProps/ctrlProp16.xml"/><Relationship Id="rId4" Type="http://schemas.openxmlformats.org/officeDocument/2006/relationships/ctrlProp" Target="../ctrlProps/ctrlProp15.xml"/></Relationships>
</file>

<file path=xl/worksheets/_rels/sheet12.xml.rels><?xml version="1.0" encoding="UTF-8" standalone="yes"?>
<Relationships xmlns="http://schemas.openxmlformats.org/package/2006/relationships"><Relationship Id="rId8" Type="http://schemas.openxmlformats.org/officeDocument/2006/relationships/ctrlProp" Target="../ctrlProps/ctrlProp23.xml"/><Relationship Id="rId3" Type="http://schemas.openxmlformats.org/officeDocument/2006/relationships/vmlDrawing" Target="../drawings/vmlDrawing7.vml"/><Relationship Id="rId7" Type="http://schemas.openxmlformats.org/officeDocument/2006/relationships/ctrlProp" Target="../ctrlProps/ctrlProp22.xml"/><Relationship Id="rId2" Type="http://schemas.openxmlformats.org/officeDocument/2006/relationships/drawing" Target="../drawings/drawing12.xml"/><Relationship Id="rId1" Type="http://schemas.openxmlformats.org/officeDocument/2006/relationships/printerSettings" Target="../printerSettings/printerSettings7.bin"/><Relationship Id="rId6" Type="http://schemas.openxmlformats.org/officeDocument/2006/relationships/ctrlProp" Target="../ctrlProps/ctrlProp21.xml"/><Relationship Id="rId5" Type="http://schemas.openxmlformats.org/officeDocument/2006/relationships/ctrlProp" Target="../ctrlProps/ctrlProp20.xml"/><Relationship Id="rId4" Type="http://schemas.openxmlformats.org/officeDocument/2006/relationships/ctrlProp" Target="../ctrlProps/ctrlProp19.xml"/></Relationships>
</file>

<file path=xl/worksheets/_rels/sheet14.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19.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A105"/>
  <sheetViews>
    <sheetView workbookViewId="0">
      <pane xSplit="8" ySplit="14" topLeftCell="I33" activePane="bottomRight" state="frozen"/>
      <selection pane="topRight" activeCell="I1" sqref="I1"/>
      <selection pane="bottomLeft" activeCell="A15" sqref="A15"/>
      <selection pane="bottomRight" activeCell="H14" sqref="H14"/>
    </sheetView>
  </sheetViews>
  <sheetFormatPr defaultColWidth="8.85546875" defaultRowHeight="12.75" x14ac:dyDescent="0.2"/>
  <cols>
    <col min="1" max="1" width="56.7109375" customWidth="1"/>
    <col min="2" max="2" width="3.28515625" customWidth="1"/>
    <col min="3" max="3" width="4.7109375" customWidth="1"/>
    <col min="4" max="4" width="16.85546875" customWidth="1"/>
    <col min="5" max="5" width="4.85546875" customWidth="1"/>
    <col min="6" max="6" width="7.140625" customWidth="1"/>
    <col min="7" max="7" width="7.7109375" style="110" customWidth="1"/>
    <col min="8" max="8" width="85.85546875" customWidth="1"/>
    <col min="9" max="9" width="1.7109375" customWidth="1"/>
    <col min="10" max="11" width="12.28515625" customWidth="1"/>
    <col min="15" max="15" width="18.28515625" customWidth="1"/>
    <col min="16" max="17" width="3.7109375" customWidth="1"/>
    <col min="18" max="18" width="18.140625" customWidth="1"/>
  </cols>
  <sheetData>
    <row r="1" spans="1:27" ht="53.25" customHeight="1" x14ac:dyDescent="0.2">
      <c r="A1" s="116"/>
      <c r="B1" s="117"/>
      <c r="C1" s="117"/>
      <c r="D1" s="117"/>
      <c r="E1" s="117"/>
      <c r="F1" s="117"/>
      <c r="G1" s="117"/>
      <c r="H1" s="116"/>
      <c r="I1" s="111"/>
      <c r="J1" s="111"/>
      <c r="K1" s="113"/>
      <c r="L1" s="102" t="s">
        <v>4</v>
      </c>
      <c r="M1" s="103"/>
      <c r="N1" s="103"/>
      <c r="O1" s="103" t="s">
        <v>5</v>
      </c>
      <c r="P1" s="103">
        <v>2</v>
      </c>
      <c r="Q1" s="103">
        <v>9</v>
      </c>
      <c r="R1" s="103" t="str">
        <f>INDEX(O1:O100,P1)</f>
        <v>CUST Weekly Asignments</v>
      </c>
      <c r="S1" s="103"/>
      <c r="T1" s="103"/>
      <c r="U1" s="103"/>
      <c r="V1" s="103"/>
      <c r="W1" s="103"/>
      <c r="X1" s="103"/>
      <c r="Y1" s="67"/>
      <c r="Z1" s="103"/>
      <c r="AA1" s="67" t="s">
        <v>6</v>
      </c>
    </row>
    <row r="2" spans="1:27" ht="15" x14ac:dyDescent="0.2">
      <c r="A2" s="116"/>
      <c r="B2" s="106"/>
      <c r="C2" s="106"/>
      <c r="D2" s="106"/>
      <c r="E2" s="107"/>
      <c r="F2" s="107"/>
      <c r="G2" s="117"/>
      <c r="H2" s="116"/>
      <c r="I2" s="111"/>
      <c r="J2" s="111"/>
      <c r="K2" s="113"/>
      <c r="L2" s="102" t="s">
        <v>7</v>
      </c>
      <c r="M2" s="103">
        <v>2</v>
      </c>
      <c r="N2" s="103"/>
      <c r="O2" s="103" t="s">
        <v>23</v>
      </c>
      <c r="P2" s="103"/>
      <c r="Q2" s="103"/>
      <c r="R2" s="103" t="str">
        <f>INDEX(O1:O100,Q1)</f>
        <v>Schedule</v>
      </c>
      <c r="S2" s="103"/>
      <c r="T2" s="103"/>
      <c r="U2" s="103"/>
      <c r="V2" s="103"/>
      <c r="W2" s="103"/>
      <c r="X2" s="103"/>
      <c r="Y2" s="67"/>
      <c r="Z2" s="103"/>
      <c r="AA2" s="114" t="s">
        <v>8</v>
      </c>
    </row>
    <row r="3" spans="1:27" ht="15" x14ac:dyDescent="0.2">
      <c r="A3" s="116"/>
      <c r="B3" s="106"/>
      <c r="C3" s="112"/>
      <c r="D3" s="112"/>
      <c r="E3" s="112"/>
      <c r="F3" s="107"/>
      <c r="G3" s="117"/>
      <c r="H3" s="116"/>
      <c r="I3" s="111"/>
      <c r="J3" s="111"/>
      <c r="K3" s="113"/>
      <c r="L3" s="102" t="s">
        <v>9</v>
      </c>
      <c r="M3" s="103"/>
      <c r="N3" s="103"/>
      <c r="O3" s="103" t="s">
        <v>25</v>
      </c>
      <c r="P3" s="103"/>
      <c r="Q3" s="103"/>
      <c r="R3" s="103"/>
      <c r="S3" s="103"/>
      <c r="T3" s="103"/>
      <c r="U3" s="103"/>
      <c r="V3" s="103"/>
      <c r="W3" s="103"/>
      <c r="X3" s="103"/>
      <c r="Y3" s="67"/>
      <c r="Z3" s="103"/>
      <c r="AA3" s="67" t="s">
        <v>10</v>
      </c>
    </row>
    <row r="4" spans="1:27" ht="15" x14ac:dyDescent="0.2">
      <c r="A4" s="116"/>
      <c r="B4" s="106"/>
      <c r="C4" s="112"/>
      <c r="D4" s="112"/>
      <c r="E4" s="112"/>
      <c r="F4" s="107"/>
      <c r="G4" s="117"/>
      <c r="H4" s="116"/>
      <c r="I4" s="111"/>
      <c r="J4" s="111"/>
      <c r="K4" s="113"/>
      <c r="L4" s="102" t="s">
        <v>11</v>
      </c>
      <c r="M4" s="103"/>
      <c r="N4" s="103"/>
      <c r="O4" s="103" t="s">
        <v>27</v>
      </c>
      <c r="P4" s="103"/>
      <c r="Q4" s="103"/>
      <c r="R4" s="103"/>
      <c r="S4" s="103"/>
      <c r="T4" s="103"/>
      <c r="U4" s="103"/>
      <c r="V4" s="103"/>
      <c r="W4" s="103"/>
      <c r="X4" s="103"/>
      <c r="Y4" s="67"/>
      <c r="Z4" s="67"/>
      <c r="AA4" s="67" t="s">
        <v>12</v>
      </c>
    </row>
    <row r="5" spans="1:27" ht="15" x14ac:dyDescent="0.2">
      <c r="A5" s="116"/>
      <c r="B5" s="106"/>
      <c r="C5" s="112"/>
      <c r="D5" s="112"/>
      <c r="E5" s="112"/>
      <c r="F5" s="107"/>
      <c r="G5" s="117"/>
      <c r="H5" s="116"/>
      <c r="I5" s="111"/>
      <c r="J5" s="111"/>
      <c r="K5" s="113"/>
      <c r="L5" s="102" t="s">
        <v>13</v>
      </c>
      <c r="M5" s="103"/>
      <c r="N5" s="103"/>
      <c r="O5" s="103" t="s">
        <v>29</v>
      </c>
      <c r="P5" s="103"/>
      <c r="Q5" s="103"/>
      <c r="R5" s="103"/>
      <c r="S5" s="103"/>
      <c r="T5" s="103"/>
      <c r="U5" s="103"/>
      <c r="V5" s="103"/>
      <c r="W5" s="103"/>
      <c r="X5" s="103"/>
      <c r="Y5" s="67"/>
      <c r="Z5" s="103"/>
      <c r="AA5" s="67" t="s">
        <v>14</v>
      </c>
    </row>
    <row r="6" spans="1:27" ht="15" x14ac:dyDescent="0.2">
      <c r="A6" s="116"/>
      <c r="B6" s="106"/>
      <c r="C6" s="112"/>
      <c r="D6" s="112"/>
      <c r="E6" s="112"/>
      <c r="F6" s="107"/>
      <c r="G6" s="117"/>
      <c r="H6" s="116"/>
      <c r="I6" s="111"/>
      <c r="J6" s="111"/>
      <c r="K6" s="113"/>
      <c r="L6" s="103"/>
      <c r="M6" s="103"/>
      <c r="N6" s="103"/>
      <c r="O6" s="103" t="s">
        <v>31</v>
      </c>
      <c r="P6" s="103"/>
      <c r="Q6" s="103"/>
      <c r="R6" s="103"/>
      <c r="S6" s="103"/>
      <c r="T6" s="103"/>
      <c r="U6" s="103"/>
      <c r="V6" s="103"/>
      <c r="W6" s="103"/>
      <c r="X6" s="103"/>
      <c r="Y6" s="67"/>
      <c r="Z6" s="67"/>
      <c r="AA6" s="67" t="s">
        <v>15</v>
      </c>
    </row>
    <row r="7" spans="1:27" ht="15" x14ac:dyDescent="0.2">
      <c r="A7" s="116"/>
      <c r="B7" s="106"/>
      <c r="C7" s="112"/>
      <c r="D7" s="112"/>
      <c r="E7" s="112"/>
      <c r="F7" s="107"/>
      <c r="G7" s="117"/>
      <c r="H7" s="116"/>
      <c r="I7" s="111"/>
      <c r="J7" s="111"/>
      <c r="K7" s="113"/>
      <c r="L7" s="103"/>
      <c r="M7" s="103"/>
      <c r="N7" s="103"/>
      <c r="O7" s="103" t="s">
        <v>32</v>
      </c>
      <c r="P7" s="103"/>
      <c r="Q7" s="103"/>
      <c r="R7" s="103"/>
      <c r="S7" s="103"/>
      <c r="T7" s="103"/>
      <c r="U7" s="103"/>
      <c r="V7" s="103"/>
      <c r="W7" s="103"/>
      <c r="X7" s="103"/>
      <c r="Y7" s="67"/>
      <c r="Z7" s="67"/>
      <c r="AA7" s="67" t="s">
        <v>16</v>
      </c>
    </row>
    <row r="8" spans="1:27" ht="15" x14ac:dyDescent="0.2">
      <c r="A8" s="116"/>
      <c r="B8" s="106"/>
      <c r="C8" s="112"/>
      <c r="D8" s="112"/>
      <c r="E8" s="112"/>
      <c r="F8" s="107"/>
      <c r="G8" s="117"/>
      <c r="H8" s="116"/>
      <c r="I8" s="111"/>
      <c r="J8" s="111"/>
      <c r="K8" s="113"/>
      <c r="L8" s="103"/>
      <c r="M8" s="103"/>
      <c r="N8" s="103"/>
      <c r="O8" s="103" t="s">
        <v>33</v>
      </c>
      <c r="P8" s="103"/>
      <c r="Q8" s="103"/>
      <c r="R8" s="103"/>
      <c r="S8" s="103"/>
      <c r="T8" s="103"/>
      <c r="U8" s="103"/>
      <c r="V8" s="103"/>
      <c r="W8" s="103"/>
      <c r="X8" s="103"/>
      <c r="Y8" s="67"/>
      <c r="Z8" s="103"/>
      <c r="AA8" s="67" t="s">
        <v>17</v>
      </c>
    </row>
    <row r="9" spans="1:27" ht="15" x14ac:dyDescent="0.2">
      <c r="A9" s="116"/>
      <c r="B9" s="106"/>
      <c r="C9" s="112"/>
      <c r="D9" s="112"/>
      <c r="E9" s="112"/>
      <c r="F9" s="107"/>
      <c r="G9" s="117"/>
      <c r="H9" s="116"/>
      <c r="I9" s="111"/>
      <c r="J9" s="111"/>
      <c r="K9" s="113"/>
      <c r="L9" s="103"/>
      <c r="M9" s="103"/>
      <c r="N9" s="103"/>
      <c r="O9" s="103" t="s">
        <v>34</v>
      </c>
      <c r="P9" s="103"/>
      <c r="Q9" s="103"/>
      <c r="R9" s="103"/>
      <c r="S9" s="103"/>
      <c r="T9" s="103"/>
      <c r="U9" s="103"/>
      <c r="V9" s="103"/>
      <c r="W9" s="103"/>
      <c r="X9" s="103"/>
      <c r="Y9" s="67"/>
      <c r="Z9" s="103"/>
      <c r="AA9" s="67" t="s">
        <v>18</v>
      </c>
    </row>
    <row r="10" spans="1:27" ht="15" x14ac:dyDescent="0.2">
      <c r="A10" s="116"/>
      <c r="B10" s="106"/>
      <c r="C10" s="112"/>
      <c r="D10" s="112"/>
      <c r="E10" s="112"/>
      <c r="F10" s="107"/>
      <c r="G10" s="117"/>
      <c r="H10" s="116"/>
      <c r="I10" s="111"/>
      <c r="J10" s="111"/>
      <c r="K10" s="113"/>
      <c r="L10" s="103"/>
      <c r="M10" s="103"/>
      <c r="N10" s="103"/>
      <c r="O10" s="103" t="s">
        <v>35</v>
      </c>
      <c r="P10" s="103"/>
      <c r="Q10" s="103"/>
      <c r="R10" s="103"/>
      <c r="S10" s="103"/>
      <c r="T10" s="103"/>
      <c r="U10" s="103"/>
      <c r="V10" s="103"/>
      <c r="W10" s="103"/>
      <c r="X10" s="103"/>
      <c r="Y10" s="67"/>
      <c r="Z10" s="103"/>
      <c r="AA10" s="67" t="s">
        <v>19</v>
      </c>
    </row>
    <row r="11" spans="1:27" ht="15" x14ac:dyDescent="0.2">
      <c r="A11" s="116"/>
      <c r="B11" s="106"/>
      <c r="C11" s="111"/>
      <c r="D11" s="111"/>
      <c r="E11" s="112"/>
      <c r="F11" s="107"/>
      <c r="G11" s="117"/>
      <c r="H11" s="116"/>
      <c r="I11" s="111"/>
      <c r="J11" s="111"/>
      <c r="K11" s="113"/>
      <c r="L11" s="103"/>
      <c r="M11" s="103"/>
      <c r="N11" s="103"/>
      <c r="O11" s="103" t="s">
        <v>36</v>
      </c>
      <c r="P11" s="103"/>
      <c r="Q11" s="103"/>
      <c r="R11" s="103"/>
      <c r="S11" s="103"/>
      <c r="T11" s="103"/>
      <c r="U11" s="103"/>
      <c r="V11" s="103"/>
      <c r="W11" s="103"/>
      <c r="X11" s="103"/>
      <c r="Y11" s="67"/>
      <c r="Z11" s="103"/>
      <c r="AA11" s="67" t="s">
        <v>20</v>
      </c>
    </row>
    <row r="12" spans="1:27" ht="15" x14ac:dyDescent="0.2">
      <c r="A12" s="116"/>
      <c r="B12" s="106"/>
      <c r="C12" s="111"/>
      <c r="D12" s="111"/>
      <c r="E12" s="112"/>
      <c r="F12" s="107"/>
      <c r="G12" s="117"/>
      <c r="H12" s="116"/>
      <c r="I12" s="111"/>
      <c r="J12" s="111"/>
      <c r="K12" s="113"/>
      <c r="L12" s="103"/>
      <c r="M12" s="103"/>
      <c r="N12" s="103"/>
      <c r="O12" s="103" t="s">
        <v>37</v>
      </c>
      <c r="P12" s="103"/>
      <c r="Q12" s="103"/>
      <c r="R12" s="103"/>
      <c r="S12" s="103"/>
      <c r="T12" s="103"/>
      <c r="U12" s="103"/>
      <c r="V12" s="103"/>
      <c r="W12" s="103"/>
      <c r="X12" s="103"/>
      <c r="Y12" s="103"/>
      <c r="Z12" s="67"/>
      <c r="AA12" s="67" t="s">
        <v>21</v>
      </c>
    </row>
    <row r="13" spans="1:27" ht="15" x14ac:dyDescent="0.2">
      <c r="A13" s="116"/>
      <c r="B13" s="106"/>
      <c r="C13" s="106"/>
      <c r="D13" s="106"/>
      <c r="E13" s="107"/>
      <c r="F13" s="107"/>
      <c r="G13" s="117"/>
      <c r="H13" s="116"/>
      <c r="I13" s="111"/>
      <c r="J13" s="111"/>
      <c r="K13" s="113"/>
      <c r="L13" s="103"/>
      <c r="M13" s="103"/>
      <c r="N13" s="103"/>
      <c r="O13" s="103" t="s">
        <v>38</v>
      </c>
      <c r="P13" s="103"/>
      <c r="Q13" s="103"/>
      <c r="R13" s="103"/>
      <c r="S13" s="103"/>
      <c r="T13" s="103"/>
      <c r="U13" s="103"/>
      <c r="V13" s="103"/>
      <c r="W13" s="103"/>
      <c r="X13" s="103"/>
      <c r="Y13" s="103"/>
      <c r="Z13" s="67"/>
      <c r="AA13" s="67" t="s">
        <v>22</v>
      </c>
    </row>
    <row r="14" spans="1:27" ht="179.25" customHeight="1" x14ac:dyDescent="0.2">
      <c r="A14" s="116"/>
      <c r="B14" s="116"/>
      <c r="C14" s="117"/>
      <c r="D14" s="117"/>
      <c r="E14" s="117"/>
      <c r="F14" s="117"/>
      <c r="G14" s="117"/>
      <c r="H14" s="116"/>
      <c r="I14" s="111"/>
      <c r="J14" s="111"/>
      <c r="K14" s="113"/>
      <c r="L14" s="103"/>
      <c r="M14" s="103"/>
      <c r="N14" s="103"/>
      <c r="O14" s="103" t="s">
        <v>39</v>
      </c>
      <c r="P14" s="103"/>
      <c r="Q14" s="103"/>
      <c r="R14" s="103"/>
      <c r="S14" s="103"/>
      <c r="T14" s="103"/>
      <c r="U14" s="103"/>
      <c r="V14" s="103"/>
      <c r="W14" s="103"/>
      <c r="X14" s="103"/>
      <c r="Y14" s="103"/>
      <c r="Z14" s="67"/>
      <c r="AA14" s="67" t="s">
        <v>24</v>
      </c>
    </row>
    <row r="15" spans="1:27" ht="6.75" customHeight="1" x14ac:dyDescent="0.2">
      <c r="A15" s="111"/>
      <c r="B15" s="111"/>
      <c r="C15" s="111"/>
      <c r="D15" s="111"/>
      <c r="E15" s="112"/>
      <c r="F15" s="112"/>
      <c r="G15" s="112"/>
      <c r="H15" s="111"/>
      <c r="I15" s="127"/>
      <c r="J15" s="113"/>
      <c r="K15" s="113"/>
      <c r="L15" s="103"/>
      <c r="M15" s="103"/>
      <c r="N15" s="103"/>
      <c r="O15" s="103" t="s">
        <v>40</v>
      </c>
      <c r="P15" s="103"/>
      <c r="Q15" s="103"/>
      <c r="R15" s="103"/>
      <c r="S15" s="103"/>
      <c r="T15" s="103"/>
      <c r="U15" s="103"/>
      <c r="V15" s="103"/>
      <c r="W15" s="103"/>
      <c r="X15" s="103"/>
      <c r="Y15" s="103"/>
      <c r="Z15" s="67"/>
      <c r="AA15" s="67" t="s">
        <v>26</v>
      </c>
    </row>
    <row r="16" spans="1:27" ht="15" x14ac:dyDescent="0.2">
      <c r="A16" s="111"/>
      <c r="B16" s="111"/>
      <c r="C16" s="111"/>
      <c r="D16" s="111"/>
      <c r="E16" s="111"/>
      <c r="F16" s="111"/>
      <c r="G16" s="111"/>
      <c r="H16" s="111"/>
      <c r="I16" s="111"/>
      <c r="J16" s="113"/>
      <c r="K16" s="113"/>
      <c r="L16" s="103"/>
      <c r="M16" s="103"/>
      <c r="N16" s="103"/>
      <c r="O16" s="103" t="s">
        <v>41</v>
      </c>
      <c r="P16" s="103"/>
      <c r="Q16" s="103"/>
      <c r="R16" s="103"/>
      <c r="S16" s="103"/>
      <c r="T16" s="103"/>
      <c r="U16" s="103"/>
      <c r="V16" s="103"/>
      <c r="W16" s="103"/>
      <c r="X16" s="103"/>
      <c r="Y16" s="103"/>
      <c r="Z16" s="67"/>
      <c r="AA16" s="67" t="s">
        <v>28</v>
      </c>
    </row>
    <row r="17" spans="1:27" ht="15" x14ac:dyDescent="0.2">
      <c r="A17" s="111"/>
      <c r="B17" s="111"/>
      <c r="C17" s="111"/>
      <c r="D17" s="111"/>
      <c r="E17" s="111"/>
      <c r="F17" s="111"/>
      <c r="G17" s="111"/>
      <c r="H17" s="111"/>
      <c r="I17" s="111"/>
      <c r="J17" s="113"/>
      <c r="K17" s="113"/>
      <c r="L17" s="103"/>
      <c r="M17" s="103"/>
      <c r="N17" s="103"/>
      <c r="O17" s="103" t="s">
        <v>42</v>
      </c>
      <c r="P17" s="103"/>
      <c r="Q17" s="103"/>
      <c r="R17" s="103"/>
      <c r="S17" s="103"/>
      <c r="T17" s="103"/>
      <c r="U17" s="103"/>
      <c r="V17" s="103"/>
      <c r="W17" s="103"/>
      <c r="X17" s="103"/>
      <c r="Y17" s="103"/>
      <c r="Z17" s="67"/>
      <c r="AA17" s="67" t="s">
        <v>30</v>
      </c>
    </row>
    <row r="18" spans="1:27" ht="15" x14ac:dyDescent="0.2">
      <c r="A18" s="111"/>
      <c r="B18" s="111"/>
      <c r="C18" s="111"/>
      <c r="D18" s="111"/>
      <c r="E18" s="111" t="s">
        <v>334</v>
      </c>
      <c r="F18" s="111"/>
      <c r="G18" s="111"/>
      <c r="H18" s="111"/>
      <c r="I18" s="111"/>
      <c r="J18" s="111"/>
      <c r="K18" s="111"/>
      <c r="L18" s="103"/>
      <c r="M18" s="103"/>
      <c r="N18" s="103"/>
      <c r="O18" s="103" t="s">
        <v>43</v>
      </c>
      <c r="P18" s="103"/>
      <c r="Q18" s="103"/>
      <c r="R18" s="103"/>
      <c r="S18" s="103"/>
      <c r="T18" s="103"/>
      <c r="U18" s="103"/>
      <c r="V18" s="103"/>
      <c r="W18" s="103"/>
      <c r="X18" s="103"/>
      <c r="Y18" s="103"/>
      <c r="Z18" s="67"/>
      <c r="AA18" s="67"/>
    </row>
    <row r="19" spans="1:27" ht="15" x14ac:dyDescent="0.2">
      <c r="A19" s="111"/>
      <c r="B19" s="111"/>
      <c r="C19" s="111"/>
      <c r="D19" s="111"/>
      <c r="E19" s="111"/>
      <c r="F19" s="111"/>
      <c r="G19" s="111"/>
      <c r="H19" s="111"/>
      <c r="I19" s="111"/>
      <c r="J19" s="111"/>
      <c r="K19" s="111"/>
      <c r="L19" s="103"/>
      <c r="M19" s="103"/>
      <c r="N19" s="103"/>
      <c r="O19" s="103" t="s">
        <v>44</v>
      </c>
      <c r="P19" s="103"/>
      <c r="Q19" s="103"/>
      <c r="R19" s="103"/>
      <c r="S19" s="103"/>
      <c r="T19" s="103"/>
      <c r="U19" s="103"/>
      <c r="V19" s="103"/>
      <c r="W19" s="103"/>
      <c r="X19" s="103"/>
      <c r="Y19" s="103"/>
      <c r="Z19" s="67"/>
      <c r="AA19" s="67"/>
    </row>
    <row r="20" spans="1:27" ht="15" x14ac:dyDescent="0.2">
      <c r="A20" s="111"/>
      <c r="B20" s="111"/>
      <c r="C20" s="111"/>
      <c r="D20" s="111"/>
      <c r="E20" s="111"/>
      <c r="F20" s="111"/>
      <c r="G20" s="111"/>
      <c r="H20" s="111"/>
      <c r="I20" s="111"/>
      <c r="J20" s="111"/>
      <c r="K20" s="111"/>
      <c r="L20" s="103"/>
      <c r="M20" s="103"/>
      <c r="N20" s="103"/>
      <c r="O20" s="103" t="s">
        <v>45</v>
      </c>
      <c r="P20" s="103"/>
      <c r="Q20" s="103"/>
      <c r="R20" s="103"/>
      <c r="S20" s="103"/>
      <c r="T20" s="103"/>
      <c r="U20" s="103"/>
      <c r="V20" s="103"/>
      <c r="W20" s="103"/>
      <c r="X20" s="103"/>
      <c r="Y20" s="103"/>
      <c r="Z20" s="67"/>
      <c r="AA20" s="67"/>
    </row>
    <row r="21" spans="1:27" ht="15" x14ac:dyDescent="0.2">
      <c r="A21" s="111"/>
      <c r="B21" s="111"/>
      <c r="C21" s="111"/>
      <c r="D21" s="111"/>
      <c r="E21" s="111"/>
      <c r="F21" s="111"/>
      <c r="G21" s="111"/>
      <c r="H21" s="111"/>
      <c r="I21" s="111"/>
      <c r="J21" s="111"/>
      <c r="K21" s="111"/>
      <c r="L21" s="103"/>
      <c r="M21" s="103"/>
      <c r="N21" s="103"/>
      <c r="O21" s="103" t="s">
        <v>46</v>
      </c>
      <c r="P21" s="103"/>
      <c r="Q21" s="103"/>
      <c r="R21" s="103"/>
      <c r="S21" s="103"/>
      <c r="T21" s="103"/>
      <c r="U21" s="103"/>
      <c r="V21" s="103"/>
      <c r="W21" s="103"/>
      <c r="X21" s="103"/>
      <c r="Y21" s="103"/>
      <c r="Z21" s="67"/>
      <c r="AA21" s="67"/>
    </row>
    <row r="22" spans="1:27" ht="15" x14ac:dyDescent="0.2">
      <c r="A22" s="111"/>
      <c r="B22" s="111"/>
      <c r="C22" s="111"/>
      <c r="D22" s="111"/>
      <c r="E22" s="111"/>
      <c r="F22" s="111"/>
      <c r="G22" s="111"/>
      <c r="H22" s="111"/>
      <c r="I22" s="111"/>
      <c r="J22" s="111"/>
      <c r="K22" s="111"/>
      <c r="L22" s="103"/>
      <c r="M22" s="103"/>
      <c r="N22" s="103"/>
      <c r="O22" s="103" t="s">
        <v>47</v>
      </c>
      <c r="P22" s="103"/>
      <c r="Q22" s="103"/>
      <c r="R22" s="103"/>
      <c r="S22" s="103"/>
      <c r="T22" s="103"/>
      <c r="U22" s="103"/>
      <c r="V22" s="103"/>
      <c r="W22" s="103"/>
      <c r="X22" s="103"/>
      <c r="Y22" s="103"/>
      <c r="Z22" s="67"/>
      <c r="AA22" s="67"/>
    </row>
    <row r="23" spans="1:27" ht="15" x14ac:dyDescent="0.2">
      <c r="A23" s="111"/>
      <c r="B23" s="111"/>
      <c r="C23" s="111"/>
      <c r="D23" s="111"/>
      <c r="E23" s="111"/>
      <c r="F23" s="111"/>
      <c r="G23" s="111"/>
      <c r="H23" s="111"/>
      <c r="I23" s="111"/>
      <c r="J23" s="111"/>
      <c r="K23" s="111"/>
      <c r="L23" s="103"/>
      <c r="M23" s="103"/>
      <c r="N23" s="103"/>
      <c r="O23" s="103" t="s">
        <v>48</v>
      </c>
      <c r="P23" s="103"/>
      <c r="Q23" s="103"/>
      <c r="R23" s="103"/>
      <c r="S23" s="103"/>
      <c r="T23" s="103"/>
      <c r="U23" s="103"/>
      <c r="V23" s="103"/>
      <c r="W23" s="103"/>
      <c r="X23" s="103"/>
      <c r="Y23" s="103"/>
      <c r="Z23" s="67"/>
      <c r="AA23" s="67"/>
    </row>
    <row r="24" spans="1:27" ht="15" x14ac:dyDescent="0.2">
      <c r="A24" s="111"/>
      <c r="B24" s="111"/>
      <c r="C24" s="111"/>
      <c r="D24" s="111"/>
      <c r="E24" s="111"/>
      <c r="F24" s="111"/>
      <c r="G24" s="111"/>
      <c r="H24" s="111"/>
      <c r="I24" s="111"/>
      <c r="J24" s="111"/>
      <c r="K24" s="111"/>
      <c r="L24" s="103"/>
      <c r="M24" s="103"/>
      <c r="N24" s="103"/>
      <c r="O24" s="103" t="s">
        <v>49</v>
      </c>
      <c r="P24" s="103"/>
      <c r="Q24" s="103"/>
      <c r="R24" s="103"/>
      <c r="S24" s="103"/>
      <c r="T24" s="103"/>
      <c r="U24" s="103"/>
      <c r="V24" s="103"/>
      <c r="W24" s="103"/>
      <c r="X24" s="103"/>
      <c r="Y24" s="103"/>
      <c r="Z24" s="67"/>
      <c r="AA24" s="67"/>
    </row>
    <row r="25" spans="1:27" ht="15" x14ac:dyDescent="0.2">
      <c r="A25" s="111"/>
      <c r="B25" s="111"/>
      <c r="C25" s="111"/>
      <c r="D25" s="111"/>
      <c r="E25" s="111"/>
      <c r="F25" s="111"/>
      <c r="G25" s="111"/>
      <c r="H25" s="111"/>
      <c r="I25" s="111"/>
      <c r="J25" s="111"/>
      <c r="K25" s="111"/>
      <c r="L25" s="103"/>
      <c r="M25" s="103"/>
      <c r="N25" s="103"/>
      <c r="O25" s="103" t="s">
        <v>50</v>
      </c>
      <c r="P25" s="103"/>
      <c r="Q25" s="103"/>
      <c r="R25" s="103"/>
      <c r="S25" s="103"/>
      <c r="T25" s="103"/>
      <c r="U25" s="103"/>
      <c r="V25" s="103"/>
      <c r="W25" s="103"/>
      <c r="X25" s="103"/>
      <c r="Y25" s="103"/>
      <c r="Z25" s="67"/>
      <c r="AA25" s="67"/>
    </row>
    <row r="26" spans="1:27" ht="15" x14ac:dyDescent="0.2">
      <c r="A26" s="111"/>
      <c r="B26" s="111"/>
      <c r="C26" s="111"/>
      <c r="D26" s="111"/>
      <c r="E26" s="111"/>
      <c r="F26" s="111"/>
      <c r="G26" s="111"/>
      <c r="H26" s="111"/>
      <c r="I26" s="111"/>
      <c r="J26" s="111"/>
      <c r="K26" s="111"/>
      <c r="L26" s="103"/>
      <c r="M26" s="103"/>
      <c r="N26" s="103"/>
      <c r="O26" s="103" t="s">
        <v>51</v>
      </c>
      <c r="P26" s="103"/>
      <c r="Q26" s="103"/>
      <c r="R26" s="103"/>
      <c r="S26" s="103"/>
      <c r="T26" s="103"/>
      <c r="U26" s="103"/>
      <c r="V26" s="103"/>
      <c r="W26" s="103"/>
      <c r="X26" s="103"/>
      <c r="Y26" s="103"/>
      <c r="Z26" s="103"/>
      <c r="AA26" s="67"/>
    </row>
    <row r="27" spans="1:27" ht="15" x14ac:dyDescent="0.2">
      <c r="A27" s="111"/>
      <c r="B27" s="111"/>
      <c r="C27" s="111"/>
      <c r="D27" s="111"/>
      <c r="E27" s="111"/>
      <c r="F27" s="111"/>
      <c r="G27" s="111"/>
      <c r="H27" s="111"/>
      <c r="I27" s="111"/>
      <c r="J27" s="111"/>
      <c r="K27" s="111"/>
      <c r="L27" s="103"/>
      <c r="M27" s="103"/>
      <c r="N27" s="103"/>
      <c r="O27" s="103" t="s">
        <v>52</v>
      </c>
      <c r="P27" s="103"/>
      <c r="Q27" s="103"/>
      <c r="R27" s="103"/>
      <c r="S27" s="103"/>
      <c r="T27" s="103"/>
      <c r="U27" s="103"/>
      <c r="V27" s="103"/>
      <c r="W27" s="103"/>
      <c r="X27" s="103"/>
      <c r="Y27" s="103"/>
      <c r="Z27" s="103"/>
      <c r="AA27" s="67"/>
    </row>
    <row r="28" spans="1:27" ht="15" x14ac:dyDescent="0.2">
      <c r="A28" s="111"/>
      <c r="B28" s="111"/>
      <c r="C28" s="111"/>
      <c r="D28" s="111"/>
      <c r="E28" s="111"/>
      <c r="F28" s="111"/>
      <c r="G28" s="111"/>
      <c r="H28" s="111"/>
      <c r="I28" s="111"/>
      <c r="J28" s="111"/>
      <c r="K28" s="111"/>
      <c r="L28" s="103"/>
      <c r="M28" s="103"/>
      <c r="N28" s="103"/>
      <c r="O28" s="103" t="s">
        <v>53</v>
      </c>
      <c r="P28" s="103"/>
      <c r="Q28" s="103"/>
      <c r="R28" s="103"/>
      <c r="S28" s="103"/>
      <c r="T28" s="103"/>
      <c r="U28" s="103"/>
      <c r="V28" s="103"/>
      <c r="W28" s="103"/>
      <c r="X28" s="103"/>
      <c r="Y28" s="103"/>
      <c r="Z28" s="103"/>
      <c r="AA28" s="67"/>
    </row>
    <row r="29" spans="1:27" ht="15" x14ac:dyDescent="0.2">
      <c r="A29" s="111"/>
      <c r="B29" s="111"/>
      <c r="C29" s="111"/>
      <c r="D29" s="111"/>
      <c r="E29" s="111"/>
      <c r="F29" s="111"/>
      <c r="G29" s="111"/>
      <c r="H29" s="111"/>
      <c r="I29" s="111"/>
      <c r="J29" s="111"/>
      <c r="K29" s="111"/>
      <c r="L29" s="103"/>
      <c r="M29" s="103"/>
      <c r="N29" s="103"/>
      <c r="O29" s="103" t="s">
        <v>54</v>
      </c>
      <c r="P29" s="103"/>
      <c r="Q29" s="103"/>
      <c r="R29" s="103"/>
      <c r="S29" s="103"/>
      <c r="T29" s="103"/>
      <c r="U29" s="103"/>
      <c r="V29" s="103"/>
      <c r="W29" s="103"/>
      <c r="X29" s="103"/>
      <c r="Y29" s="103"/>
      <c r="Z29" s="103"/>
      <c r="AA29" s="67"/>
    </row>
    <row r="30" spans="1:27" ht="15" x14ac:dyDescent="0.2">
      <c r="A30" s="111"/>
      <c r="B30" s="111"/>
      <c r="C30" s="111"/>
      <c r="D30" s="111"/>
      <c r="E30" s="111"/>
      <c r="F30" s="111"/>
      <c r="G30" s="111"/>
      <c r="H30" s="111"/>
      <c r="I30" s="111"/>
      <c r="J30" s="111"/>
      <c r="K30" s="111"/>
      <c r="L30" s="103"/>
      <c r="M30" s="103"/>
      <c r="N30" s="103"/>
      <c r="O30" s="103" t="s">
        <v>55</v>
      </c>
      <c r="P30" s="103"/>
      <c r="Q30" s="103"/>
      <c r="R30" s="103"/>
      <c r="S30" s="103"/>
      <c r="T30" s="103"/>
      <c r="U30" s="103"/>
      <c r="V30" s="103"/>
      <c r="W30" s="103"/>
      <c r="X30" s="103"/>
      <c r="Y30" s="103"/>
      <c r="Z30" s="103"/>
      <c r="AA30" s="67"/>
    </row>
    <row r="31" spans="1:27" ht="15" x14ac:dyDescent="0.2">
      <c r="A31" s="111"/>
      <c r="B31" s="111"/>
      <c r="C31" s="111"/>
      <c r="D31" s="111"/>
      <c r="E31" s="111"/>
      <c r="F31" s="111"/>
      <c r="G31" s="111"/>
      <c r="H31" s="111"/>
      <c r="I31" s="111"/>
      <c r="J31" s="111"/>
      <c r="K31" s="111"/>
      <c r="L31" s="103"/>
      <c r="M31" s="103"/>
      <c r="N31" s="103"/>
      <c r="O31" s="103" t="s">
        <v>280</v>
      </c>
      <c r="P31" s="103"/>
      <c r="Q31" s="103"/>
      <c r="R31" s="103"/>
      <c r="S31" s="103"/>
      <c r="T31" s="103"/>
      <c r="U31" s="103"/>
      <c r="V31" s="103"/>
      <c r="W31" s="103"/>
      <c r="X31" s="103"/>
      <c r="Y31" s="103"/>
      <c r="Z31" s="103"/>
      <c r="AA31" s="67"/>
    </row>
    <row r="32" spans="1:27" ht="15" x14ac:dyDescent="0.2">
      <c r="A32" s="111"/>
      <c r="B32" s="111"/>
      <c r="C32" s="111"/>
      <c r="D32" s="111"/>
      <c r="E32" s="111"/>
      <c r="F32" s="111"/>
      <c r="G32" s="111"/>
      <c r="H32" s="111"/>
      <c r="I32" s="111"/>
      <c r="J32" s="111"/>
      <c r="K32" s="111"/>
      <c r="L32" s="103"/>
      <c r="M32" s="103"/>
      <c r="N32" s="103"/>
      <c r="O32" s="103" t="s">
        <v>293</v>
      </c>
      <c r="P32" s="103"/>
      <c r="Q32" s="103"/>
      <c r="R32" s="103"/>
      <c r="S32" s="103"/>
      <c r="T32" s="103"/>
      <c r="U32" s="103"/>
      <c r="V32" s="103"/>
      <c r="W32" s="103"/>
      <c r="X32" s="103"/>
      <c r="Y32" s="103"/>
      <c r="Z32" s="103"/>
      <c r="AA32" s="67"/>
    </row>
    <row r="33" spans="1:27" ht="15" x14ac:dyDescent="0.2">
      <c r="A33" s="111"/>
      <c r="B33" s="111"/>
      <c r="C33" s="111"/>
      <c r="D33" s="111"/>
      <c r="E33" s="111"/>
      <c r="F33" s="111"/>
      <c r="G33" s="111"/>
      <c r="H33" s="111"/>
      <c r="I33" s="111"/>
      <c r="J33" s="111"/>
      <c r="K33" s="111"/>
      <c r="L33" s="103"/>
      <c r="M33" s="103"/>
      <c r="N33" s="103"/>
      <c r="O33" s="103" t="s">
        <v>294</v>
      </c>
      <c r="P33" s="103"/>
      <c r="Q33" s="103"/>
      <c r="R33" s="103"/>
      <c r="S33" s="103"/>
      <c r="T33" s="103"/>
      <c r="U33" s="103"/>
      <c r="V33" s="103"/>
      <c r="W33" s="103"/>
      <c r="X33" s="103"/>
      <c r="Y33" s="103"/>
      <c r="Z33" s="103"/>
      <c r="AA33" s="67"/>
    </row>
    <row r="34" spans="1:27" ht="15" x14ac:dyDescent="0.2">
      <c r="A34" s="111"/>
      <c r="B34" s="111"/>
      <c r="C34" s="111"/>
      <c r="D34" s="111"/>
      <c r="E34" s="111"/>
      <c r="F34" s="111"/>
      <c r="G34" s="111"/>
      <c r="H34" s="111"/>
      <c r="I34" s="111"/>
      <c r="J34" s="111"/>
      <c r="K34" s="111"/>
      <c r="L34" s="103"/>
      <c r="M34" s="103"/>
      <c r="N34" s="103"/>
      <c r="O34" s="103"/>
      <c r="P34" s="103"/>
      <c r="Q34" s="103"/>
      <c r="R34" s="103"/>
      <c r="S34" s="103"/>
      <c r="T34" s="103"/>
      <c r="U34" s="103"/>
      <c r="V34" s="103"/>
      <c r="W34" s="103"/>
      <c r="X34" s="103"/>
      <c r="Y34" s="103"/>
      <c r="Z34" s="103"/>
      <c r="AA34" s="67"/>
    </row>
    <row r="35" spans="1:27" ht="15" x14ac:dyDescent="0.2">
      <c r="A35" s="111"/>
      <c r="B35" s="111"/>
      <c r="C35" s="111"/>
      <c r="D35" s="111"/>
      <c r="E35" s="111"/>
      <c r="F35" s="111"/>
      <c r="G35" s="111"/>
      <c r="H35" s="111"/>
      <c r="I35" s="111"/>
      <c r="J35" s="111"/>
      <c r="K35" s="111"/>
      <c r="L35" s="103"/>
      <c r="M35" s="103"/>
      <c r="N35" s="103"/>
      <c r="O35" s="103"/>
      <c r="P35" s="103"/>
      <c r="Q35" s="103"/>
      <c r="R35" s="103"/>
      <c r="S35" s="103"/>
      <c r="T35" s="103"/>
      <c r="U35" s="103"/>
      <c r="V35" s="103"/>
      <c r="W35" s="103"/>
      <c r="X35" s="103"/>
      <c r="Y35" s="103"/>
      <c r="Z35" s="103"/>
      <c r="AA35" s="67"/>
    </row>
    <row r="36" spans="1:27" ht="15" x14ac:dyDescent="0.2">
      <c r="A36" s="111"/>
      <c r="B36" s="111"/>
      <c r="C36" s="111"/>
      <c r="D36" s="111"/>
      <c r="E36" s="111"/>
      <c r="F36" s="111"/>
      <c r="G36" s="111"/>
      <c r="H36" s="111"/>
      <c r="I36" s="111"/>
      <c r="J36" s="111"/>
      <c r="K36" s="111"/>
      <c r="L36" s="103"/>
      <c r="M36" s="103"/>
      <c r="N36" s="103"/>
      <c r="O36" s="103"/>
      <c r="P36" s="103"/>
      <c r="Q36" s="103"/>
      <c r="R36" s="103"/>
      <c r="S36" s="103"/>
      <c r="T36" s="103"/>
      <c r="U36" s="103"/>
      <c r="V36" s="103"/>
      <c r="W36" s="103"/>
      <c r="X36" s="103"/>
      <c r="Y36" s="103"/>
      <c r="Z36" s="103"/>
      <c r="AA36" s="67"/>
    </row>
    <row r="37" spans="1:27" ht="15" x14ac:dyDescent="0.2">
      <c r="A37" s="111"/>
      <c r="B37" s="111"/>
      <c r="C37" s="111"/>
      <c r="D37" s="111"/>
      <c r="E37" s="111"/>
      <c r="F37" s="111"/>
      <c r="G37" s="111"/>
      <c r="H37" s="111"/>
      <c r="I37" s="111"/>
      <c r="J37" s="111"/>
      <c r="K37" s="111"/>
      <c r="L37" s="103"/>
      <c r="M37" s="103"/>
      <c r="N37" s="103"/>
      <c r="O37" s="103"/>
      <c r="P37" s="103"/>
      <c r="Q37" s="103"/>
      <c r="R37" s="103"/>
      <c r="S37" s="103"/>
      <c r="T37" s="103"/>
      <c r="U37" s="103"/>
      <c r="V37" s="103"/>
      <c r="W37" s="103"/>
      <c r="X37" s="103"/>
      <c r="Y37" s="103"/>
      <c r="Z37" s="103"/>
      <c r="AA37" s="67"/>
    </row>
    <row r="38" spans="1:27" ht="15" x14ac:dyDescent="0.2">
      <c r="A38" s="111"/>
      <c r="B38" s="111"/>
      <c r="C38" s="111"/>
      <c r="D38" s="111"/>
      <c r="E38" s="111"/>
      <c r="F38" s="111"/>
      <c r="G38" s="111"/>
      <c r="H38" s="111"/>
      <c r="I38" s="111"/>
      <c r="J38" s="111"/>
      <c r="K38" s="111"/>
      <c r="L38" s="103"/>
      <c r="M38" s="103"/>
      <c r="N38" s="103"/>
      <c r="O38" s="103"/>
      <c r="P38" s="103"/>
      <c r="Q38" s="103"/>
      <c r="R38" s="103"/>
      <c r="S38" s="103"/>
      <c r="T38" s="103"/>
      <c r="U38" s="103"/>
      <c r="V38" s="103"/>
      <c r="W38" s="103"/>
      <c r="X38" s="103"/>
      <c r="Y38" s="103"/>
      <c r="Z38" s="103"/>
      <c r="AA38" s="67"/>
    </row>
    <row r="39" spans="1:27" ht="15" x14ac:dyDescent="0.2">
      <c r="A39" s="111"/>
      <c r="B39" s="111"/>
      <c r="C39" s="111"/>
      <c r="D39" s="111"/>
      <c r="E39" s="111"/>
      <c r="F39" s="111"/>
      <c r="G39" s="111"/>
      <c r="H39" s="111"/>
      <c r="I39" s="111"/>
      <c r="J39" s="111"/>
      <c r="K39" s="111"/>
      <c r="L39" s="103"/>
      <c r="M39" s="103"/>
      <c r="N39" s="103"/>
      <c r="O39" s="103"/>
      <c r="P39" s="103"/>
      <c r="Q39" s="103"/>
      <c r="R39" s="103"/>
      <c r="S39" s="103"/>
      <c r="T39" s="103"/>
      <c r="U39" s="103"/>
      <c r="V39" s="103"/>
      <c r="W39" s="103"/>
      <c r="X39" s="103"/>
      <c r="Y39" s="103"/>
      <c r="Z39" s="103"/>
      <c r="AA39" s="67"/>
    </row>
    <row r="40" spans="1:27" ht="15" x14ac:dyDescent="0.2">
      <c r="A40" s="111"/>
      <c r="B40" s="111"/>
      <c r="C40" s="111"/>
      <c r="D40" s="111"/>
      <c r="E40" s="111"/>
      <c r="F40" s="111"/>
      <c r="G40" s="111"/>
      <c r="H40" s="111"/>
      <c r="I40" s="111"/>
      <c r="J40" s="111"/>
      <c r="K40" s="111"/>
      <c r="L40" s="103"/>
      <c r="M40" s="103"/>
      <c r="N40" s="103"/>
      <c r="O40" s="103"/>
      <c r="P40" s="103"/>
      <c r="Q40" s="103"/>
      <c r="R40" s="103"/>
      <c r="S40" s="103"/>
      <c r="T40" s="103"/>
      <c r="U40" s="103"/>
      <c r="V40" s="103"/>
      <c r="W40" s="103"/>
      <c r="X40" s="103"/>
      <c r="Y40" s="103"/>
      <c r="Z40" s="103"/>
      <c r="AA40" s="67"/>
    </row>
    <row r="41" spans="1:27" ht="15" x14ac:dyDescent="0.2">
      <c r="A41" s="111"/>
      <c r="B41" s="111"/>
      <c r="C41" s="111"/>
      <c r="D41" s="111"/>
      <c r="E41" s="111"/>
      <c r="F41" s="111"/>
      <c r="G41" s="111"/>
      <c r="H41" s="111"/>
      <c r="I41" s="111"/>
      <c r="J41" s="111"/>
      <c r="K41" s="111"/>
      <c r="L41" s="103"/>
      <c r="M41" s="103"/>
      <c r="N41" s="103"/>
      <c r="O41" s="103"/>
      <c r="P41" s="103"/>
      <c r="Q41" s="103"/>
      <c r="R41" s="103"/>
      <c r="S41" s="103"/>
      <c r="T41" s="103"/>
      <c r="U41" s="103"/>
      <c r="V41" s="103"/>
      <c r="W41" s="103"/>
      <c r="X41" s="103"/>
      <c r="Y41" s="103"/>
      <c r="Z41" s="103"/>
      <c r="AA41" s="67"/>
    </row>
    <row r="42" spans="1:27" ht="15" x14ac:dyDescent="0.2">
      <c r="A42" s="111"/>
      <c r="B42" s="111"/>
      <c r="C42" s="111"/>
      <c r="D42" s="111"/>
      <c r="E42" s="111"/>
      <c r="F42" s="111"/>
      <c r="G42" s="111"/>
      <c r="H42" s="111"/>
      <c r="I42" s="111"/>
      <c r="J42" s="111"/>
      <c r="K42" s="111"/>
      <c r="L42" s="103"/>
      <c r="M42" s="103"/>
      <c r="N42" s="103"/>
      <c r="O42" s="103"/>
      <c r="P42" s="103"/>
      <c r="Q42" s="103"/>
      <c r="R42" s="103"/>
      <c r="S42" s="103"/>
      <c r="T42" s="103"/>
      <c r="U42" s="103"/>
      <c r="V42" s="103"/>
      <c r="W42" s="103"/>
      <c r="X42" s="103"/>
      <c r="Y42" s="103"/>
      <c r="Z42" s="103"/>
      <c r="AA42" s="67"/>
    </row>
    <row r="43" spans="1:27" ht="15" x14ac:dyDescent="0.2">
      <c r="A43" s="111"/>
      <c r="B43" s="111"/>
      <c r="C43" s="111"/>
      <c r="D43" s="111"/>
      <c r="E43" s="111"/>
      <c r="F43" s="111"/>
      <c r="G43" s="111"/>
      <c r="H43" s="111"/>
      <c r="I43" s="111"/>
      <c r="J43" s="111"/>
      <c r="K43" s="111"/>
      <c r="L43" s="103"/>
      <c r="M43" s="103"/>
      <c r="N43" s="103"/>
      <c r="O43" s="103"/>
      <c r="P43" s="103"/>
      <c r="Q43" s="103"/>
      <c r="R43" s="103"/>
      <c r="S43" s="103"/>
      <c r="T43" s="103"/>
      <c r="U43" s="103"/>
      <c r="V43" s="103"/>
      <c r="W43" s="103"/>
      <c r="X43" s="103"/>
      <c r="Y43" s="103"/>
      <c r="Z43" s="103"/>
      <c r="AA43" s="67"/>
    </row>
    <row r="44" spans="1:27" ht="15" x14ac:dyDescent="0.2">
      <c r="L44" s="103"/>
      <c r="M44" s="103"/>
      <c r="N44" s="103"/>
      <c r="O44" s="103"/>
      <c r="P44" s="103"/>
      <c r="Q44" s="103"/>
      <c r="R44" s="103"/>
      <c r="S44" s="103"/>
      <c r="T44" s="103"/>
      <c r="U44" s="103"/>
      <c r="V44" s="103"/>
      <c r="W44" s="103"/>
      <c r="X44" s="103"/>
      <c r="Y44" s="103"/>
      <c r="Z44" s="103"/>
      <c r="AA44" s="67"/>
    </row>
    <row r="45" spans="1:27" ht="15" x14ac:dyDescent="0.2">
      <c r="L45" s="103"/>
      <c r="M45" s="103"/>
      <c r="N45" s="103"/>
      <c r="O45" s="103"/>
      <c r="P45" s="103"/>
      <c r="Q45" s="103"/>
      <c r="R45" s="103"/>
      <c r="S45" s="103"/>
      <c r="T45" s="103"/>
      <c r="U45" s="103"/>
      <c r="V45" s="103"/>
      <c r="W45" s="103"/>
      <c r="X45" s="103"/>
      <c r="Y45" s="103"/>
      <c r="Z45" s="103"/>
      <c r="AA45" s="67"/>
    </row>
    <row r="46" spans="1:27" ht="15" x14ac:dyDescent="0.2">
      <c r="L46" s="103"/>
      <c r="M46" s="103"/>
      <c r="N46" s="103"/>
      <c r="O46" s="103"/>
      <c r="P46" s="103"/>
      <c r="Q46" s="103"/>
      <c r="R46" s="103"/>
      <c r="S46" s="103"/>
      <c r="T46" s="103"/>
      <c r="U46" s="103"/>
      <c r="V46" s="103"/>
      <c r="W46" s="103"/>
      <c r="X46" s="103"/>
      <c r="Y46" s="103"/>
      <c r="Z46" s="103"/>
      <c r="AA46" s="67"/>
    </row>
    <row r="47" spans="1:27" ht="15" x14ac:dyDescent="0.2">
      <c r="L47" s="103"/>
      <c r="M47" s="103"/>
      <c r="N47" s="103"/>
      <c r="O47" s="103"/>
      <c r="P47" s="103"/>
      <c r="Q47" s="103"/>
      <c r="R47" s="103"/>
      <c r="S47" s="103"/>
      <c r="T47" s="103"/>
      <c r="U47" s="103"/>
      <c r="V47" s="103"/>
      <c r="W47" s="103"/>
      <c r="X47" s="103"/>
      <c r="Y47" s="103"/>
      <c r="Z47" s="103"/>
      <c r="AA47" s="67"/>
    </row>
    <row r="48" spans="1:27" ht="15" x14ac:dyDescent="0.2">
      <c r="L48" s="103"/>
      <c r="M48" s="103"/>
      <c r="N48" s="103"/>
      <c r="O48" s="103"/>
      <c r="P48" s="103"/>
      <c r="Q48" s="103"/>
      <c r="R48" s="103"/>
      <c r="S48" s="103"/>
      <c r="T48" s="103"/>
      <c r="U48" s="103"/>
      <c r="V48" s="103"/>
      <c r="W48" s="103"/>
      <c r="X48" s="103"/>
      <c r="Y48" s="103"/>
      <c r="Z48" s="103"/>
      <c r="AA48" s="67"/>
    </row>
    <row r="49" spans="12:27" ht="15" x14ac:dyDescent="0.2">
      <c r="L49" s="103"/>
      <c r="M49" s="103"/>
      <c r="N49" s="103"/>
      <c r="O49" s="103"/>
      <c r="P49" s="103"/>
      <c r="Q49" s="103"/>
      <c r="R49" s="103"/>
      <c r="S49" s="103"/>
      <c r="T49" s="103"/>
      <c r="U49" s="103"/>
      <c r="V49" s="103"/>
      <c r="W49" s="103"/>
      <c r="X49" s="103"/>
      <c r="Y49" s="103"/>
      <c r="Z49" s="103"/>
      <c r="AA49" s="67"/>
    </row>
    <row r="50" spans="12:27" ht="15" x14ac:dyDescent="0.2">
      <c r="L50" s="103"/>
      <c r="M50" s="103"/>
      <c r="N50" s="103"/>
      <c r="O50" s="103"/>
      <c r="P50" s="103"/>
      <c r="Q50" s="103"/>
      <c r="R50" s="103"/>
      <c r="S50" s="103"/>
      <c r="T50" s="103"/>
      <c r="U50" s="103"/>
      <c r="V50" s="103"/>
      <c r="W50" s="103"/>
      <c r="X50" s="103"/>
      <c r="Y50" s="103"/>
      <c r="Z50" s="103"/>
      <c r="AA50" s="67"/>
    </row>
    <row r="51" spans="12:27" ht="15" x14ac:dyDescent="0.2">
      <c r="L51" s="103"/>
      <c r="M51" s="103"/>
      <c r="N51" s="103"/>
      <c r="O51" s="103"/>
      <c r="P51" s="103"/>
      <c r="Q51" s="103"/>
      <c r="R51" s="103"/>
      <c r="S51" s="103"/>
      <c r="T51" s="103"/>
      <c r="U51" s="103"/>
      <c r="V51" s="103"/>
      <c r="W51" s="103"/>
      <c r="X51" s="103"/>
      <c r="Y51" s="103"/>
      <c r="Z51" s="103"/>
      <c r="AA51" s="67"/>
    </row>
    <row r="52" spans="12:27" ht="15" x14ac:dyDescent="0.2">
      <c r="L52" s="103"/>
      <c r="M52" s="103"/>
      <c r="N52" s="103"/>
      <c r="O52" s="103"/>
      <c r="P52" s="103"/>
      <c r="Q52" s="103"/>
      <c r="R52" s="103"/>
      <c r="S52" s="103"/>
      <c r="T52" s="103"/>
      <c r="U52" s="103"/>
      <c r="V52" s="103"/>
      <c r="W52" s="103"/>
      <c r="X52" s="103"/>
      <c r="Y52" s="103"/>
      <c r="Z52" s="103"/>
      <c r="AA52" s="67"/>
    </row>
    <row r="53" spans="12:27" ht="15" x14ac:dyDescent="0.2">
      <c r="L53" s="103"/>
      <c r="M53" s="103"/>
      <c r="N53" s="103"/>
      <c r="O53" s="103"/>
      <c r="P53" s="103"/>
      <c r="Q53" s="103"/>
      <c r="R53" s="103"/>
      <c r="S53" s="103"/>
      <c r="T53" s="103"/>
      <c r="U53" s="103"/>
      <c r="V53" s="103"/>
      <c r="W53" s="103"/>
      <c r="X53" s="103"/>
      <c r="Y53" s="103"/>
      <c r="Z53" s="103"/>
      <c r="AA53" s="67"/>
    </row>
    <row r="54" spans="12:27" ht="15" x14ac:dyDescent="0.2">
      <c r="L54" s="103"/>
      <c r="M54" s="103"/>
      <c r="N54" s="103"/>
      <c r="O54" s="103"/>
      <c r="P54" s="103"/>
      <c r="Q54" s="103"/>
      <c r="R54" s="103"/>
      <c r="S54" s="103"/>
      <c r="T54" s="103"/>
      <c r="U54" s="103"/>
      <c r="V54" s="103"/>
      <c r="W54" s="103"/>
      <c r="X54" s="103"/>
      <c r="Y54" s="103"/>
      <c r="Z54" s="103"/>
      <c r="AA54" s="67"/>
    </row>
    <row r="55" spans="12:27" ht="15" x14ac:dyDescent="0.2">
      <c r="L55" s="103"/>
      <c r="M55" s="103"/>
      <c r="N55" s="103"/>
      <c r="O55" s="103"/>
      <c r="P55" s="103"/>
      <c r="Q55" s="103"/>
      <c r="R55" s="103"/>
      <c r="S55" s="103"/>
      <c r="T55" s="103"/>
      <c r="U55" s="103"/>
      <c r="V55" s="103"/>
      <c r="W55" s="103"/>
      <c r="X55" s="103"/>
      <c r="Y55" s="103"/>
      <c r="Z55" s="103"/>
      <c r="AA55" s="67"/>
    </row>
    <row r="56" spans="12:27" ht="15" x14ac:dyDescent="0.2">
      <c r="L56" s="103"/>
      <c r="M56" s="103"/>
      <c r="N56" s="103"/>
      <c r="O56" s="103"/>
      <c r="P56" s="103"/>
      <c r="Q56" s="103"/>
      <c r="R56" s="103"/>
      <c r="S56" s="103"/>
      <c r="T56" s="103"/>
      <c r="U56" s="103"/>
      <c r="V56" s="103"/>
      <c r="W56" s="103"/>
      <c r="X56" s="103"/>
      <c r="Y56" s="103"/>
      <c r="Z56" s="103"/>
      <c r="AA56" s="67"/>
    </row>
    <row r="57" spans="12:27" ht="15" x14ac:dyDescent="0.2">
      <c r="L57" s="103"/>
      <c r="M57" s="103"/>
      <c r="N57" s="103"/>
      <c r="O57" s="103"/>
      <c r="P57" s="103"/>
      <c r="Q57" s="103"/>
      <c r="R57" s="103"/>
      <c r="S57" s="103"/>
      <c r="T57" s="103"/>
      <c r="U57" s="103"/>
      <c r="V57" s="103"/>
      <c r="W57" s="103"/>
      <c r="X57" s="103"/>
      <c r="Y57" s="103"/>
      <c r="Z57" s="103"/>
      <c r="AA57" s="67"/>
    </row>
    <row r="58" spans="12:27" ht="15" x14ac:dyDescent="0.2">
      <c r="L58" s="103"/>
      <c r="M58" s="103"/>
      <c r="N58" s="103"/>
      <c r="O58" s="103"/>
      <c r="P58" s="103"/>
      <c r="Q58" s="103"/>
      <c r="R58" s="103"/>
      <c r="S58" s="103"/>
      <c r="T58" s="103"/>
      <c r="U58" s="103"/>
      <c r="V58" s="103"/>
      <c r="W58" s="103"/>
      <c r="X58" s="103"/>
      <c r="Y58" s="103"/>
      <c r="Z58" s="103"/>
      <c r="AA58" s="67"/>
    </row>
    <row r="59" spans="12:27" ht="15" x14ac:dyDescent="0.2">
      <c r="L59" s="103"/>
      <c r="M59" s="103"/>
      <c r="N59" s="103"/>
      <c r="O59" s="103"/>
      <c r="P59" s="103"/>
      <c r="Q59" s="103"/>
      <c r="R59" s="103"/>
      <c r="S59" s="103"/>
      <c r="T59" s="103"/>
      <c r="U59" s="103"/>
      <c r="V59" s="103"/>
      <c r="W59" s="103"/>
      <c r="X59" s="103"/>
      <c r="Y59" s="103"/>
      <c r="Z59" s="103"/>
      <c r="AA59" s="67"/>
    </row>
    <row r="60" spans="12:27" ht="15" x14ac:dyDescent="0.2">
      <c r="L60" s="103"/>
      <c r="M60" s="103"/>
      <c r="N60" s="103"/>
      <c r="O60" s="103"/>
      <c r="P60" s="103"/>
      <c r="Q60" s="103"/>
      <c r="R60" s="103"/>
      <c r="S60" s="103"/>
      <c r="T60" s="103"/>
      <c r="U60" s="103"/>
      <c r="V60" s="103"/>
      <c r="W60" s="103"/>
      <c r="X60" s="103"/>
      <c r="Y60" s="103"/>
      <c r="Z60" s="103"/>
      <c r="AA60" s="67"/>
    </row>
    <row r="61" spans="12:27" ht="15" x14ac:dyDescent="0.2">
      <c r="L61" s="103"/>
      <c r="M61" s="103"/>
      <c r="N61" s="103"/>
      <c r="O61" s="103"/>
      <c r="P61" s="103"/>
      <c r="Q61" s="103"/>
      <c r="R61" s="103"/>
      <c r="S61" s="103"/>
      <c r="T61" s="103"/>
      <c r="U61" s="103"/>
      <c r="V61" s="103"/>
      <c r="W61" s="103"/>
      <c r="X61" s="103"/>
      <c r="Y61" s="103"/>
      <c r="Z61" s="103"/>
      <c r="AA61" s="67"/>
    </row>
    <row r="62" spans="12:27" ht="15" x14ac:dyDescent="0.2">
      <c r="L62" s="103"/>
      <c r="M62" s="103"/>
      <c r="N62" s="103"/>
      <c r="O62" s="103"/>
      <c r="P62" s="103"/>
      <c r="Q62" s="103"/>
      <c r="R62" s="103"/>
      <c r="S62" s="103"/>
      <c r="T62" s="103"/>
      <c r="U62" s="103"/>
      <c r="V62" s="103"/>
      <c r="W62" s="103"/>
      <c r="X62" s="103"/>
      <c r="Y62" s="103"/>
      <c r="Z62" s="103"/>
      <c r="AA62" s="67"/>
    </row>
    <row r="63" spans="12:27" ht="15" x14ac:dyDescent="0.2">
      <c r="L63" s="103"/>
      <c r="M63" s="103"/>
      <c r="N63" s="103"/>
      <c r="O63" s="103"/>
      <c r="P63" s="103"/>
      <c r="Q63" s="103"/>
      <c r="R63" s="103"/>
      <c r="S63" s="103"/>
      <c r="T63" s="103"/>
      <c r="U63" s="103"/>
      <c r="V63" s="103"/>
      <c r="W63" s="103"/>
      <c r="X63" s="103"/>
      <c r="Y63" s="103"/>
      <c r="Z63" s="103"/>
      <c r="AA63" s="67"/>
    </row>
    <row r="64" spans="12:27" ht="15" x14ac:dyDescent="0.2">
      <c r="L64" s="103"/>
      <c r="M64" s="103"/>
      <c r="N64" s="103"/>
      <c r="O64" s="103"/>
      <c r="P64" s="103"/>
      <c r="Q64" s="103"/>
      <c r="R64" s="103"/>
      <c r="S64" s="103"/>
      <c r="T64" s="103"/>
      <c r="U64" s="103"/>
      <c r="V64" s="103"/>
      <c r="W64" s="103"/>
      <c r="X64" s="103"/>
      <c r="Y64" s="103"/>
      <c r="Z64" s="103"/>
      <c r="AA64" s="67"/>
    </row>
    <row r="65" spans="12:27" ht="15" x14ac:dyDescent="0.2">
      <c r="L65" s="103"/>
      <c r="M65" s="103"/>
      <c r="N65" s="103"/>
      <c r="O65" s="103"/>
      <c r="P65" s="103"/>
      <c r="Q65" s="103"/>
      <c r="R65" s="103"/>
      <c r="S65" s="103"/>
      <c r="T65" s="103"/>
      <c r="U65" s="103"/>
      <c r="V65" s="103"/>
      <c r="W65" s="103"/>
      <c r="X65" s="103"/>
      <c r="Y65" s="103"/>
      <c r="Z65" s="103"/>
      <c r="AA65" s="67"/>
    </row>
    <row r="66" spans="12:27" ht="15" x14ac:dyDescent="0.2">
      <c r="L66" s="103"/>
      <c r="M66" s="103"/>
      <c r="N66" s="103"/>
      <c r="O66" s="103"/>
      <c r="P66" s="103"/>
      <c r="Q66" s="103"/>
      <c r="R66" s="103"/>
      <c r="S66" s="103"/>
      <c r="T66" s="103"/>
      <c r="U66" s="103"/>
      <c r="V66" s="103"/>
      <c r="W66" s="103"/>
      <c r="X66" s="103"/>
      <c r="Y66" s="103"/>
      <c r="Z66" s="103"/>
      <c r="AA66" s="67"/>
    </row>
    <row r="67" spans="12:27" ht="15" x14ac:dyDescent="0.2">
      <c r="L67" s="103"/>
      <c r="M67" s="103"/>
      <c r="N67" s="103"/>
      <c r="O67" s="103"/>
      <c r="P67" s="103"/>
      <c r="Q67" s="103"/>
      <c r="R67" s="103"/>
      <c r="S67" s="103"/>
      <c r="T67" s="103"/>
      <c r="U67" s="103"/>
      <c r="V67" s="103"/>
      <c r="W67" s="103"/>
      <c r="X67" s="103"/>
      <c r="Y67" s="103"/>
      <c r="Z67" s="103"/>
      <c r="AA67" s="67"/>
    </row>
    <row r="68" spans="12:27" ht="15" x14ac:dyDescent="0.2">
      <c r="L68" s="103"/>
      <c r="M68" s="103"/>
      <c r="N68" s="103"/>
      <c r="O68" s="103"/>
      <c r="P68" s="103"/>
      <c r="Q68" s="103"/>
      <c r="R68" s="103"/>
      <c r="S68" s="103"/>
      <c r="T68" s="103"/>
      <c r="U68" s="103"/>
      <c r="V68" s="103"/>
      <c r="W68" s="103"/>
      <c r="X68" s="103"/>
      <c r="Y68" s="103"/>
      <c r="Z68" s="103"/>
      <c r="AA68" s="67"/>
    </row>
    <row r="69" spans="12:27" ht="15" x14ac:dyDescent="0.2">
      <c r="L69" s="103"/>
      <c r="M69" s="103"/>
      <c r="N69" s="103"/>
      <c r="O69" s="103"/>
      <c r="P69" s="103"/>
      <c r="Q69" s="103"/>
      <c r="R69" s="103"/>
      <c r="S69" s="103"/>
      <c r="T69" s="103"/>
      <c r="U69" s="103"/>
      <c r="V69" s="103"/>
      <c r="W69" s="103"/>
      <c r="X69" s="103"/>
      <c r="Y69" s="103"/>
      <c r="Z69" s="103"/>
      <c r="AA69" s="67"/>
    </row>
    <row r="70" spans="12:27" ht="15" x14ac:dyDescent="0.2">
      <c r="L70" s="103"/>
      <c r="M70" s="103"/>
      <c r="N70" s="103"/>
      <c r="O70" s="103"/>
      <c r="P70" s="103"/>
      <c r="Q70" s="103"/>
      <c r="R70" s="103"/>
      <c r="S70" s="103"/>
      <c r="T70" s="103"/>
      <c r="U70" s="103"/>
      <c r="V70" s="103"/>
      <c r="W70" s="103"/>
      <c r="X70" s="103"/>
      <c r="Y70" s="103"/>
      <c r="Z70" s="103"/>
      <c r="AA70" s="67"/>
    </row>
    <row r="71" spans="12:27" ht="15" x14ac:dyDescent="0.2">
      <c r="L71" s="103"/>
      <c r="M71" s="103"/>
      <c r="N71" s="103"/>
      <c r="O71" s="103"/>
      <c r="P71" s="103"/>
      <c r="Q71" s="103"/>
      <c r="R71" s="103"/>
      <c r="S71" s="103"/>
      <c r="T71" s="103"/>
      <c r="U71" s="103"/>
      <c r="V71" s="103"/>
      <c r="W71" s="103"/>
      <c r="X71" s="103"/>
      <c r="Y71" s="103"/>
      <c r="Z71" s="103"/>
      <c r="AA71" s="67"/>
    </row>
    <row r="72" spans="12:27" ht="15" x14ac:dyDescent="0.2">
      <c r="L72" s="103"/>
      <c r="M72" s="103"/>
      <c r="N72" s="103"/>
      <c r="O72" s="103"/>
      <c r="P72" s="103"/>
      <c r="Q72" s="103"/>
      <c r="R72" s="103"/>
      <c r="S72" s="103"/>
      <c r="T72" s="103"/>
      <c r="U72" s="103"/>
      <c r="V72" s="103"/>
      <c r="W72" s="103"/>
      <c r="X72" s="103"/>
      <c r="Y72" s="103"/>
      <c r="Z72" s="103"/>
      <c r="AA72" s="67"/>
    </row>
    <row r="73" spans="12:27" ht="15" x14ac:dyDescent="0.2">
      <c r="L73" s="103"/>
      <c r="M73" s="103"/>
      <c r="N73" s="103"/>
      <c r="O73" s="103"/>
      <c r="P73" s="103"/>
      <c r="Q73" s="103"/>
      <c r="R73" s="103"/>
      <c r="S73" s="103"/>
      <c r="T73" s="103"/>
      <c r="U73" s="103"/>
      <c r="V73" s="103"/>
      <c r="W73" s="103"/>
      <c r="X73" s="103"/>
      <c r="Y73" s="103"/>
      <c r="Z73" s="103"/>
      <c r="AA73" s="67"/>
    </row>
    <row r="74" spans="12:27" ht="15" x14ac:dyDescent="0.2">
      <c r="L74" s="103"/>
      <c r="M74" s="103"/>
      <c r="N74" s="103"/>
      <c r="O74" s="103"/>
      <c r="P74" s="103"/>
      <c r="Q74" s="103"/>
      <c r="R74" s="103"/>
      <c r="S74" s="103"/>
      <c r="T74" s="103"/>
      <c r="U74" s="103"/>
      <c r="V74" s="103"/>
      <c r="W74" s="103"/>
      <c r="X74" s="103"/>
      <c r="Y74" s="103"/>
      <c r="Z74" s="103"/>
      <c r="AA74" s="67"/>
    </row>
    <row r="75" spans="12:27" ht="15" x14ac:dyDescent="0.2">
      <c r="L75" s="103"/>
      <c r="M75" s="103"/>
      <c r="N75" s="103"/>
      <c r="O75" s="103"/>
      <c r="P75" s="103"/>
      <c r="Q75" s="103"/>
      <c r="R75" s="103"/>
      <c r="S75" s="103"/>
      <c r="T75" s="103"/>
      <c r="U75" s="103"/>
      <c r="V75" s="103"/>
      <c r="W75" s="103"/>
      <c r="X75" s="103"/>
      <c r="Y75" s="103"/>
      <c r="Z75" s="103"/>
      <c r="AA75" s="67"/>
    </row>
    <row r="76" spans="12:27" ht="15" x14ac:dyDescent="0.2">
      <c r="L76" s="103"/>
      <c r="M76" s="103"/>
      <c r="N76" s="103"/>
      <c r="O76" s="103"/>
      <c r="P76" s="103"/>
      <c r="Q76" s="103"/>
      <c r="R76" s="103"/>
      <c r="S76" s="103"/>
      <c r="T76" s="103"/>
      <c r="U76" s="103"/>
      <c r="V76" s="103"/>
      <c r="W76" s="103"/>
      <c r="X76" s="103"/>
      <c r="Y76" s="103"/>
      <c r="Z76" s="103"/>
      <c r="AA76" s="67"/>
    </row>
    <row r="77" spans="12:27" ht="15" x14ac:dyDescent="0.2">
      <c r="L77" s="103"/>
      <c r="M77" s="103"/>
      <c r="N77" s="103"/>
      <c r="O77" s="103"/>
      <c r="P77" s="103"/>
      <c r="Q77" s="103"/>
      <c r="R77" s="103"/>
      <c r="S77" s="103"/>
      <c r="T77" s="103"/>
      <c r="U77" s="103"/>
      <c r="V77" s="103"/>
      <c r="W77" s="103"/>
      <c r="X77" s="103"/>
      <c r="Y77" s="103"/>
      <c r="Z77" s="103"/>
      <c r="AA77" s="67"/>
    </row>
    <row r="78" spans="12:27" ht="15" x14ac:dyDescent="0.2">
      <c r="L78" s="103"/>
      <c r="M78" s="103"/>
      <c r="N78" s="103"/>
      <c r="O78" s="103"/>
      <c r="P78" s="103"/>
      <c r="Q78" s="103"/>
      <c r="R78" s="103"/>
      <c r="S78" s="103"/>
      <c r="T78" s="103"/>
      <c r="U78" s="103"/>
      <c r="V78" s="103"/>
      <c r="W78" s="103"/>
      <c r="X78" s="103"/>
      <c r="Y78" s="103"/>
      <c r="Z78" s="103"/>
      <c r="AA78" s="67"/>
    </row>
    <row r="79" spans="12:27" ht="15" x14ac:dyDescent="0.2">
      <c r="L79" s="103"/>
      <c r="M79" s="103"/>
      <c r="N79" s="103"/>
      <c r="O79" s="103"/>
      <c r="P79" s="103"/>
      <c r="Q79" s="103"/>
      <c r="R79" s="103"/>
      <c r="S79" s="103"/>
      <c r="T79" s="103"/>
      <c r="U79" s="103"/>
      <c r="V79" s="103"/>
      <c r="W79" s="103"/>
      <c r="X79" s="103"/>
      <c r="Y79" s="103"/>
      <c r="Z79" s="103"/>
      <c r="AA79" s="67"/>
    </row>
    <row r="80" spans="12:27" ht="15" x14ac:dyDescent="0.2">
      <c r="L80" s="103"/>
      <c r="M80" s="103"/>
      <c r="N80" s="103"/>
      <c r="O80" s="103"/>
      <c r="P80" s="103"/>
      <c r="Q80" s="103"/>
      <c r="R80" s="103"/>
      <c r="S80" s="103"/>
      <c r="T80" s="103"/>
      <c r="U80" s="103"/>
      <c r="V80" s="103"/>
      <c r="W80" s="103"/>
      <c r="X80" s="103"/>
      <c r="Y80" s="103"/>
      <c r="Z80" s="103"/>
      <c r="AA80" s="67"/>
    </row>
    <row r="81" spans="12:27" ht="15" x14ac:dyDescent="0.2">
      <c r="L81" s="103"/>
      <c r="M81" s="103"/>
      <c r="N81" s="103"/>
      <c r="O81" s="103"/>
      <c r="P81" s="103"/>
      <c r="Q81" s="103"/>
      <c r="R81" s="103"/>
      <c r="S81" s="103"/>
      <c r="T81" s="103"/>
      <c r="U81" s="103"/>
      <c r="V81" s="103"/>
      <c r="W81" s="103"/>
      <c r="X81" s="103"/>
      <c r="Y81" s="103"/>
      <c r="Z81" s="103"/>
      <c r="AA81" s="67"/>
    </row>
    <row r="82" spans="12:27" ht="15" x14ac:dyDescent="0.2">
      <c r="L82" s="103"/>
      <c r="M82" s="103"/>
      <c r="N82" s="103"/>
      <c r="O82" s="103"/>
      <c r="P82" s="103"/>
      <c r="Q82" s="103"/>
      <c r="R82" s="103"/>
      <c r="S82" s="103"/>
      <c r="T82" s="103"/>
      <c r="U82" s="103"/>
      <c r="V82" s="103"/>
      <c r="W82" s="103"/>
      <c r="X82" s="103"/>
      <c r="Y82" s="103"/>
      <c r="Z82" s="103"/>
      <c r="AA82" s="67"/>
    </row>
    <row r="83" spans="12:27" ht="15" x14ac:dyDescent="0.2">
      <c r="L83" s="103"/>
      <c r="M83" s="103"/>
      <c r="N83" s="103"/>
      <c r="O83" s="103"/>
      <c r="P83" s="103"/>
      <c r="Q83" s="103"/>
      <c r="R83" s="103"/>
      <c r="S83" s="103"/>
      <c r="T83" s="103"/>
      <c r="U83" s="103"/>
      <c r="V83" s="103"/>
      <c r="W83" s="103"/>
      <c r="X83" s="103"/>
      <c r="Y83" s="103"/>
      <c r="Z83" s="103"/>
      <c r="AA83" s="67"/>
    </row>
    <row r="84" spans="12:27" ht="15" x14ac:dyDescent="0.2">
      <c r="L84" s="103"/>
      <c r="M84" s="103"/>
      <c r="N84" s="103"/>
      <c r="O84" s="103"/>
      <c r="P84" s="103"/>
      <c r="Q84" s="103"/>
      <c r="R84" s="103"/>
      <c r="S84" s="103"/>
      <c r="T84" s="103"/>
      <c r="U84" s="103"/>
      <c r="V84" s="103"/>
      <c r="W84" s="103"/>
      <c r="X84" s="103"/>
      <c r="Y84" s="103"/>
      <c r="Z84" s="103"/>
      <c r="AA84" s="67"/>
    </row>
    <row r="85" spans="12:27" ht="15" x14ac:dyDescent="0.2">
      <c r="L85" s="103"/>
      <c r="M85" s="103"/>
      <c r="N85" s="103"/>
      <c r="O85" s="103"/>
      <c r="P85" s="103"/>
      <c r="Q85" s="103"/>
      <c r="R85" s="103"/>
      <c r="S85" s="103"/>
      <c r="T85" s="103"/>
      <c r="U85" s="103"/>
      <c r="V85" s="103"/>
      <c r="W85" s="103"/>
      <c r="X85" s="103"/>
      <c r="Y85" s="103"/>
      <c r="Z85" s="103"/>
      <c r="AA85" s="67"/>
    </row>
    <row r="86" spans="12:27" ht="15" x14ac:dyDescent="0.2">
      <c r="L86" s="103"/>
      <c r="M86" s="103"/>
      <c r="N86" s="103"/>
      <c r="O86" s="103"/>
      <c r="P86" s="103"/>
      <c r="Q86" s="103"/>
      <c r="R86" s="103"/>
      <c r="S86" s="103"/>
      <c r="T86" s="103"/>
      <c r="U86" s="103"/>
      <c r="V86" s="103"/>
      <c r="W86" s="103"/>
      <c r="X86" s="103"/>
      <c r="Y86" s="103"/>
      <c r="Z86" s="103"/>
      <c r="AA86" s="67"/>
    </row>
    <row r="87" spans="12:27" ht="15" x14ac:dyDescent="0.2">
      <c r="L87" s="103"/>
      <c r="M87" s="103"/>
      <c r="N87" s="103"/>
      <c r="O87" s="103"/>
      <c r="P87" s="103"/>
      <c r="Q87" s="103"/>
      <c r="R87" s="103"/>
      <c r="S87" s="103"/>
      <c r="T87" s="103"/>
      <c r="U87" s="103"/>
      <c r="V87" s="103"/>
      <c r="W87" s="103"/>
      <c r="X87" s="103"/>
      <c r="Y87" s="103"/>
      <c r="Z87" s="103"/>
      <c r="AA87" s="67"/>
    </row>
    <row r="88" spans="12:27" ht="15" x14ac:dyDescent="0.2">
      <c r="L88" s="103"/>
      <c r="M88" s="103"/>
      <c r="N88" s="103"/>
      <c r="O88" s="103"/>
      <c r="P88" s="103"/>
      <c r="Q88" s="103"/>
      <c r="R88" s="103"/>
      <c r="S88" s="103"/>
      <c r="T88" s="103"/>
      <c r="U88" s="103"/>
      <c r="V88" s="103"/>
      <c r="W88" s="103"/>
      <c r="X88" s="103"/>
      <c r="Y88" s="103"/>
      <c r="Z88" s="103"/>
      <c r="AA88" s="67"/>
    </row>
    <row r="89" spans="12:27" ht="15" x14ac:dyDescent="0.2">
      <c r="L89" s="103"/>
      <c r="M89" s="103"/>
      <c r="N89" s="103"/>
      <c r="O89" s="103"/>
      <c r="P89" s="103"/>
      <c r="Q89" s="103"/>
      <c r="R89" s="103"/>
      <c r="S89" s="103"/>
      <c r="T89" s="103"/>
      <c r="U89" s="103"/>
      <c r="V89" s="103"/>
      <c r="W89" s="103"/>
      <c r="X89" s="103"/>
      <c r="Y89" s="103"/>
      <c r="Z89" s="103"/>
      <c r="AA89" s="67"/>
    </row>
    <row r="90" spans="12:27" ht="15" x14ac:dyDescent="0.2">
      <c r="L90" s="103"/>
      <c r="M90" s="103"/>
      <c r="N90" s="103"/>
      <c r="O90" s="103"/>
      <c r="P90" s="103"/>
      <c r="Q90" s="103"/>
      <c r="R90" s="103"/>
      <c r="S90" s="103"/>
      <c r="T90" s="103"/>
      <c r="U90" s="103"/>
      <c r="V90" s="103"/>
      <c r="W90" s="103"/>
      <c r="X90" s="103"/>
      <c r="Y90" s="103"/>
      <c r="Z90" s="103"/>
      <c r="AA90" s="67"/>
    </row>
    <row r="91" spans="12:27" ht="15" x14ac:dyDescent="0.2">
      <c r="L91" s="103"/>
      <c r="M91" s="103"/>
      <c r="N91" s="103"/>
      <c r="O91" s="103"/>
      <c r="P91" s="103"/>
      <c r="Q91" s="103"/>
      <c r="R91" s="103"/>
      <c r="S91" s="103"/>
      <c r="T91" s="103"/>
      <c r="U91" s="103"/>
      <c r="V91" s="103"/>
      <c r="W91" s="103"/>
      <c r="X91" s="103"/>
      <c r="Y91" s="103"/>
      <c r="Z91" s="103"/>
      <c r="AA91" s="67"/>
    </row>
    <row r="92" spans="12:27" ht="15" x14ac:dyDescent="0.2">
      <c r="L92" s="103"/>
      <c r="M92" s="103"/>
      <c r="N92" s="103"/>
      <c r="O92" s="103"/>
      <c r="P92" s="103"/>
      <c r="Q92" s="103"/>
      <c r="R92" s="103"/>
      <c r="S92" s="103"/>
      <c r="T92" s="103"/>
      <c r="U92" s="103"/>
      <c r="V92" s="103"/>
      <c r="W92" s="103"/>
      <c r="X92" s="103"/>
      <c r="Y92" s="103"/>
      <c r="Z92" s="103"/>
      <c r="AA92" s="67"/>
    </row>
    <row r="93" spans="12:27" ht="15" x14ac:dyDescent="0.2">
      <c r="L93" s="103"/>
      <c r="M93" s="103"/>
      <c r="N93" s="103"/>
      <c r="O93" s="103"/>
      <c r="P93" s="103"/>
      <c r="Q93" s="103"/>
      <c r="R93" s="103"/>
      <c r="S93" s="103"/>
      <c r="T93" s="103"/>
      <c r="U93" s="103"/>
      <c r="V93" s="103"/>
      <c r="W93" s="103"/>
      <c r="X93" s="103"/>
      <c r="Y93" s="103"/>
      <c r="Z93" s="103"/>
      <c r="AA93" s="67"/>
    </row>
    <row r="94" spans="12:27" ht="15" x14ac:dyDescent="0.2">
      <c r="L94" s="103"/>
      <c r="M94" s="103"/>
      <c r="N94" s="103"/>
      <c r="O94" s="103"/>
      <c r="P94" s="103"/>
      <c r="Q94" s="103"/>
      <c r="R94" s="103"/>
      <c r="S94" s="103"/>
      <c r="T94" s="103"/>
      <c r="U94" s="103"/>
      <c r="V94" s="103"/>
      <c r="W94" s="103"/>
      <c r="X94" s="103"/>
      <c r="Y94" s="103"/>
      <c r="Z94" s="103"/>
      <c r="AA94" s="67"/>
    </row>
    <row r="95" spans="12:27" ht="15" x14ac:dyDescent="0.2">
      <c r="L95" s="103"/>
      <c r="M95" s="103"/>
      <c r="N95" s="103"/>
      <c r="O95" s="103"/>
      <c r="P95" s="103"/>
      <c r="Q95" s="103"/>
      <c r="R95" s="103"/>
      <c r="S95" s="103"/>
      <c r="T95" s="103"/>
      <c r="U95" s="103"/>
      <c r="V95" s="103"/>
      <c r="W95" s="103"/>
      <c r="X95" s="103"/>
      <c r="Y95" s="103"/>
      <c r="Z95" s="103"/>
      <c r="AA95" s="67"/>
    </row>
    <row r="96" spans="12:27" ht="15" x14ac:dyDescent="0.2">
      <c r="L96" s="103"/>
      <c r="M96" s="103"/>
      <c r="N96" s="103"/>
      <c r="O96" s="103"/>
      <c r="P96" s="103"/>
      <c r="Q96" s="103"/>
      <c r="R96" s="103"/>
      <c r="S96" s="103"/>
      <c r="T96" s="103"/>
      <c r="U96" s="103"/>
      <c r="V96" s="103"/>
      <c r="W96" s="103"/>
      <c r="X96" s="103"/>
      <c r="Y96" s="103"/>
      <c r="Z96" s="103"/>
      <c r="AA96" s="67"/>
    </row>
    <row r="97" spans="1:27" ht="15" x14ac:dyDescent="0.2">
      <c r="L97" s="103"/>
      <c r="M97" s="103"/>
      <c r="N97" s="103"/>
      <c r="O97" s="103"/>
      <c r="P97" s="103"/>
      <c r="Q97" s="103"/>
      <c r="R97" s="103"/>
      <c r="S97" s="103"/>
      <c r="T97" s="103"/>
      <c r="U97" s="103"/>
      <c r="V97" s="103"/>
      <c r="W97" s="103"/>
      <c r="X97" s="103"/>
      <c r="Y97" s="103"/>
      <c r="Z97" s="103"/>
      <c r="AA97" s="67"/>
    </row>
    <row r="98" spans="1:27" ht="15" x14ac:dyDescent="0.2">
      <c r="L98" s="103"/>
      <c r="M98" s="103"/>
      <c r="N98" s="103"/>
      <c r="O98" s="103"/>
      <c r="P98" s="103"/>
      <c r="Q98" s="103"/>
      <c r="R98" s="103"/>
      <c r="S98" s="103"/>
      <c r="T98" s="103"/>
      <c r="U98" s="103"/>
      <c r="V98" s="103"/>
      <c r="W98" s="103"/>
      <c r="X98" s="103"/>
      <c r="Y98" s="103"/>
      <c r="Z98" s="103"/>
      <c r="AA98" s="67"/>
    </row>
    <row r="99" spans="1:27" ht="15" x14ac:dyDescent="0.2">
      <c r="L99" s="103"/>
      <c r="M99" s="103"/>
      <c r="N99" s="103"/>
      <c r="O99" s="103"/>
      <c r="P99" s="103"/>
      <c r="Q99" s="103"/>
      <c r="R99" s="103"/>
      <c r="S99" s="103"/>
      <c r="T99" s="103"/>
      <c r="U99" s="103"/>
      <c r="V99" s="103"/>
      <c r="W99" s="103"/>
      <c r="X99" s="103"/>
      <c r="Y99" s="103"/>
      <c r="Z99" s="103"/>
      <c r="AA99" s="67"/>
    </row>
    <row r="100" spans="1:27" ht="15" x14ac:dyDescent="0.2">
      <c r="A100" s="67">
        <v>1</v>
      </c>
      <c r="B100" s="67">
        <v>1</v>
      </c>
      <c r="C100" s="67"/>
      <c r="D100" s="67"/>
      <c r="E100" s="67">
        <v>1</v>
      </c>
      <c r="F100" s="67"/>
      <c r="G100" s="115"/>
      <c r="H100" s="67"/>
      <c r="L100" s="103"/>
      <c r="M100" s="103"/>
      <c r="N100" s="103"/>
      <c r="O100" s="103"/>
      <c r="P100" s="103"/>
      <c r="Q100" s="103"/>
      <c r="R100" s="103"/>
      <c r="S100" s="103"/>
      <c r="T100" s="103"/>
      <c r="U100" s="103"/>
      <c r="V100" s="103"/>
      <c r="W100" s="103"/>
      <c r="X100" s="103"/>
      <c r="Y100" s="103"/>
      <c r="Z100" s="103"/>
      <c r="AA100" s="67"/>
    </row>
    <row r="101" spans="1:27" x14ac:dyDescent="0.2">
      <c r="A101" s="67"/>
      <c r="B101" s="67"/>
      <c r="C101" s="67"/>
      <c r="D101" s="67"/>
      <c r="E101" s="67"/>
      <c r="F101" s="67"/>
      <c r="G101" s="115"/>
      <c r="H101" s="67"/>
    </row>
    <row r="102" spans="1:27" x14ac:dyDescent="0.2">
      <c r="A102" s="67"/>
      <c r="B102" s="67"/>
      <c r="C102" s="67"/>
      <c r="D102" s="67"/>
      <c r="E102" s="67"/>
      <c r="F102" s="67"/>
      <c r="G102" s="115"/>
      <c r="H102" s="67"/>
    </row>
    <row r="103" spans="1:27" x14ac:dyDescent="0.2">
      <c r="A103" s="67"/>
      <c r="B103" s="67"/>
      <c r="C103" s="67"/>
      <c r="D103" s="67"/>
      <c r="E103" s="67"/>
      <c r="F103" s="67"/>
      <c r="G103" s="115"/>
      <c r="H103" s="67"/>
    </row>
    <row r="104" spans="1:27" x14ac:dyDescent="0.2">
      <c r="A104" s="67"/>
      <c r="B104" s="67"/>
      <c r="C104" s="67"/>
      <c r="D104" s="67"/>
      <c r="E104" s="67"/>
      <c r="F104" s="67"/>
      <c r="G104" s="115"/>
      <c r="H104" s="67"/>
    </row>
    <row r="105" spans="1:27" x14ac:dyDescent="0.2">
      <c r="A105" s="67"/>
      <c r="B105" s="67"/>
      <c r="C105" s="67"/>
      <c r="D105" s="67"/>
      <c r="E105" s="67"/>
      <c r="F105" s="67"/>
      <c r="G105" s="115"/>
      <c r="H105" s="67"/>
    </row>
  </sheetData>
  <phoneticPr fontId="40" type="noConversion"/>
  <pageMargins left="0.75" right="0.75" top="1" bottom="1" header="0.5" footer="0.5"/>
  <pageSetup orientation="portrait"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39" r:id="rId4" name="Button 15">
              <controlPr defaultSize="0" print="0" autoFill="0" autoLine="0" autoPict="0" macro="[0]!DialogA">
                <anchor moveWithCells="1" sizeWithCells="1">
                  <from>
                    <xdr:col>2</xdr:col>
                    <xdr:colOff>228600</xdr:colOff>
                    <xdr:row>2</xdr:row>
                    <xdr:rowOff>76200</xdr:rowOff>
                  </from>
                  <to>
                    <xdr:col>4</xdr:col>
                    <xdr:colOff>85725</xdr:colOff>
                    <xdr:row>4</xdr:row>
                    <xdr:rowOff>66675</xdr:rowOff>
                  </to>
                </anchor>
              </controlPr>
            </control>
          </mc:Choice>
        </mc:AlternateContent>
        <mc:AlternateContent xmlns:mc="http://schemas.openxmlformats.org/markup-compatibility/2006">
          <mc:Choice Requires="x14">
            <control shapeId="1040" r:id="rId5" name="Button 16">
              <controlPr defaultSize="0" print="0" autoFill="0" autoLine="0" autoPict="0" macro="[0]!AdminPassWord">
                <anchor moveWithCells="1" sizeWithCells="1">
                  <from>
                    <xdr:col>2</xdr:col>
                    <xdr:colOff>228600</xdr:colOff>
                    <xdr:row>7</xdr:row>
                    <xdr:rowOff>38100</xdr:rowOff>
                  </from>
                  <to>
                    <xdr:col>4</xdr:col>
                    <xdr:colOff>85725</xdr:colOff>
                    <xdr:row>9</xdr:row>
                    <xdr:rowOff>28575</xdr:rowOff>
                  </to>
                </anchor>
              </controlPr>
            </control>
          </mc:Choice>
        </mc:AlternateContent>
        <mc:AlternateContent xmlns:mc="http://schemas.openxmlformats.org/markup-compatibility/2006">
          <mc:Choice Requires="x14">
            <control shapeId="1042" r:id="rId6" name="Button 18">
              <controlPr defaultSize="0" print="0" autoFill="0" autoLine="0" autoPict="0" macro="[0]!ShowSaveMenuSheet">
                <anchor moveWithCells="1" sizeWithCells="1">
                  <from>
                    <xdr:col>2</xdr:col>
                    <xdr:colOff>228600</xdr:colOff>
                    <xdr:row>9</xdr:row>
                    <xdr:rowOff>114300</xdr:rowOff>
                  </from>
                  <to>
                    <xdr:col>4</xdr:col>
                    <xdr:colOff>76200</xdr:colOff>
                    <xdr:row>11</xdr:row>
                    <xdr:rowOff>104775</xdr:rowOff>
                  </to>
                </anchor>
              </controlPr>
            </control>
          </mc:Choice>
        </mc:AlternateContent>
        <mc:AlternateContent xmlns:mc="http://schemas.openxmlformats.org/markup-compatibility/2006">
          <mc:Choice Requires="x14">
            <control shapeId="1043" r:id="rId7" name="Button 19">
              <controlPr defaultSize="0" print="0" autoFill="0" autoLine="0" autoPict="0" macro="[0]!ShowPrintMenuSheet">
                <anchor moveWithCells="1" sizeWithCells="1">
                  <from>
                    <xdr:col>2</xdr:col>
                    <xdr:colOff>228600</xdr:colOff>
                    <xdr:row>4</xdr:row>
                    <xdr:rowOff>152400</xdr:rowOff>
                  </from>
                  <to>
                    <xdr:col>4</xdr:col>
                    <xdr:colOff>85725</xdr:colOff>
                    <xdr:row>6</xdr:row>
                    <xdr:rowOff>123825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filterMode="1">
    <pageSetUpPr fitToPage="1"/>
  </sheetPr>
  <dimension ref="A1:BV162"/>
  <sheetViews>
    <sheetView showGridLines="0" topLeftCell="O68" zoomScale="50" zoomScaleNormal="50" zoomScaleSheetLayoutView="45" workbookViewId="0">
      <selection activeCell="AT132" sqref="AT132"/>
    </sheetView>
  </sheetViews>
  <sheetFormatPr defaultColWidth="11.42578125" defaultRowHeight="15" x14ac:dyDescent="0.2"/>
  <cols>
    <col min="1" max="1" width="19.42578125" style="2" customWidth="1"/>
    <col min="2" max="8" width="27.7109375" style="2" customWidth="1"/>
    <col min="9" max="9" width="7" style="2" customWidth="1"/>
    <col min="10" max="10" width="8" style="2" customWidth="1"/>
    <col min="11" max="11" width="5.140625" style="2" customWidth="1"/>
    <col min="12" max="13" width="11.28515625" style="2" customWidth="1"/>
    <col min="14" max="14" width="11.42578125" style="2" customWidth="1"/>
    <col min="15" max="15" width="3" style="2" customWidth="1"/>
    <col min="16" max="16" width="11.42578125" style="2" customWidth="1"/>
    <col min="17" max="17" width="9.85546875" style="2" customWidth="1"/>
    <col min="18" max="20" width="11.42578125" style="2" customWidth="1"/>
    <col min="21" max="21" width="13.28515625" style="2" customWidth="1"/>
    <col min="22" max="22" width="11.42578125" style="2" customWidth="1"/>
    <col min="23" max="23" width="3" style="2" customWidth="1"/>
    <col min="24" max="24" width="11.42578125" style="2" customWidth="1"/>
    <col min="25" max="25" width="18.42578125" style="2" customWidth="1"/>
    <col min="26" max="46" width="7.7109375" style="2" customWidth="1"/>
    <col min="47" max="47" width="3.85546875" style="2" customWidth="1"/>
    <col min="48" max="48" width="11.42578125" style="2" customWidth="1"/>
    <col min="49" max="49" width="1.42578125" style="2" customWidth="1"/>
    <col min="50" max="56" width="11.42578125" style="2" customWidth="1"/>
    <col min="57" max="58" width="1.7109375" style="2" customWidth="1"/>
    <col min="59" max="59" width="11.42578125" style="2" customWidth="1"/>
    <col min="60" max="61" width="1.7109375" style="2" customWidth="1"/>
    <col min="62" max="62" width="11.42578125" style="2" customWidth="1"/>
    <col min="63" max="64" width="1.7109375" style="2" customWidth="1"/>
    <col min="65" max="65" width="11.42578125" style="2" customWidth="1"/>
    <col min="66" max="67" width="1.7109375" style="2" customWidth="1"/>
    <col min="68" max="68" width="11.42578125" style="2" customWidth="1"/>
    <col min="69" max="70" width="1.7109375" style="2" customWidth="1"/>
    <col min="71" max="71" width="11.42578125" style="2" customWidth="1"/>
    <col min="72" max="73" width="1.7109375" style="2" customWidth="1"/>
    <col min="74" max="16384" width="11.42578125" style="2"/>
  </cols>
  <sheetData>
    <row r="1" spans="1:16" ht="12.75" customHeight="1" x14ac:dyDescent="0.2">
      <c r="A1" s="378"/>
      <c r="B1" s="379">
        <v>0</v>
      </c>
      <c r="C1" s="59">
        <f t="shared" ref="C1:H2" si="0">B1+1</f>
        <v>1</v>
      </c>
      <c r="D1" s="59">
        <f t="shared" si="0"/>
        <v>2</v>
      </c>
      <c r="E1" s="59">
        <f t="shared" si="0"/>
        <v>3</v>
      </c>
      <c r="F1" s="59">
        <f t="shared" si="0"/>
        <v>4</v>
      </c>
      <c r="G1" s="59">
        <f t="shared" si="0"/>
        <v>5</v>
      </c>
      <c r="H1" s="59">
        <f t="shared" si="0"/>
        <v>6</v>
      </c>
      <c r="I1" s="63"/>
      <c r="J1" s="64"/>
      <c r="K1" s="64"/>
      <c r="L1" s="64"/>
      <c r="M1" s="64"/>
      <c r="N1" s="65"/>
      <c r="O1" s="65"/>
      <c r="P1" s="65"/>
    </row>
    <row r="2" spans="1:16" ht="18.75" customHeight="1" thickBot="1" x14ac:dyDescent="0.25">
      <c r="A2" s="380"/>
      <c r="B2" s="151">
        <f>Schedule!G9</f>
        <v>42427</v>
      </c>
      <c r="C2" s="151">
        <f t="shared" si="0"/>
        <v>42428</v>
      </c>
      <c r="D2" s="151">
        <f t="shared" si="0"/>
        <v>42429</v>
      </c>
      <c r="E2" s="151">
        <f t="shared" si="0"/>
        <v>42430</v>
      </c>
      <c r="F2" s="151">
        <f t="shared" si="0"/>
        <v>42431</v>
      </c>
      <c r="G2" s="151">
        <f t="shared" si="0"/>
        <v>42432</v>
      </c>
      <c r="H2" s="151">
        <f t="shared" si="0"/>
        <v>42433</v>
      </c>
      <c r="I2" s="64"/>
      <c r="J2" s="64"/>
      <c r="K2" s="787"/>
      <c r="L2" s="787"/>
      <c r="M2" s="64"/>
      <c r="N2" s="65"/>
      <c r="O2" s="65"/>
      <c r="P2" s="65"/>
    </row>
    <row r="3" spans="1:16" ht="15" customHeight="1" x14ac:dyDescent="0.2">
      <c r="A3" s="60"/>
      <c r="B3" s="30" t="str">
        <f>IF(OR(Schedule!F67=3,Schedule!F67="OT",Schedule!F67="3V",Schedule!F67="OTNV",Schedule!F67="OTV",Schedule!F67="3NV",Schedule!F67="3*",Schedule!F67="2OTBT",Schedule!F67="4OTBT",Schedule!F67="2OTET",Schedule!F67="4OTET",Schedule!F67="*OTBT",Schedule!F67="*OTET")," ",Schedule!F67)</f>
        <v>AL</v>
      </c>
      <c r="C3" s="30" t="str">
        <f>IF(OR(Schedule!G67=3,Schedule!G67="OT",Schedule!G67="3V",Schedule!G67="OTNV",Schedule!G67="OTV",Schedule!G67="3NV",Schedule!G67="3*",Schedule!G67="2OTBT",Schedule!G67="4OTBT",Schedule!G67="2OTET",Schedule!G67="4OTET",Schedule!G67="*OTBT",Schedule!G67="*OTET")," ",Schedule!G67)</f>
        <v>NS</v>
      </c>
      <c r="D3" s="30" t="str">
        <f>IF(OR(Schedule!H67=3,Schedule!H67="OT",Schedule!H67="3V",Schedule!H67="OTNV",Schedule!H67="OTV",Schedule!H67="3NV",Schedule!H67="3*",Schedule!H67="2OTBT",Schedule!H67="4OTBT",Schedule!H67="2OTET",Schedule!H67="4OTET",Schedule!H67="*OTBT",Schedule!H67="*OTET")," ",Schedule!H67)</f>
        <v>NS</v>
      </c>
      <c r="E3" s="30" t="str">
        <f>IF(OR(Schedule!I67=3,Schedule!I67="OT",Schedule!I67="3V",Schedule!I67="OTNV",Schedule!I67="OTV",Schedule!I67="3NV",Schedule!I67="3*",Schedule!I67="2OTBT",Schedule!I67="4OTBT",Schedule!I67="2OTET",Schedule!I67="4OTET",Schedule!I67="*OTBT",Schedule!I67="*OTET")," ",Schedule!I67)</f>
        <v xml:space="preserve"> </v>
      </c>
      <c r="F3" s="30" t="str">
        <f>IF(OR(Schedule!J67=3,Schedule!J67="OT",Schedule!J67="3V",Schedule!J67="OTNV",Schedule!J67="OTV",Schedule!J67="3NV",Schedule!J67="3*",Schedule!J67="2OTBT",Schedule!J67="4OTBT",Schedule!J67="2OTET",Schedule!J67="4OTET",Schedule!J67="*OTBT",Schedule!J67="*OTET")," ",Schedule!J67)</f>
        <v xml:space="preserve"> </v>
      </c>
      <c r="G3" s="30" t="str">
        <f>IF(OR(Schedule!K67=3,Schedule!K67="OT",Schedule!K67="3V",Schedule!K67="OTNV",Schedule!K67="OTV",Schedule!K67="3NV",Schedule!K67="3*",Schedule!K67="2OTBT",Schedule!K67="4OTBT",Schedule!K67="2OTET",Schedule!K67="4OTET",Schedule!K67="*OTBT",Schedule!K67="*OTET")," ",Schedule!K67)</f>
        <v xml:space="preserve"> </v>
      </c>
      <c r="H3" s="30" t="str">
        <f>IF(OR(Schedule!L67=3,Schedule!L67="OT",Schedule!L67="3V",Schedule!L67="OTNV",Schedule!L67="OTV",Schedule!L67="3NV",Schedule!L67="3*",Schedule!L67="2OTBT",Schedule!L67="4OTBT",Schedule!L67="2OTET",Schedule!L67="4OTET",Schedule!L67="*OTBT",Schedule!L67="*OTET")," ",Schedule!L67)</f>
        <v xml:space="preserve"> </v>
      </c>
      <c r="I3" s="64"/>
      <c r="J3" s="64"/>
      <c r="K3" s="788"/>
      <c r="L3" s="781" t="str">
        <f>IF(A4=" "," ",".")</f>
        <v>.</v>
      </c>
      <c r="M3" s="64"/>
      <c r="N3" s="65"/>
      <c r="O3" s="65"/>
      <c r="P3" s="65"/>
    </row>
    <row r="4" spans="1:16" ht="15" customHeight="1" x14ac:dyDescent="0.2">
      <c r="A4" s="61" t="str">
        <f>'Master List'!C64</f>
        <v>R. WISEMAN</v>
      </c>
      <c r="B4" s="32" t="str">
        <f>Z85</f>
        <v xml:space="preserve"> </v>
      </c>
      <c r="C4" s="32" t="str">
        <f>AC85</f>
        <v xml:space="preserve"> </v>
      </c>
      <c r="D4" s="32" t="str">
        <f>AF85</f>
        <v xml:space="preserve"> </v>
      </c>
      <c r="E4" s="32" t="str">
        <f>AI85</f>
        <v>LEAD</v>
      </c>
      <c r="F4" s="32" t="str">
        <f>AL85</f>
        <v>LEAD</v>
      </c>
      <c r="G4" s="32" t="str">
        <f>AO85</f>
        <v>LEAD</v>
      </c>
      <c r="H4" s="32" t="str">
        <f>AR85</f>
        <v>LEAD</v>
      </c>
      <c r="I4"/>
      <c r="J4"/>
      <c r="K4" s="788"/>
      <c r="L4" s="781" t="str">
        <f>IF(A4=" "," ",".")</f>
        <v>.</v>
      </c>
      <c r="M4"/>
      <c r="N4" s="65"/>
      <c r="O4" s="65"/>
      <c r="P4" s="65"/>
    </row>
    <row r="5" spans="1:16" ht="15" customHeight="1" x14ac:dyDescent="0.2">
      <c r="A5" s="61"/>
      <c r="B5" s="32" t="str">
        <f>Z86</f>
        <v xml:space="preserve"> </v>
      </c>
      <c r="C5" s="32" t="str">
        <f>AC86</f>
        <v xml:space="preserve"> </v>
      </c>
      <c r="D5" s="32" t="str">
        <f>AF86</f>
        <v xml:space="preserve"> </v>
      </c>
      <c r="E5" s="32" t="str">
        <f>AI86</f>
        <v xml:space="preserve"> &amp; RECYCLE</v>
      </c>
      <c r="F5" s="32" t="str">
        <f>AL86</f>
        <v xml:space="preserve"> &amp; RECYCLE</v>
      </c>
      <c r="G5" s="32" t="str">
        <f>AO86</f>
        <v xml:space="preserve"> &amp; RECYCLE</v>
      </c>
      <c r="H5" s="32" t="str">
        <f>AR86</f>
        <v xml:space="preserve"> &amp; RECYCLE</v>
      </c>
      <c r="I5"/>
      <c r="J5"/>
      <c r="K5" s="788"/>
      <c r="L5" s="781" t="str">
        <f>IF(A4=" "," ",".")</f>
        <v>.</v>
      </c>
      <c r="M5"/>
      <c r="N5" s="65"/>
      <c r="O5" s="65"/>
      <c r="P5" s="65"/>
    </row>
    <row r="6" spans="1:16" ht="15" customHeight="1" thickBot="1" x14ac:dyDescent="0.25">
      <c r="A6" s="33"/>
      <c r="B6" s="403" t="str">
        <f>IF(Z85=" "," ",INDEX($AX$85:$AX$103,AA84))</f>
        <v xml:space="preserve"> </v>
      </c>
      <c r="C6" s="404" t="str">
        <f>IF(AC85=" "," ",INDEX($AX$85:$AX$103,AD84))</f>
        <v xml:space="preserve"> </v>
      </c>
      <c r="D6" s="404" t="str">
        <f>IF(AF85=" "," ",INDEX($AX$85:$AX$103,AG84))</f>
        <v xml:space="preserve"> </v>
      </c>
      <c r="E6" s="404">
        <f>IF(AI85=" "," ",INDEX($AX$85:$AX$103,AJ84))</f>
        <v>3001</v>
      </c>
      <c r="F6" s="404">
        <f>IF(AL85=" "," ",INDEX($AX$85:$AX$103,AM84))</f>
        <v>3001</v>
      </c>
      <c r="G6" s="404">
        <f>IF(AO85=" "," ",INDEX($AX$85:$AX$103,AP84))</f>
        <v>3001</v>
      </c>
      <c r="H6" s="404">
        <f>IF(AR85=" "," ",INDEX($AX$85:$AX$103,AS84))</f>
        <v>3001</v>
      </c>
      <c r="I6"/>
      <c r="J6"/>
      <c r="K6" s="788"/>
      <c r="L6" s="781" t="str">
        <f>IF(A4=" "," ",".")</f>
        <v>.</v>
      </c>
      <c r="M6"/>
      <c r="N6" s="65"/>
      <c r="O6" s="65"/>
      <c r="P6" s="65"/>
    </row>
    <row r="7" spans="1:16" ht="15" customHeight="1" x14ac:dyDescent="0.25">
      <c r="A7" s="29"/>
      <c r="B7" s="30" t="str">
        <f>IF(OR(Schedule!F68=3,Schedule!F68="OT",Schedule!F68="3V",Schedule!F68="OTNV",Schedule!F68="OTV",Schedule!F68="3NV",Schedule!F68="3*",Schedule!F68="2OTBT",Schedule!F68="4OTBT",Schedule!F68="2OTET",Schedule!F68="4OTET",Schedule!F68="*OTBT",Schedule!F68="*OTET")," ",Schedule!F68)</f>
        <v>NS</v>
      </c>
      <c r="C7" s="30" t="str">
        <f>IF(OR(Schedule!G68=3,Schedule!G68="OT",Schedule!G68="3V",Schedule!G68="OTNV",Schedule!G68="OTV",Schedule!G68="3NV",Schedule!G68="3*",Schedule!G68="2OTBT",Schedule!G68="4OTBT",Schedule!G68="2OTET",Schedule!G68="4OTET",Schedule!G68="*OTBT",Schedule!G68="*OTET")," ",Schedule!G68)</f>
        <v xml:space="preserve"> </v>
      </c>
      <c r="D7" s="30" t="str">
        <f>IF(OR(Schedule!H68=3,Schedule!H68="OT",Schedule!H68="3V",Schedule!H68="OTNV",Schedule!H68="OTV",Schedule!H68="3NV",Schedule!H68="3*",Schedule!H68="2OTBT",Schedule!H68="4OTBT",Schedule!H68="2OTET",Schedule!H68="4OTET",Schedule!H68="*OTBT",Schedule!H68="*OTET")," ",Schedule!H68)</f>
        <v xml:space="preserve"> </v>
      </c>
      <c r="E7" s="30" t="str">
        <f>IF(OR(Schedule!I68=3,Schedule!I68="OT",Schedule!I68="3V",Schedule!I68="OTNV",Schedule!I68="OTV",Schedule!I68="3NV",Schedule!I68="3*",Schedule!I68="2OTBT",Schedule!I68="4OTBT",Schedule!I68="2OTET",Schedule!I68="4OTET",Schedule!I68="*OTBT",Schedule!I68="*OTET")," ",Schedule!I68)</f>
        <v xml:space="preserve"> </v>
      </c>
      <c r="F7" s="30" t="str">
        <f>IF(OR(Schedule!J68=3,Schedule!J68="OT",Schedule!J68="3V",Schedule!J68="OTNV",Schedule!J68="OTV",Schedule!J68="3NV",Schedule!J68="3*",Schedule!J68="2OTBT",Schedule!J68="4OTBT",Schedule!J68="2OTET",Schedule!J68="4OTET",Schedule!J68="*OTBT",Schedule!J68="*OTET")," ",Schedule!J68)</f>
        <v xml:space="preserve"> </v>
      </c>
      <c r="G7" s="30" t="str">
        <f>IF(OR(Schedule!K68=3,Schedule!K68="OT",Schedule!K68="3V",Schedule!K68="OTNV",Schedule!K68="OTV",Schedule!K68="3NV",Schedule!K68="3*",Schedule!K68="2OTBT",Schedule!K68="4OTBT",Schedule!K68="2OTET",Schedule!K68="4OTET",Schedule!K68="*OTBT",Schedule!K68="*OTET")," ",Schedule!K68)</f>
        <v xml:space="preserve"> </v>
      </c>
      <c r="H7" s="30" t="str">
        <f>IF(OR(Schedule!L68=3,Schedule!L68="OT",Schedule!L68="3V",Schedule!L68="OTNV",Schedule!L68="OTV",Schedule!L68="3NV",Schedule!L68="3*",Schedule!L68="2OTBT",Schedule!L68="4OTBT",Schedule!L68="2OTET",Schedule!L68="4OTET",Schedule!L68="*OTBT",Schedule!L68="*OTET")," ",Schedule!L68)</f>
        <v>NS</v>
      </c>
      <c r="I7" s="376" t="s">
        <v>168</v>
      </c>
      <c r="J7" s="172">
        <v>3001</v>
      </c>
      <c r="K7" s="788"/>
      <c r="L7" s="781" t="str">
        <f>IF(A8=" "," ",".")</f>
        <v>.</v>
      </c>
      <c r="M7"/>
      <c r="N7" s="65"/>
      <c r="O7" s="65"/>
      <c r="P7" s="65"/>
    </row>
    <row r="8" spans="1:16" ht="15" customHeight="1" x14ac:dyDescent="0.25">
      <c r="A8" s="61" t="str">
        <f>IF(OR('Master List'!C65=0)," ",'Master List'!C65)</f>
        <v>M. BURNS</v>
      </c>
      <c r="B8" s="32" t="str">
        <f>Z88</f>
        <v xml:space="preserve"> </v>
      </c>
      <c r="C8" s="32" t="str">
        <f>AC88</f>
        <v>.</v>
      </c>
      <c r="D8" s="32" t="str">
        <f>AF88</f>
        <v>.</v>
      </c>
      <c r="E8" s="32">
        <f>AI88</f>
        <v>3003</v>
      </c>
      <c r="F8" s="32">
        <f>AL88</f>
        <v>3004</v>
      </c>
      <c r="G8" s="32">
        <f>AO88</f>
        <v>3003</v>
      </c>
      <c r="H8" s="32" t="str">
        <f>AR88</f>
        <v xml:space="preserve"> </v>
      </c>
      <c r="I8" s="377"/>
      <c r="J8" s="172"/>
      <c r="K8" s="788"/>
      <c r="L8" s="781" t="str">
        <f>IF(A8=" "," ",".")</f>
        <v>.</v>
      </c>
      <c r="M8"/>
      <c r="N8" s="65"/>
      <c r="O8" s="65"/>
      <c r="P8" s="65"/>
    </row>
    <row r="9" spans="1:16" ht="15" customHeight="1" x14ac:dyDescent="0.25">
      <c r="A9" s="31"/>
      <c r="B9" s="32" t="str">
        <f>Z89</f>
        <v xml:space="preserve"> </v>
      </c>
      <c r="C9" s="32" t="str">
        <f>AC89</f>
        <v>RECYCLE</v>
      </c>
      <c r="D9" s="32" t="str">
        <f>AF89</f>
        <v>RECYCLE</v>
      </c>
      <c r="E9" s="32" t="str">
        <f>AI89</f>
        <v xml:space="preserve"> &amp; RECYCLE</v>
      </c>
      <c r="F9" s="32" t="str">
        <f>AL89</f>
        <v xml:space="preserve"> &amp; RECYCLE</v>
      </c>
      <c r="G9" s="32" t="str">
        <f>AO89</f>
        <v xml:space="preserve"> &amp; RECYCLE</v>
      </c>
      <c r="H9" s="32" t="str">
        <f>AR89</f>
        <v xml:space="preserve"> </v>
      </c>
      <c r="I9" s="377" t="s">
        <v>64</v>
      </c>
      <c r="J9" s="172">
        <v>3002</v>
      </c>
      <c r="K9" s="788"/>
      <c r="L9" s="781" t="str">
        <f>IF(A8=" "," ",".")</f>
        <v>.</v>
      </c>
      <c r="M9" s="64"/>
      <c r="N9" s="65"/>
      <c r="O9" s="65"/>
      <c r="P9" s="65"/>
    </row>
    <row r="10" spans="1:16" ht="15" customHeight="1" thickBot="1" x14ac:dyDescent="0.3">
      <c r="A10" s="62"/>
      <c r="B10" s="403" t="str">
        <f>IF(Z88=" "," ",INDEX($AX$85:$AX$103,AA87))</f>
        <v xml:space="preserve"> </v>
      </c>
      <c r="C10" s="404" t="e">
        <f>IF(AC88=" "," ",INDEX($AX$85:$AX$103,AD87))</f>
        <v>#REF!</v>
      </c>
      <c r="D10" s="404" t="e">
        <f>IF(AF88=" "," ",INDEX($AX$85:$AX$103,AG87))</f>
        <v>#REF!</v>
      </c>
      <c r="E10" s="404" t="str">
        <f>IF(AI88=" "," ",INDEX($AX$85:$AX$103,AJ87))</f>
        <v xml:space="preserve"> </v>
      </c>
      <c r="F10" s="404" t="e">
        <f>IF(AL88=" "," ",INDEX($AX$85:$AX$103,AM87))</f>
        <v>#REF!</v>
      </c>
      <c r="G10" s="404" t="str">
        <f>IF(AO88=" "," ",INDEX($AX$85:$AX$103,AP87))</f>
        <v xml:space="preserve"> </v>
      </c>
      <c r="H10" s="404" t="str">
        <f>IF(AR88=" "," ",INDEX($AX$85:$AX$103,AS87))</f>
        <v xml:space="preserve"> </v>
      </c>
      <c r="I10" s="377"/>
      <c r="J10" s="172"/>
      <c r="K10" s="788"/>
      <c r="L10" s="781" t="str">
        <f>IF(A8=" "," ",".")</f>
        <v>.</v>
      </c>
      <c r="M10" s="64"/>
      <c r="N10" s="65"/>
      <c r="O10" s="65"/>
      <c r="P10" s="65"/>
    </row>
    <row r="11" spans="1:16" ht="15" customHeight="1" x14ac:dyDescent="0.25">
      <c r="A11" s="29"/>
      <c r="B11" s="30" t="str">
        <f>IF(OR(Schedule!F69=3,Schedule!F69="OT",Schedule!F69="3V",Schedule!F69="OTNV",Schedule!F69="OTV",Schedule!F69="3NV",Schedule!F69="3*",Schedule!F69="2OTBT",Schedule!F69="4OTBT",Schedule!F69="2OTET",Schedule!F69="4OTET",Schedule!F69="*OTBT",Schedule!F69="*OTET")," ",Schedule!F69)</f>
        <v>*</v>
      </c>
      <c r="C11" s="30" t="str">
        <f>IF(OR(Schedule!G69=3,Schedule!G69="OT",Schedule!G69="3V",Schedule!G69="OTNV",Schedule!G69="OTV",Schedule!G69="3NV",Schedule!G69="3*",Schedule!G69="2OTBT",Schedule!G69="4OTBT",Schedule!G69="2OTET",Schedule!G69="4OTET",Schedule!G69="*OTBT",Schedule!G69="*OTET")," ",Schedule!G69)</f>
        <v>*</v>
      </c>
      <c r="D11" s="30" t="str">
        <f>IF(OR(Schedule!H69=3,Schedule!H69="OT",Schedule!H69="3V",Schedule!H69="OTNV",Schedule!H69="OTV",Schedule!H69="3NV",Schedule!H69="3*",Schedule!H69="2OTBT",Schedule!H69="4OTBT",Schedule!H69="2OTET",Schedule!H69="4OTET",Schedule!H69="*OTBT",Schedule!H69="*OTET")," ",Schedule!H69)</f>
        <v>*</v>
      </c>
      <c r="E11" s="30" t="str">
        <f>IF(OR(Schedule!I69=3,Schedule!I69="OT",Schedule!I69="3V",Schedule!I69="OTNV",Schedule!I69="OTV",Schedule!I69="3NV",Schedule!I69="3*",Schedule!I69="2OTBT",Schedule!I69="4OTBT",Schedule!I69="2OTET",Schedule!I69="4OTET",Schedule!I69="*OTBT",Schedule!I69="*OTET")," ",Schedule!I69)</f>
        <v>*</v>
      </c>
      <c r="F11" s="30" t="str">
        <f>IF(OR(Schedule!J69=3,Schedule!J69="OT",Schedule!J69="3V",Schedule!J69="OTNV",Schedule!J69="OTV",Schedule!J69="3NV",Schedule!J69="3*",Schedule!J69="2OTBT",Schedule!J69="4OTBT",Schedule!J69="2OTET",Schedule!J69="4OTET",Schedule!J69="*OTBT",Schedule!J69="*OTET")," ",Schedule!J69)</f>
        <v>*</v>
      </c>
      <c r="G11" s="30" t="str">
        <f>IF(OR(Schedule!K69=3,Schedule!K69="OT",Schedule!K69="3V",Schedule!K69="OTNV",Schedule!K69="OTV",Schedule!K69="3NV",Schedule!K69="3*",Schedule!K69="2OTBT",Schedule!K69="4OTBT",Schedule!K69="2OTET",Schedule!K69="4OTET",Schedule!K69="*OTBT",Schedule!K69="*OTET")," ",Schedule!K69)</f>
        <v>*</v>
      </c>
      <c r="H11" s="30" t="str">
        <f>IF(OR(Schedule!L69=3,Schedule!L69="OT",Schedule!L69="3V",Schedule!L69="OTNV",Schedule!L69="OTV",Schedule!L69="3NV",Schedule!L69="3*",Schedule!L69="2OTBT",Schedule!L69="4OTBT",Schedule!L69="2OTET",Schedule!L69="4OTET",Schedule!L69="*OTBT",Schedule!L69="*OTET")," ",Schedule!L69)</f>
        <v>*</v>
      </c>
      <c r="I11" s="377" t="s">
        <v>65</v>
      </c>
      <c r="J11" s="172">
        <v>3003</v>
      </c>
      <c r="K11" s="788"/>
      <c r="L11" s="781" t="str">
        <f>IF(A12=" "," ",".")</f>
        <v>.</v>
      </c>
      <c r="M11" s="64"/>
      <c r="N11" s="65"/>
      <c r="O11" s="65"/>
      <c r="P11" s="65"/>
    </row>
    <row r="12" spans="1:16" ht="15" customHeight="1" x14ac:dyDescent="0.25">
      <c r="A12" s="61" t="str">
        <f>IF(OR('Master List'!C66=0)," ",'Master List'!C66)</f>
        <v>W. COHEN</v>
      </c>
      <c r="B12" s="32" t="str">
        <f>Z91</f>
        <v xml:space="preserve"> </v>
      </c>
      <c r="C12" s="32" t="str">
        <f>AC91</f>
        <v xml:space="preserve"> </v>
      </c>
      <c r="D12" s="32" t="str">
        <f>AF91</f>
        <v xml:space="preserve"> </v>
      </c>
      <c r="E12" s="32" t="str">
        <f>AI91</f>
        <v xml:space="preserve"> </v>
      </c>
      <c r="F12" s="32" t="str">
        <f>AL91</f>
        <v xml:space="preserve"> </v>
      </c>
      <c r="G12" s="32" t="str">
        <f>AO91</f>
        <v xml:space="preserve"> </v>
      </c>
      <c r="H12" s="32" t="str">
        <f>AR91</f>
        <v xml:space="preserve"> </v>
      </c>
      <c r="I12" s="377"/>
      <c r="J12" s="172"/>
      <c r="K12" s="788"/>
      <c r="L12" s="781" t="str">
        <f>IF(A12=" "," ",".")</f>
        <v>.</v>
      </c>
      <c r="M12" s="126"/>
      <c r="N12" s="65"/>
      <c r="O12" s="65"/>
      <c r="P12" s="65"/>
    </row>
    <row r="13" spans="1:16" ht="15" customHeight="1" x14ac:dyDescent="0.25">
      <c r="A13" s="31"/>
      <c r="B13" s="32" t="str">
        <f>Z92</f>
        <v xml:space="preserve"> </v>
      </c>
      <c r="C13" s="32" t="str">
        <f>AC92</f>
        <v xml:space="preserve"> </v>
      </c>
      <c r="D13" s="32" t="str">
        <f>AF92</f>
        <v xml:space="preserve"> </v>
      </c>
      <c r="E13" s="32" t="str">
        <f>AI92</f>
        <v xml:space="preserve"> </v>
      </c>
      <c r="F13" s="32" t="str">
        <f>AL92</f>
        <v xml:space="preserve"> </v>
      </c>
      <c r="G13" s="32" t="str">
        <f>AO92</f>
        <v xml:space="preserve"> </v>
      </c>
      <c r="H13" s="32" t="str">
        <f>AR92</f>
        <v xml:space="preserve"> </v>
      </c>
      <c r="I13" s="377" t="s">
        <v>66</v>
      </c>
      <c r="J13" s="172">
        <v>3004</v>
      </c>
      <c r="K13" s="788"/>
      <c r="L13" s="781" t="str">
        <f>IF(A12=" "," ",".")</f>
        <v>.</v>
      </c>
      <c r="M13" s="125"/>
      <c r="N13" s="65"/>
      <c r="O13" s="65"/>
      <c r="P13" s="65"/>
    </row>
    <row r="14" spans="1:16" ht="15" customHeight="1" thickBot="1" x14ac:dyDescent="0.3">
      <c r="A14" s="33"/>
      <c r="B14" s="403" t="str">
        <f>IF(Z91=" "," ",INDEX($AX$85:$AX$103,AA90))</f>
        <v xml:space="preserve"> </v>
      </c>
      <c r="C14" s="404" t="str">
        <f>IF(AC91=" "," ",INDEX($AX$85:$AX$103,AD90))</f>
        <v xml:space="preserve"> </v>
      </c>
      <c r="D14" s="404" t="str">
        <f>IF(AF91=" "," ",INDEX($AX$85:$AX$103,AG90))</f>
        <v xml:space="preserve"> </v>
      </c>
      <c r="E14" s="404" t="str">
        <f>IF(AI91=" "," ",INDEX($AX$85:$AX$103,AJ90))</f>
        <v xml:space="preserve"> </v>
      </c>
      <c r="F14" s="404" t="str">
        <f>IF(AL91=" "," ",INDEX($AX$85:$AX$103,AM90))</f>
        <v xml:space="preserve"> </v>
      </c>
      <c r="G14" s="404" t="str">
        <f>IF(AO91=" "," ",INDEX($AX$85:$AX$103,AP90))</f>
        <v xml:space="preserve"> </v>
      </c>
      <c r="H14" s="404" t="str">
        <f>IF(AR91=" "," ",INDEX($AX$85:$AX$103,AS90))</f>
        <v xml:space="preserve"> </v>
      </c>
      <c r="I14" s="377"/>
      <c r="J14" s="172"/>
      <c r="K14" s="788"/>
      <c r="L14" s="781" t="str">
        <f>IF(A12=" "," ",".")</f>
        <v>.</v>
      </c>
      <c r="N14" s="65"/>
      <c r="O14" s="65"/>
      <c r="P14" s="65"/>
    </row>
    <row r="15" spans="1:16" ht="15" customHeight="1" x14ac:dyDescent="0.25">
      <c r="A15" s="29"/>
      <c r="B15" s="30" t="str">
        <f>IF(OR(Schedule!F70=3,Schedule!F70="OT",Schedule!F70="3V",Schedule!F70="OTNV",Schedule!F70="OTV",Schedule!F70="3NV",Schedule!F70="3*",Schedule!F70="2OTBT",Schedule!F70="4OTBT",Schedule!F70="2OTET",Schedule!F70="4OTET",Schedule!F70="*OTBT",Schedule!F70="*OTET")," ",Schedule!F70)</f>
        <v>NS</v>
      </c>
      <c r="C15" s="30" t="str">
        <f>IF(OR(Schedule!G70=3,Schedule!G70="OT",Schedule!G70="3V",Schedule!G70="OTNV",Schedule!G70="OTV",Schedule!G70="3NV",Schedule!G70="3*",Schedule!G70="2OTBT",Schedule!G70="4OTBT",Schedule!G70="2OTET",Schedule!G70="4OTET",Schedule!G70="*OTBT",Schedule!G70="*OTET")," ",Schedule!G70)</f>
        <v>NS</v>
      </c>
      <c r="D15" s="30" t="str">
        <f>IF(OR(Schedule!H70=3,Schedule!H70="OT",Schedule!H70="3V",Schedule!H70="OTNV",Schedule!H70="OTV",Schedule!H70="3NV",Schedule!H70="3*",Schedule!H70="2OTBT",Schedule!H70="4OTBT",Schedule!H70="2OTET",Schedule!H70="4OTET",Schedule!H70="*OTBT",Schedule!H70="*OTET")," ",Schedule!H70)</f>
        <v xml:space="preserve"> </v>
      </c>
      <c r="E15" s="30" t="str">
        <f>IF(OR(Schedule!I70=3,Schedule!I70="OT",Schedule!I70="3V",Schedule!I70="OTNV",Schedule!I70="OTV",Schedule!I70="3NV",Schedule!I70="3*",Schedule!I70="2OTBT",Schedule!I70="4OTBT",Schedule!I70="2OTET",Schedule!I70="4OTET",Schedule!I70="*OTBT",Schedule!I70="*OTET")," ",Schedule!I70)</f>
        <v xml:space="preserve"> </v>
      </c>
      <c r="F15" s="30" t="str">
        <f>IF(OR(Schedule!J70=3,Schedule!J70="OT",Schedule!J70="3V",Schedule!J70="OTNV",Schedule!J70="OTV",Schedule!J70="3NV",Schedule!J70="3*",Schedule!J70="2OTBT",Schedule!J70="4OTBT",Schedule!J70="2OTET",Schedule!J70="4OTET",Schedule!J70="*OTBT",Schedule!J70="*OTET")," ",Schedule!J70)</f>
        <v xml:space="preserve"> </v>
      </c>
      <c r="G15" s="30" t="str">
        <f>IF(OR(Schedule!K70=3,Schedule!K70="OT",Schedule!K70="3V",Schedule!K70="OTNV",Schedule!K70="OTV",Schedule!K70="3NV",Schedule!K70="3*",Schedule!K70="2OTBT",Schedule!K70="4OTBT",Schedule!K70="2OTET",Schedule!K70="4OTET",Schedule!K70="*OTBT",Schedule!K70="*OTET")," ",Schedule!K70)</f>
        <v xml:space="preserve"> </v>
      </c>
      <c r="H15" s="30" t="str">
        <f>IF(OR(Schedule!L70=3,Schedule!L70="OT",Schedule!L70="3V",Schedule!L70="OTNV",Schedule!L70="OTV",Schedule!L70="3NV",Schedule!L70="3*",Schedule!L70="2OTBT",Schedule!L70="4OTBT",Schedule!L70="2OTET",Schedule!L70="4OTET",Schedule!L70="*OTBT",Schedule!L70="*OTET")," ",Schedule!L70)</f>
        <v xml:space="preserve"> </v>
      </c>
      <c r="I15" s="377" t="s">
        <v>67</v>
      </c>
      <c r="J15" s="172">
        <v>3005</v>
      </c>
      <c r="K15" s="788"/>
      <c r="L15" s="781" t="str">
        <f>IF(A16=" "," ",".")</f>
        <v>.</v>
      </c>
      <c r="N15" s="65"/>
      <c r="O15" s="65"/>
      <c r="P15" s="65"/>
    </row>
    <row r="16" spans="1:16" ht="15" customHeight="1" x14ac:dyDescent="0.25">
      <c r="A16" s="61" t="str">
        <f>IF(OR('Master List'!C67=0)," ",'Master List'!C67)</f>
        <v>J. PALACIOS</v>
      </c>
      <c r="B16" s="32" t="str">
        <f>Z94</f>
        <v xml:space="preserve"> </v>
      </c>
      <c r="C16" s="32" t="str">
        <f>AC94</f>
        <v xml:space="preserve"> </v>
      </c>
      <c r="D16" s="32" t="str">
        <f>AF94</f>
        <v>.</v>
      </c>
      <c r="E16" s="32" t="str">
        <f>AI94</f>
        <v>.</v>
      </c>
      <c r="F16" s="32" t="str">
        <f>AL94</f>
        <v>.</v>
      </c>
      <c r="G16" s="32" t="str">
        <f>AO94</f>
        <v>.</v>
      </c>
      <c r="H16" s="32" t="str">
        <f>AR94</f>
        <v>.</v>
      </c>
      <c r="I16" s="377"/>
      <c r="J16" s="172"/>
      <c r="K16" s="788"/>
      <c r="L16" s="781" t="str">
        <f>IF(A16=" "," ",".")</f>
        <v>.</v>
      </c>
      <c r="M16" s="66"/>
      <c r="N16" s="65"/>
      <c r="O16" s="65"/>
      <c r="P16" s="65"/>
    </row>
    <row r="17" spans="1:16" ht="15" customHeight="1" x14ac:dyDescent="0.25">
      <c r="A17" s="31"/>
      <c r="B17" s="32" t="str">
        <f>Z95</f>
        <v xml:space="preserve"> </v>
      </c>
      <c r="C17" s="32" t="str">
        <f>AC95</f>
        <v xml:space="preserve"> </v>
      </c>
      <c r="D17" s="32" t="str">
        <f>AF95</f>
        <v>RECYCLE</v>
      </c>
      <c r="E17" s="32" t="str">
        <f>AI95</f>
        <v>RECYCLE</v>
      </c>
      <c r="F17" s="32" t="str">
        <f>AL95</f>
        <v>RECYCLE</v>
      </c>
      <c r="G17" s="32" t="str">
        <f>AO95</f>
        <v>RECYCLE</v>
      </c>
      <c r="H17" s="32" t="str">
        <f>AR95</f>
        <v>RECYCLE</v>
      </c>
      <c r="I17" s="377" t="s">
        <v>68</v>
      </c>
      <c r="J17" s="172">
        <v>3006</v>
      </c>
      <c r="K17" s="788"/>
      <c r="L17" s="781" t="str">
        <f>IF(A16=" "," ",".")</f>
        <v>.</v>
      </c>
      <c r="M17" s="66"/>
      <c r="N17" s="65"/>
      <c r="O17" s="65"/>
      <c r="P17" s="65"/>
    </row>
    <row r="18" spans="1:16" ht="15" customHeight="1" thickBot="1" x14ac:dyDescent="0.3">
      <c r="A18" s="33"/>
      <c r="B18" s="403" t="str">
        <f>IF(Z94=" "," ",INDEX($AX$85:$AX$103,AA93))</f>
        <v xml:space="preserve"> </v>
      </c>
      <c r="C18" s="404" t="str">
        <f>IF(AC94=" "," ",INDEX($AX$85:$AX$103,AD93))</f>
        <v xml:space="preserve"> </v>
      </c>
      <c r="D18" s="404" t="e">
        <f>IF(AF94=" "," ",INDEX($AX$85:$AX$103,AG93))</f>
        <v>#REF!</v>
      </c>
      <c r="E18" s="404" t="e">
        <f>IF(AI94=" "," ",INDEX($AX$85:$AX$103,AJ93))</f>
        <v>#REF!</v>
      </c>
      <c r="F18" s="404" t="e">
        <f>IF(AL94=" "," ",INDEX($AX$85:$AX$103,AM93))</f>
        <v>#REF!</v>
      </c>
      <c r="G18" s="404" t="e">
        <f>IF(AO94=" "," ",INDEX($AX$85:$AX$103,AP93))</f>
        <v>#REF!</v>
      </c>
      <c r="H18" s="404" t="e">
        <f>IF(AR94=" "," ",INDEX($AX$85:$AX$103,AS93))</f>
        <v>#REF!</v>
      </c>
      <c r="I18" s="377"/>
      <c r="J18" s="172"/>
      <c r="K18" s="788"/>
      <c r="L18" s="781" t="str">
        <f>IF(A16=" "," ",".")</f>
        <v>.</v>
      </c>
      <c r="M18" s="66"/>
      <c r="N18" s="65"/>
      <c r="O18" s="65"/>
      <c r="P18" s="65"/>
    </row>
    <row r="19" spans="1:16" ht="15" customHeight="1" x14ac:dyDescent="0.25">
      <c r="A19" s="29"/>
      <c r="B19" s="30" t="str">
        <f>IF(OR(Schedule!F71=3,Schedule!F71="OT",Schedule!F71="3V",Schedule!F71="OTNV",Schedule!F71="OTV",Schedule!F71="3NV",Schedule!F71="3*",Schedule!F71="2OTBT",Schedule!F71="4OTBT",Schedule!F71="2OTET",Schedule!F71="4OTET",Schedule!F71="*OTBT",Schedule!F71="*OTET")," ",Schedule!F71)</f>
        <v>*</v>
      </c>
      <c r="C19" s="30" t="str">
        <f>IF(OR(Schedule!G71=3,Schedule!G71="OT",Schedule!G71="3V",Schedule!G71="OTNV",Schedule!G71="OTV",Schedule!G71="3NV",Schedule!G71="3*",Schedule!G71="2OTBT",Schedule!G71="4OTBT",Schedule!G71="2OTET",Schedule!G71="4OTET",Schedule!G71="*OTBT",Schedule!G71="*OTET")," ",Schedule!G71)</f>
        <v>*</v>
      </c>
      <c r="D19" s="30" t="str">
        <f>IF(OR(Schedule!H71=3,Schedule!H71="OT",Schedule!H71="3V",Schedule!H71="OTNV",Schedule!H71="OTV",Schedule!H71="3NV",Schedule!H71="3*",Schedule!H71="2OTBT",Schedule!H71="4OTBT",Schedule!H71="2OTET",Schedule!H71="4OTET",Schedule!H71="*OTBT",Schedule!H71="*OTET")," ",Schedule!H71)</f>
        <v>*</v>
      </c>
      <c r="E19" s="30" t="str">
        <f>IF(OR(Schedule!I71=3,Schedule!I71="OT",Schedule!I71="3V",Schedule!I71="OTNV",Schedule!I71="OTV",Schedule!I71="3NV",Schedule!I71="3*",Schedule!I71="2OTBT",Schedule!I71="4OTBT",Schedule!I71="2OTET",Schedule!I71="4OTET",Schedule!I71="*OTBT",Schedule!I71="*OTET")," ",Schedule!I71)</f>
        <v>*</v>
      </c>
      <c r="F19" s="30" t="str">
        <f>IF(OR(Schedule!J71=3,Schedule!J71="OT",Schedule!J71="3V",Schedule!J71="OTNV",Schedule!J71="OTV",Schedule!J71="3NV",Schedule!J71="3*",Schedule!J71="2OTBT",Schedule!J71="4OTBT",Schedule!J71="2OTET",Schedule!J71="4OTET",Schedule!J71="*OTBT",Schedule!J71="*OTET")," ",Schedule!J71)</f>
        <v>*</v>
      </c>
      <c r="G19" s="30" t="str">
        <f>IF(OR(Schedule!K71=3,Schedule!K71="OT",Schedule!K71="3V",Schedule!K71="OTNV",Schedule!K71="OTV",Schedule!K71="3NV",Schedule!K71="3*",Schedule!K71="2OTBT",Schedule!K71="4OTBT",Schedule!K71="2OTET",Schedule!K71="4OTET",Schedule!K71="*OTBT",Schedule!K71="*OTET")," ",Schedule!K71)</f>
        <v>*</v>
      </c>
      <c r="H19" s="30" t="str">
        <f>IF(OR(Schedule!L71=3,Schedule!L71="OT",Schedule!L71="3V",Schedule!L71="OTNV",Schedule!L71="OTV",Schedule!L71="3NV",Schedule!L71="3*",Schedule!L71="2OTBT",Schedule!L71="4OTBT",Schedule!L71="2OTET",Schedule!L71="4OTET",Schedule!L71="*OTBT",Schedule!L71="*OTET")," ",Schedule!L71)</f>
        <v>*</v>
      </c>
      <c r="I19" s="377" t="s">
        <v>69</v>
      </c>
      <c r="J19" s="172">
        <v>3007</v>
      </c>
      <c r="K19" s="788"/>
      <c r="L19" s="781" t="str">
        <f>IF(A20=" "," ",".")</f>
        <v>.</v>
      </c>
      <c r="M19" s="66"/>
      <c r="N19" s="65"/>
      <c r="O19" s="65"/>
      <c r="P19" s="65"/>
    </row>
    <row r="20" spans="1:16" ht="15" customHeight="1" x14ac:dyDescent="0.25">
      <c r="A20" s="61" t="str">
        <f>IF(OR('Master List'!C68=0)," ",'Master List'!C68)</f>
        <v>S. RAJAN</v>
      </c>
      <c r="B20" s="32" t="str">
        <f>Z97</f>
        <v xml:space="preserve"> </v>
      </c>
      <c r="C20" s="32" t="str">
        <f>AC97</f>
        <v xml:space="preserve"> </v>
      </c>
      <c r="D20" s="32" t="str">
        <f>AF97</f>
        <v xml:space="preserve"> </v>
      </c>
      <c r="E20" s="32" t="str">
        <f>AI97</f>
        <v xml:space="preserve"> </v>
      </c>
      <c r="F20" s="32" t="str">
        <f>AL97</f>
        <v xml:space="preserve"> </v>
      </c>
      <c r="G20" s="32" t="str">
        <f>AO97</f>
        <v xml:space="preserve"> </v>
      </c>
      <c r="H20" s="32" t="str">
        <f>AR97</f>
        <v xml:space="preserve"> </v>
      </c>
      <c r="I20" s="377"/>
      <c r="J20" s="172"/>
      <c r="K20" s="788"/>
      <c r="L20" s="781" t="str">
        <f>IF(A20=" "," ",".")</f>
        <v>.</v>
      </c>
      <c r="M20" s="64"/>
      <c r="N20" s="65"/>
      <c r="O20" s="65"/>
      <c r="P20" s="65"/>
    </row>
    <row r="21" spans="1:16" ht="15" customHeight="1" x14ac:dyDescent="0.25">
      <c r="A21" s="61"/>
      <c r="B21" s="32" t="str">
        <f>Z98</f>
        <v xml:space="preserve"> </v>
      </c>
      <c r="C21" s="32" t="str">
        <f>AC98</f>
        <v xml:space="preserve"> </v>
      </c>
      <c r="D21" s="32" t="str">
        <f>AF98</f>
        <v xml:space="preserve"> </v>
      </c>
      <c r="E21" s="32" t="str">
        <f>AI98</f>
        <v xml:space="preserve"> </v>
      </c>
      <c r="F21" s="32" t="str">
        <f>AL98</f>
        <v xml:space="preserve"> </v>
      </c>
      <c r="G21" s="32" t="str">
        <f>AO98</f>
        <v xml:space="preserve"> </v>
      </c>
      <c r="H21" s="32" t="str">
        <f>AR98</f>
        <v xml:space="preserve"> </v>
      </c>
      <c r="I21" s="377" t="s">
        <v>71</v>
      </c>
      <c r="J21" s="172">
        <v>3008</v>
      </c>
      <c r="K21" s="788"/>
      <c r="L21" s="781" t="str">
        <f>IF(A20=" "," ",".")</f>
        <v>.</v>
      </c>
      <c r="M21" s="66"/>
      <c r="N21" s="65"/>
      <c r="O21" s="65"/>
      <c r="P21" s="65"/>
    </row>
    <row r="22" spans="1:16" ht="15" customHeight="1" thickBot="1" x14ac:dyDescent="0.3">
      <c r="A22" s="33"/>
      <c r="B22" s="403" t="str">
        <f>IF(Z97=" "," ",INDEX($AX$85:$AX$103,AA96))</f>
        <v xml:space="preserve"> </v>
      </c>
      <c r="C22" s="404" t="str">
        <f>IF(AC97=" "," ",INDEX($AX$85:$AX$103,AD96))</f>
        <v xml:space="preserve"> </v>
      </c>
      <c r="D22" s="404" t="str">
        <f>IF(AF97=" "," ",INDEX($AX$85:$AX$103,AG96))</f>
        <v xml:space="preserve"> </v>
      </c>
      <c r="E22" s="404" t="str">
        <f>IF(AI97=" "," ",INDEX($AX$85:$AX$103,AJ96))</f>
        <v xml:space="preserve"> </v>
      </c>
      <c r="F22" s="404" t="str">
        <f>IF(AL97=" "," ",INDEX($AX$85:$AX$103,AM96))</f>
        <v xml:space="preserve"> </v>
      </c>
      <c r="G22" s="404" t="str">
        <f>IF(AO97=" "," ",INDEX($AX$85:$AX$103,AP96))</f>
        <v xml:space="preserve"> </v>
      </c>
      <c r="H22" s="404" t="str">
        <f>IF(AR97=" "," ",INDEX($AX$85:$AX$103,AS96))</f>
        <v xml:space="preserve"> </v>
      </c>
      <c r="I22" s="377"/>
      <c r="J22" s="172"/>
      <c r="K22" s="788"/>
      <c r="L22" s="781" t="str">
        <f>IF(A20=" "," ",".")</f>
        <v>.</v>
      </c>
      <c r="M22" s="66"/>
      <c r="N22" s="65"/>
      <c r="O22" s="65"/>
      <c r="P22" s="65"/>
    </row>
    <row r="23" spans="1:16" ht="15" customHeight="1" x14ac:dyDescent="0.25">
      <c r="A23" s="29"/>
      <c r="B23" s="30" t="str">
        <f>IF(OR(Schedule!F72=3,Schedule!F72="OT",Schedule!F72="3V",Schedule!F72="OTNV",Schedule!F72="OTV",Schedule!F72="3NV",Schedule!F72="3*",Schedule!F72="2OTBT",Schedule!F72="4OTBT",Schedule!F72="2OTET",Schedule!F72="4OTET",Schedule!F72="*OTBT",Schedule!F72="*OTET")," ",Schedule!F72)</f>
        <v xml:space="preserve"> </v>
      </c>
      <c r="C23" s="30" t="str">
        <f>IF(OR(Schedule!G72=3,Schedule!G72="OT",Schedule!G72="3V",Schedule!G72="OTNV",Schedule!G72="OTV",Schedule!G72="3NV",Schedule!G72="3*",Schedule!G72="2OTBT",Schedule!G72="4OTBT",Schedule!G72="2OTET",Schedule!G72="4OTET",Schedule!G72="*OTBT",Schedule!G72="*OTET")," ",Schedule!G72)</f>
        <v xml:space="preserve"> </v>
      </c>
      <c r="D23" s="30" t="str">
        <f>IF(OR(Schedule!H72=3,Schedule!H72="OT",Schedule!H72="3V",Schedule!H72="OTNV",Schedule!H72="OTV",Schedule!H72="3NV",Schedule!H72="3*",Schedule!H72="2OTBT",Schedule!H72="4OTBT",Schedule!H72="2OTET",Schedule!H72="4OTET",Schedule!H72="*OTBT",Schedule!H72="*OTET")," ",Schedule!H72)</f>
        <v xml:space="preserve"> </v>
      </c>
      <c r="E23" s="30" t="str">
        <f>IF(OR(Schedule!I72=3,Schedule!I72="OT",Schedule!I72="3V",Schedule!I72="OTNV",Schedule!I72="OTV",Schedule!I72="3NV",Schedule!I72="3*",Schedule!I72="2OTBT",Schedule!I72="4OTBT",Schedule!I72="2OTET",Schedule!I72="4OTET",Schedule!I72="*OTBT",Schedule!I72="*OTET")," ",Schedule!I72)</f>
        <v xml:space="preserve"> </v>
      </c>
      <c r="F23" s="30" t="str">
        <f>IF(OR(Schedule!J72=3,Schedule!J72="OT",Schedule!J72="3V",Schedule!J72="OTNV",Schedule!J72="OTV",Schedule!J72="3NV",Schedule!J72="3*",Schedule!J72="2OTBT",Schedule!J72="4OTBT",Schedule!J72="2OTET",Schedule!J72="4OTET",Schedule!J72="*OTBT",Schedule!J72="*OTET")," ",Schedule!J72)</f>
        <v xml:space="preserve"> </v>
      </c>
      <c r="G23" s="30" t="str">
        <f>IF(OR(Schedule!K72=3,Schedule!K72="OT",Schedule!K72="3V",Schedule!K72="OTNV",Schedule!K72="OTV",Schedule!K72="3NV",Schedule!K72="3*",Schedule!K72="2OTBT",Schedule!K72="4OTBT",Schedule!K72="2OTET",Schedule!K72="4OTET",Schedule!K72="*OTBT",Schedule!K72="*OTET")," ",Schedule!K72)</f>
        <v>NS</v>
      </c>
      <c r="H23" s="30" t="str">
        <f>IF(OR(Schedule!L72=3,Schedule!L72="OT",Schedule!L72="3V",Schedule!L72="OTNV",Schedule!L72="OTV",Schedule!L72="3NV",Schedule!L72="3*",Schedule!L72="2OTBT",Schedule!L72="4OTBT",Schedule!L72="2OTET",Schedule!L72="4OTET",Schedule!L72="*OTBT",Schedule!L72="*OTET")," ",Schedule!L72)</f>
        <v>NS</v>
      </c>
      <c r="I23" s="172" t="s">
        <v>0</v>
      </c>
      <c r="J23" s="172">
        <v>3009</v>
      </c>
      <c r="K23" s="789"/>
      <c r="L23" s="781" t="str">
        <f>IF(A24=" "," ",".")</f>
        <v>.</v>
      </c>
      <c r="M23" s="66"/>
      <c r="N23" s="65"/>
      <c r="O23" s="65"/>
      <c r="P23" s="65"/>
    </row>
    <row r="24" spans="1:16" ht="15" customHeight="1" x14ac:dyDescent="0.2">
      <c r="A24" s="61" t="str">
        <f>IF(OR('Master List'!C69=0)," ",'Master List'!C69)</f>
        <v>J. ROCHELLE</v>
      </c>
      <c r="B24" s="32">
        <f>Z100</f>
        <v>3002</v>
      </c>
      <c r="C24" s="32">
        <f>AC100</f>
        <v>3002</v>
      </c>
      <c r="D24" s="32">
        <f>AF100</f>
        <v>3002</v>
      </c>
      <c r="E24" s="32">
        <f>AI100</f>
        <v>3001</v>
      </c>
      <c r="F24" s="32">
        <f>AL100</f>
        <v>3001</v>
      </c>
      <c r="G24" s="32" t="str">
        <f>AO100</f>
        <v xml:space="preserve"> </v>
      </c>
      <c r="H24" s="32" t="str">
        <f>AR100</f>
        <v xml:space="preserve"> </v>
      </c>
      <c r="K24" s="789"/>
      <c r="L24" s="781" t="str">
        <f>IF(A24=" "," ",".")</f>
        <v>.</v>
      </c>
      <c r="M24" s="66"/>
      <c r="N24" s="65"/>
      <c r="O24" s="65"/>
      <c r="P24" s="65"/>
    </row>
    <row r="25" spans="1:16" ht="15" customHeight="1" x14ac:dyDescent="0.2">
      <c r="A25" s="61"/>
      <c r="B25" s="32" t="str">
        <f>Z101</f>
        <v xml:space="preserve"> &amp; RECYCLE</v>
      </c>
      <c r="C25" s="32" t="str">
        <f>AC101</f>
        <v xml:space="preserve"> &amp; RECYCLE</v>
      </c>
      <c r="D25" s="32" t="str">
        <f>AF101</f>
        <v xml:space="preserve"> &amp; RECYCLE</v>
      </c>
      <c r="E25" s="32" t="str">
        <f>AI101</f>
        <v xml:space="preserve"> &amp; RECYCLE</v>
      </c>
      <c r="F25" s="32" t="str">
        <f>AL101</f>
        <v xml:space="preserve"> &amp; RECYCLE</v>
      </c>
      <c r="G25" s="32" t="str">
        <f>AO101</f>
        <v xml:space="preserve"> </v>
      </c>
      <c r="H25" s="32" t="str">
        <f>AR101</f>
        <v xml:space="preserve"> </v>
      </c>
      <c r="I25" s="66"/>
      <c r="K25" s="788"/>
      <c r="L25" s="781" t="str">
        <f>IF(A24=" "," ",".")</f>
        <v>.</v>
      </c>
      <c r="M25" s="64"/>
      <c r="N25" s="65"/>
      <c r="O25" s="65"/>
      <c r="P25" s="65"/>
    </row>
    <row r="26" spans="1:16" ht="15" customHeight="1" thickBot="1" x14ac:dyDescent="0.25">
      <c r="A26" s="33"/>
      <c r="B26" s="403" t="str">
        <f>IF(Z100=" "," ",INDEX($AX$85:$AX$103,AA99))</f>
        <v xml:space="preserve"> </v>
      </c>
      <c r="C26" s="404" t="str">
        <f>IF(AC100=" "," ",INDEX($AX$85:$AX$103,AD99))</f>
        <v xml:space="preserve"> </v>
      </c>
      <c r="D26" s="404" t="str">
        <f>IF(AF100=" "," ",INDEX($AX$85:$AX$103,AG99))</f>
        <v xml:space="preserve"> </v>
      </c>
      <c r="E26" s="404" t="str">
        <f>IF(AI100=" "," ",INDEX($AX$85:$AX$103,AJ99))</f>
        <v xml:space="preserve"> </v>
      </c>
      <c r="F26" s="404" t="str">
        <f>IF(AL100=" "," ",INDEX($AX$85:$AX$103,AM99))</f>
        <v xml:space="preserve"> </v>
      </c>
      <c r="G26" s="404" t="str">
        <f>IF(AO100=" "," ",INDEX($AX$85:$AX$103,AP99))</f>
        <v xml:space="preserve"> </v>
      </c>
      <c r="H26" s="404" t="str">
        <f>IF(AR100=" "," ",INDEX($AX$85:$AX$103,AS99))</f>
        <v xml:space="preserve"> </v>
      </c>
      <c r="I26" s="64"/>
      <c r="K26" s="789"/>
      <c r="L26" s="781" t="str">
        <f>IF(A24=" "," ",".")</f>
        <v>.</v>
      </c>
      <c r="M26" s="64"/>
      <c r="N26" s="65"/>
      <c r="O26" s="65"/>
      <c r="P26" s="65"/>
    </row>
    <row r="27" spans="1:16" ht="15" customHeight="1" x14ac:dyDescent="0.2">
      <c r="A27" s="29"/>
      <c r="B27" s="30" t="str">
        <f>IF(OR(Schedule!F73=3,Schedule!F73="OT",Schedule!F73="3V",Schedule!F73="OTNV",Schedule!F73="OTV",Schedule!F73="3NV",Schedule!F73="3*",Schedule!F73="2OTBT",Schedule!F73="4OTBT",Schedule!F73="2OTET",Schedule!F73="4OTET",Schedule!F73="*OTBT",Schedule!F73="*OTET")," ",Schedule!F73)</f>
        <v>NS</v>
      </c>
      <c r="C27" s="30" t="str">
        <f>IF(OR(Schedule!G73=3,Schedule!G73="OT",Schedule!G73="3V",Schedule!G73="OTNV",Schedule!G73="OTV",Schedule!G73="3NV",Schedule!G73="3*",Schedule!G73="2OTBT",Schedule!G73="4OTBT",Schedule!G73="2OTET",Schedule!G73="4OTET",Schedule!G73="*OTBT",Schedule!G73="*OTET")," ",Schedule!G73)</f>
        <v xml:space="preserve"> </v>
      </c>
      <c r="D27" s="30" t="str">
        <f>IF(OR(Schedule!H73=3,Schedule!H73="OT",Schedule!H73="3V",Schedule!H73="OTNV",Schedule!H73="OTV",Schedule!H73="3NV",Schedule!H73="3*",Schedule!H73="2OTBT",Schedule!H73="4OTBT",Schedule!H73="2OTET",Schedule!H73="4OTET",Schedule!H73="*OTBT",Schedule!H73="*OTET")," ",Schedule!H73)</f>
        <v xml:space="preserve"> </v>
      </c>
      <c r="E27" s="30" t="str">
        <f>IF(OR(Schedule!I73=3,Schedule!I73="OT",Schedule!I73="3V",Schedule!I73="OTNV",Schedule!I73="OTV",Schedule!I73="3NV",Schedule!I73="3*",Schedule!I73="2OTBT",Schedule!I73="4OTBT",Schedule!I73="2OTET",Schedule!I73="4OTET",Schedule!I73="*OTBT",Schedule!I73="*OTET")," ",Schedule!I73)</f>
        <v xml:space="preserve"> </v>
      </c>
      <c r="F27" s="30" t="str">
        <f>IF(OR(Schedule!J73=3,Schedule!J73="OT",Schedule!J73="3V",Schedule!J73="OTNV",Schedule!J73="OTV",Schedule!J73="3NV",Schedule!J73="3*",Schedule!J73="2OTBT",Schedule!J73="4OTBT",Schedule!J73="2OTET",Schedule!J73="4OTET",Schedule!J73="*OTBT",Schedule!J73="*OTET")," ",Schedule!J73)</f>
        <v xml:space="preserve"> </v>
      </c>
      <c r="G27" s="30" t="str">
        <f>IF(OR(Schedule!K73=3,Schedule!K73="OT",Schedule!K73="3V",Schedule!K73="OTNV",Schedule!K73="OTV",Schedule!K73="3NV",Schedule!K73="3*",Schedule!K73="2OTBT",Schedule!K73="4OTBT",Schedule!K73="2OTET",Schedule!K73="4OTET",Schedule!K73="*OTBT",Schedule!K73="*OTET")," ",Schedule!K73)</f>
        <v xml:space="preserve"> </v>
      </c>
      <c r="H27" s="30" t="str">
        <f>IF(OR(Schedule!L73=3,Schedule!L73="OT",Schedule!L73="3V",Schedule!L73="OTNV",Schedule!L73="OTV",Schedule!L73="3NV",Schedule!L73="3*",Schedule!L73="2OTBT",Schedule!L73="4OTBT",Schedule!L73="2OTET",Schedule!L73="4OTET",Schedule!L73="*OTBT",Schedule!L73="*OTET")," ",Schedule!L73)</f>
        <v>NS</v>
      </c>
      <c r="I27" s="66"/>
      <c r="K27" s="789"/>
      <c r="L27" s="781" t="str">
        <f>IF(A28=" "," ",".")</f>
        <v>.</v>
      </c>
      <c r="N27" s="65"/>
      <c r="O27" s="65"/>
      <c r="P27" s="65"/>
    </row>
    <row r="28" spans="1:16" ht="15" customHeight="1" x14ac:dyDescent="0.2">
      <c r="A28" s="61" t="str">
        <f>IF(OR('Master List'!C70=0)," ",'Master List'!C70)</f>
        <v>J. ADAMS</v>
      </c>
      <c r="B28" s="32" t="str">
        <f>Z103</f>
        <v xml:space="preserve"> </v>
      </c>
      <c r="C28" s="32" t="str">
        <f>AC103</f>
        <v>LEAD</v>
      </c>
      <c r="D28" s="32" t="str">
        <f>AF103</f>
        <v>LEAD</v>
      </c>
      <c r="E28" s="32">
        <f>AI103</f>
        <v>3005</v>
      </c>
      <c r="F28" s="32">
        <f>AL103</f>
        <v>3005</v>
      </c>
      <c r="G28" s="32" t="str">
        <f>AO103</f>
        <v>.</v>
      </c>
      <c r="H28" s="32" t="str">
        <f>AR103</f>
        <v xml:space="preserve"> </v>
      </c>
      <c r="I28" s="64"/>
      <c r="K28" s="788"/>
      <c r="L28" s="781" t="str">
        <f>IF(A28=" "," ",".")</f>
        <v>.</v>
      </c>
      <c r="N28" s="65"/>
      <c r="O28" s="65"/>
      <c r="P28" s="65"/>
    </row>
    <row r="29" spans="1:16" ht="15" customHeight="1" x14ac:dyDescent="0.2">
      <c r="A29" s="61"/>
      <c r="B29" s="32" t="str">
        <f>Z104</f>
        <v xml:space="preserve"> </v>
      </c>
      <c r="C29" s="32" t="str">
        <f>AC104</f>
        <v xml:space="preserve"> &amp; RECYCLE</v>
      </c>
      <c r="D29" s="32" t="str">
        <f>AF104</f>
        <v xml:space="preserve"> &amp; RECYCLE</v>
      </c>
      <c r="E29" s="32" t="str">
        <f>AI104</f>
        <v xml:space="preserve"> &amp; RECYCLE</v>
      </c>
      <c r="F29" s="32" t="str">
        <f>AL104</f>
        <v xml:space="preserve"> &amp; RECYCLE</v>
      </c>
      <c r="G29" s="32" t="str">
        <f>AO104</f>
        <v>RECYCLE</v>
      </c>
      <c r="H29" s="32" t="str">
        <f>AR104</f>
        <v xml:space="preserve"> </v>
      </c>
      <c r="I29" s="791"/>
      <c r="J29" s="789"/>
      <c r="K29" s="788"/>
      <c r="L29" s="781" t="str">
        <f>IF(A28=" "," ",".")</f>
        <v>.</v>
      </c>
    </row>
    <row r="30" spans="1:16" ht="15" customHeight="1" thickBot="1" x14ac:dyDescent="0.25">
      <c r="A30" s="33"/>
      <c r="B30" s="403" t="str">
        <f>IF(Z103=" "," ",INDEX($AX$85:$AX$103,AA102))</f>
        <v xml:space="preserve"> </v>
      </c>
      <c r="C30" s="404">
        <f>IF(AC103=" "," ",INDEX($AX$85:$AX$103,AD102))</f>
        <v>3001</v>
      </c>
      <c r="D30" s="404">
        <f>IF(AF103=" "," ",INDEX($AX$85:$AX$103,AG102))</f>
        <v>3001</v>
      </c>
      <c r="E30" s="404" t="e">
        <f>IF(AI103=" "," ",INDEX($AX$85:$AX$103,AJ102))</f>
        <v>#REF!</v>
      </c>
      <c r="F30" s="404" t="e">
        <f>IF(AL103=" "," ",INDEX($AX$85:$AX$103,AM102))</f>
        <v>#REF!</v>
      </c>
      <c r="G30" s="404" t="e">
        <f>IF(AO103=" "," ",INDEX($AX$85:$AX$103,AP102))</f>
        <v>#REF!</v>
      </c>
      <c r="H30" s="404" t="str">
        <f>IF(AR103=" "," ",INDEX($AX$85:$AX$103,AS102))</f>
        <v xml:space="preserve"> </v>
      </c>
      <c r="I30" s="792"/>
      <c r="J30" s="789"/>
      <c r="K30" s="789"/>
      <c r="L30" s="781" t="str">
        <f>IF(A28=" "," ",".")</f>
        <v>.</v>
      </c>
    </row>
    <row r="31" spans="1:16" ht="15" customHeight="1" x14ac:dyDescent="0.25">
      <c r="A31" s="29"/>
      <c r="B31" s="30" t="str">
        <f>IF(OR(Schedule!F74=3,Schedule!F74="OT",Schedule!F74="3V",Schedule!F74="OTNV",Schedule!F74="OTV",Schedule!F74="3NV",Schedule!F74="3*",Schedule!F74="2OTBT",Schedule!F74="4OTBT",Schedule!F74="2OTET",Schedule!F74="4OTET",Schedule!F74="*OTBT",Schedule!F74="*OTET")," ",Schedule!F74)</f>
        <v>SL</v>
      </c>
      <c r="C31" s="30" t="str">
        <f>IF(OR(Schedule!G74=3,Schedule!G74="OT",Schedule!G74="3V",Schedule!G74="OTNV",Schedule!G74="OTV",Schedule!G74="3NV",Schedule!G74="3*",Schedule!G74="2OTBT",Schedule!G74="4OTBT",Schedule!G74="2OTET",Schedule!G74="4OTET",Schedule!G74="*OTBT",Schedule!G74="*OTET")," ",Schedule!G74)</f>
        <v>SL</v>
      </c>
      <c r="D31" s="30" t="str">
        <f>IF(OR(Schedule!H74=3,Schedule!H74="OT",Schedule!H74="3V",Schedule!H74="OTNV",Schedule!H74="OTV",Schedule!H74="3NV",Schedule!H74="3*",Schedule!H74="2OTBT",Schedule!H74="4OTBT",Schedule!H74="2OTET",Schedule!H74="4OTET",Schedule!H74="*OTBT",Schedule!H74="*OTET")," ",Schedule!H74)</f>
        <v>NS</v>
      </c>
      <c r="E31" s="30" t="str">
        <f>IF(OR(Schedule!I74=3,Schedule!I74="OT",Schedule!I74="3V",Schedule!I74="OTNV",Schedule!I74="OTV",Schedule!I74="3NV",Schedule!I74="3*",Schedule!I74="2OTBT",Schedule!I74="4OTBT",Schedule!I74="2OTET",Schedule!I74="4OTET",Schedule!I74="*OTBT",Schedule!I74="*OTET")," ",Schedule!I74)</f>
        <v>NS</v>
      </c>
      <c r="F31" s="30" t="str">
        <f>IF(OR(Schedule!J74=3,Schedule!J74="OT",Schedule!J74="3V",Schedule!J74="OTNV",Schedule!J74="OTV",Schedule!J74="3NV",Schedule!J74="3*",Schedule!J74="2OTBT",Schedule!J74="4OTBT",Schedule!J74="2OTET",Schedule!J74="4OTET",Schedule!J74="*OTBT",Schedule!J74="*OTET")," ",Schedule!J74)</f>
        <v>SL</v>
      </c>
      <c r="G31" s="30" t="str">
        <f>IF(OR(Schedule!K74=3,Schedule!K74="OT",Schedule!K74="3V",Schedule!K74="OTNV",Schedule!K74="OTV",Schedule!K74="3NV",Schedule!K74="3*",Schedule!K74="2OTBT",Schedule!K74="4OTBT",Schedule!K74="2OTET",Schedule!K74="4OTET",Schedule!K74="*OTBT",Schedule!K74="*OTET")," ",Schedule!K74)</f>
        <v>SL</v>
      </c>
      <c r="H31" s="30" t="str">
        <f>IF(OR(Schedule!L74=3,Schedule!L74="OT",Schedule!L74="3V",Schedule!L74="OTNV",Schedule!L74="OTV",Schedule!L74="3NV",Schedule!L74="3*",Schedule!L74="2OTBT",Schedule!L74="4OTBT",Schedule!L74="2OTET",Schedule!L74="4OTET",Schedule!L74="*OTBT",Schedule!L74="*OTET")," ",Schedule!L74)</f>
        <v>SL</v>
      </c>
      <c r="I31" s="793"/>
      <c r="J31" s="789"/>
      <c r="K31" s="789"/>
      <c r="L31" s="781" t="str">
        <f>IF(A32=" "," ",".")</f>
        <v>.</v>
      </c>
      <c r="M31" s="64"/>
      <c r="N31" s="65"/>
      <c r="O31" s="65"/>
      <c r="P31" s="65"/>
    </row>
    <row r="32" spans="1:16" ht="15" customHeight="1" x14ac:dyDescent="0.25">
      <c r="A32" s="61" t="str">
        <f>IF(OR('Master List'!C71=0)," ",'Master List'!C71)</f>
        <v>D. WALLACE</v>
      </c>
      <c r="B32" s="32" t="str">
        <f>Z106</f>
        <v xml:space="preserve"> </v>
      </c>
      <c r="C32" s="32" t="str">
        <f>AC106</f>
        <v xml:space="preserve"> </v>
      </c>
      <c r="D32" s="32" t="str">
        <f>AF106</f>
        <v xml:space="preserve"> </v>
      </c>
      <c r="E32" s="32" t="str">
        <f>AI106</f>
        <v xml:space="preserve"> </v>
      </c>
      <c r="F32" s="32" t="str">
        <f>AL106</f>
        <v xml:space="preserve"> </v>
      </c>
      <c r="G32" s="32" t="str">
        <f>AO106</f>
        <v xml:space="preserve"> </v>
      </c>
      <c r="H32" s="32" t="str">
        <f>AR106</f>
        <v xml:space="preserve"> </v>
      </c>
      <c r="I32" s="793"/>
      <c r="J32" s="789"/>
      <c r="K32" s="789"/>
      <c r="L32" s="781" t="str">
        <f>IF(A32=" "," ",".")</f>
        <v>.</v>
      </c>
      <c r="M32" s="64"/>
      <c r="N32" s="65"/>
      <c r="O32" s="65"/>
      <c r="P32" s="65"/>
    </row>
    <row r="33" spans="1:16" ht="15" customHeight="1" x14ac:dyDescent="0.25">
      <c r="A33" s="61"/>
      <c r="B33" s="32" t="str">
        <f>Z107</f>
        <v xml:space="preserve"> </v>
      </c>
      <c r="C33" s="32" t="str">
        <f>AC107</f>
        <v xml:space="preserve"> </v>
      </c>
      <c r="D33" s="32" t="str">
        <f>AF107</f>
        <v xml:space="preserve"> </v>
      </c>
      <c r="E33" s="32" t="str">
        <f>AI107</f>
        <v xml:space="preserve"> </v>
      </c>
      <c r="F33" s="32" t="str">
        <f>AL107</f>
        <v xml:space="preserve"> </v>
      </c>
      <c r="G33" s="32" t="str">
        <f>AO107</f>
        <v xml:space="preserve"> </v>
      </c>
      <c r="H33" s="32" t="str">
        <f>AR107</f>
        <v xml:space="preserve"> </v>
      </c>
      <c r="I33" s="793"/>
      <c r="J33" s="789"/>
      <c r="K33" s="789"/>
      <c r="L33" s="781" t="str">
        <f>IF(A32=" "," ",".")</f>
        <v>.</v>
      </c>
      <c r="M33" s="65"/>
      <c r="N33" s="65"/>
      <c r="O33" s="65"/>
      <c r="P33" s="65"/>
    </row>
    <row r="34" spans="1:16" ht="15" customHeight="1" thickBot="1" x14ac:dyDescent="0.3">
      <c r="A34" s="33"/>
      <c r="B34" s="403" t="str">
        <f>IF(Z106=" "," ",INDEX($AX$85:$AX$103,AA105))</f>
        <v xml:space="preserve"> </v>
      </c>
      <c r="C34" s="404" t="str">
        <f>IF(AC106=" "," ",INDEX($AX$85:$AX$103,AD105))</f>
        <v xml:space="preserve"> </v>
      </c>
      <c r="D34" s="404" t="str">
        <f>IF(AF106=" "," ",INDEX($AX$85:$AX$103,AG105))</f>
        <v xml:space="preserve"> </v>
      </c>
      <c r="E34" s="404" t="str">
        <f>IF(AI106=" "," ",INDEX($AX$85:$AX$103,AJ105))</f>
        <v xml:space="preserve"> </v>
      </c>
      <c r="F34" s="404" t="str">
        <f>IF(AL106=" "," ",INDEX($AX$85:$AX$103,AM105))</f>
        <v xml:space="preserve"> </v>
      </c>
      <c r="G34" s="404" t="str">
        <f>IF(AO106=" "," ",INDEX($AX$85:$AX$103,AP105))</f>
        <v xml:space="preserve"> </v>
      </c>
      <c r="H34" s="404" t="str">
        <f>IF(AR106=" "," ",INDEX($AX$85:$AX$103,AS105))</f>
        <v xml:space="preserve"> </v>
      </c>
      <c r="I34" s="793"/>
      <c r="J34" s="789"/>
      <c r="K34" s="789"/>
      <c r="L34" s="781" t="str">
        <f>IF(A32=" "," ",".")</f>
        <v>.</v>
      </c>
      <c r="M34" s="65"/>
      <c r="N34" s="65"/>
      <c r="O34" s="65"/>
      <c r="P34" s="65"/>
    </row>
    <row r="35" spans="1:16" ht="15" customHeight="1" x14ac:dyDescent="0.25">
      <c r="A35" s="29"/>
      <c r="B35" s="30" t="str">
        <f>IF(OR(Schedule!F75=3,Schedule!F75="OT",Schedule!F75="3V",Schedule!F75="OTNV",Schedule!F75="OTV",Schedule!F75="3NV",Schedule!F75="3*",Schedule!F75="2OTBT",Schedule!F75="4OTBT",Schedule!F75="2OTET",Schedule!F75="4OTET",Schedule!F75="*OTBT",Schedule!F75="*OTET")," ",Schedule!F75)</f>
        <v xml:space="preserve"> </v>
      </c>
      <c r="C35" s="30" t="str">
        <f>IF(OR(Schedule!G75=3,Schedule!G75="OT",Schedule!G75="3V",Schedule!G75="OTNV",Schedule!G75="OTV",Schedule!G75="3NV",Schedule!G75="3*",Schedule!G75="2OTBT",Schedule!G75="4OTBT",Schedule!G75="2OTET",Schedule!G75="4OTET",Schedule!G75="*OTBT",Schedule!G75="*OTET")," ",Schedule!G75)</f>
        <v xml:space="preserve"> </v>
      </c>
      <c r="D35" s="30" t="str">
        <f>IF(OR(Schedule!H75=3,Schedule!H75="OT",Schedule!H75="3V",Schedule!H75="OTNV",Schedule!H75="OTV",Schedule!H75="3NV",Schedule!H75="3*",Schedule!H75="2OTBT",Schedule!H75="4OTBT",Schedule!H75="2OTET",Schedule!H75="4OTET",Schedule!H75="*OTBT",Schedule!H75="*OTET")," ",Schedule!H75)</f>
        <v xml:space="preserve"> </v>
      </c>
      <c r="E35" s="30" t="str">
        <f>IF(OR(Schedule!I75=3,Schedule!I75="OT",Schedule!I75="3V",Schedule!I75="OTNV",Schedule!I75="OTV",Schedule!I75="3NV",Schedule!I75="3*",Schedule!I75="2OTBT",Schedule!I75="4OTBT",Schedule!I75="2OTET",Schedule!I75="4OTET",Schedule!I75="*OTBT",Schedule!I75="*OTET")," ",Schedule!I75)</f>
        <v>NS</v>
      </c>
      <c r="F35" s="30" t="str">
        <f>IF(OR(Schedule!J75=3,Schedule!J75="OT",Schedule!J75="3V",Schedule!J75="OTNV",Schedule!J75="OTV",Schedule!J75="3NV",Schedule!J75="3*",Schedule!J75="2OTBT",Schedule!J75="4OTBT",Schedule!J75="2OTET",Schedule!J75="4OTET",Schedule!J75="*OTBT",Schedule!J75="*OTET")," ",Schedule!J75)</f>
        <v>NS</v>
      </c>
      <c r="G35" s="30" t="str">
        <f>IF(OR(Schedule!K75=3,Schedule!K75="OT",Schedule!K75="3V",Schedule!K75="OTNV",Schedule!K75="OTV",Schedule!K75="3NV",Schedule!K75="3*",Schedule!K75="2OTBT",Schedule!K75="4OTBT",Schedule!K75="2OTET",Schedule!K75="4OTET",Schedule!K75="*OTBT",Schedule!K75="*OTET")," ",Schedule!K75)</f>
        <v xml:space="preserve"> </v>
      </c>
      <c r="H35" s="30" t="str">
        <f>IF(OR(Schedule!L75=3,Schedule!L75="OT",Schedule!L75="3V",Schedule!L75="OTNV",Schedule!L75="OTV",Schedule!L75="3NV",Schedule!L75="3*",Schedule!L75="2OTBT",Schedule!L75="4OTBT",Schedule!L75="2OTET",Schedule!L75="4OTET",Schedule!L75="*OTBT",Schedule!L75="*OTET")," ",Schedule!L75)</f>
        <v xml:space="preserve"> </v>
      </c>
      <c r="I35" s="793"/>
      <c r="J35" s="789"/>
      <c r="K35" s="789"/>
      <c r="L35" s="781" t="str">
        <f>IF(A36=" "," ",".")</f>
        <v>.</v>
      </c>
      <c r="M35" s="1"/>
    </row>
    <row r="36" spans="1:16" ht="15" customHeight="1" x14ac:dyDescent="0.25">
      <c r="A36" s="61" t="str">
        <f>IF(OR('Master List'!C72=0)," ",'Master List'!C72)</f>
        <v>R. JACKSON</v>
      </c>
      <c r="B36" s="32" t="str">
        <f>Z109</f>
        <v>.</v>
      </c>
      <c r="C36" s="32" t="str">
        <f>AC109</f>
        <v>.</v>
      </c>
      <c r="D36" s="32" t="str">
        <f>AF109</f>
        <v>.</v>
      </c>
      <c r="E36" s="32" t="str">
        <f>AI109</f>
        <v xml:space="preserve"> </v>
      </c>
      <c r="F36" s="32" t="str">
        <f>AL109</f>
        <v xml:space="preserve"> </v>
      </c>
      <c r="G36" s="32" t="str">
        <f>AO109</f>
        <v>.</v>
      </c>
      <c r="H36" s="32" t="str">
        <f>AR109</f>
        <v>.</v>
      </c>
      <c r="I36" s="793"/>
      <c r="J36" s="789"/>
      <c r="K36" s="789"/>
      <c r="L36" s="781" t="str">
        <f>IF(A36=" "," ",".")</f>
        <v>.</v>
      </c>
      <c r="M36" s="1"/>
    </row>
    <row r="37" spans="1:16" ht="15" customHeight="1" x14ac:dyDescent="0.25">
      <c r="A37" s="61"/>
      <c r="B37" s="32" t="str">
        <f>Z110</f>
        <v>DBCS</v>
      </c>
      <c r="C37" s="32" t="str">
        <f>AC110</f>
        <v>DBCS</v>
      </c>
      <c r="D37" s="32" t="str">
        <f>AF110</f>
        <v>DBCS</v>
      </c>
      <c r="E37" s="32" t="str">
        <f>AI110</f>
        <v xml:space="preserve"> </v>
      </c>
      <c r="F37" s="32" t="str">
        <f>AL110</f>
        <v xml:space="preserve"> </v>
      </c>
      <c r="G37" s="32" t="str">
        <f>AO110</f>
        <v>DBCS</v>
      </c>
      <c r="H37" s="32" t="str">
        <f>AR110</f>
        <v>DBCS</v>
      </c>
      <c r="I37" s="793"/>
      <c r="J37" s="790"/>
      <c r="K37" s="790"/>
      <c r="L37" s="781" t="str">
        <f>IF(A36=" "," ",".")</f>
        <v>.</v>
      </c>
    </row>
    <row r="38" spans="1:16" ht="15" customHeight="1" thickBot="1" x14ac:dyDescent="0.3">
      <c r="A38" s="33"/>
      <c r="B38" s="403" t="e">
        <f>IF(Z109=" "," ",INDEX($AX$85:$AX$103,AA108))</f>
        <v>#REF!</v>
      </c>
      <c r="C38" s="404" t="e">
        <f>IF(AC109=" "," ",INDEX($AX$85:$AX$103,AD108))</f>
        <v>#REF!</v>
      </c>
      <c r="D38" s="404" t="e">
        <f>IF(AF109=" "," ",INDEX($AX$85:$AX$103,AG108))</f>
        <v>#REF!</v>
      </c>
      <c r="E38" s="404" t="str">
        <f>IF(AI109=" "," ",INDEX($AX$85:$AX$103,AJ108))</f>
        <v xml:space="preserve"> </v>
      </c>
      <c r="F38" s="404" t="str">
        <f>IF(AL109=" "," ",INDEX($AX$85:$AX$103,AM108))</f>
        <v xml:space="preserve"> </v>
      </c>
      <c r="G38" s="404" t="e">
        <f>IF(AO109=" "," ",INDEX($AX$85:$AX$103,AP108))</f>
        <v>#REF!</v>
      </c>
      <c r="H38" s="404" t="e">
        <f>IF(AR109=" "," ",INDEX($AX$85:$AX$103,AS108))</f>
        <v>#REF!</v>
      </c>
      <c r="I38" s="793"/>
      <c r="J38" s="789"/>
      <c r="K38" s="789"/>
      <c r="L38" s="781" t="str">
        <f>IF(A36=" "," ",".")</f>
        <v>.</v>
      </c>
    </row>
    <row r="39" spans="1:16" ht="15" customHeight="1" x14ac:dyDescent="0.25">
      <c r="A39" s="29"/>
      <c r="B39" s="30" t="str">
        <f>IF(OR(Schedule!F76=3,Schedule!F76="OT",Schedule!F76="3V",Schedule!F76="OTNV",Schedule!F76="OTV",Schedule!F76="3NV",Schedule!F76="3*",Schedule!F76="2OTBT",Schedule!F76="4OTBT",Schedule!F76="2OTET",Schedule!F76="4OTET",Schedule!F76="*OTBT",Schedule!F76="*OTET")," ",Schedule!F76)</f>
        <v>*</v>
      </c>
      <c r="C39" s="30" t="str">
        <f>IF(OR(Schedule!G76=3,Schedule!G76="OT",Schedule!G76="3V",Schedule!G76="OTNV",Schedule!G76="OTV",Schedule!G76="3NV",Schedule!G76="3*",Schedule!G76="2OTBT",Schedule!G76="4OTBT",Schedule!G76="2OTET",Schedule!G76="4OTET",Schedule!G76="*OTBT",Schedule!G76="*OTET")," ",Schedule!G76)</f>
        <v>*</v>
      </c>
      <c r="D39" s="30" t="str">
        <f>IF(OR(Schedule!H76=3,Schedule!H76="OT",Schedule!H76="3V",Schedule!H76="OTNV",Schedule!H76="OTV",Schedule!H76="3NV",Schedule!H76="3*",Schedule!H76="2OTBT",Schedule!H76="4OTBT",Schedule!H76="2OTET",Schedule!H76="4OTET",Schedule!H76="*OTBT",Schedule!H76="*OTET")," ",Schedule!H76)</f>
        <v>*</v>
      </c>
      <c r="E39" s="30" t="str">
        <f>IF(OR(Schedule!I76=3,Schedule!I76="OT",Schedule!I76="3V",Schedule!I76="OTNV",Schedule!I76="OTV",Schedule!I76="3NV",Schedule!I76="3*",Schedule!I76="2OTBT",Schedule!I76="4OTBT",Schedule!I76="2OTET",Schedule!I76="4OTET",Schedule!I76="*OTBT",Schedule!I76="*OTET")," ",Schedule!I76)</f>
        <v>*</v>
      </c>
      <c r="F39" s="30" t="str">
        <f>IF(OR(Schedule!J76=3,Schedule!J76="OT",Schedule!J76="3V",Schedule!J76="OTNV",Schedule!J76="OTV",Schedule!J76="3NV",Schedule!J76="3*",Schedule!J76="2OTBT",Schedule!J76="4OTBT",Schedule!J76="2OTET",Schedule!J76="4OTET",Schedule!J76="*OTBT",Schedule!J76="*OTET")," ",Schedule!J76)</f>
        <v>*</v>
      </c>
      <c r="G39" s="30" t="str">
        <f>IF(OR(Schedule!K76=3,Schedule!K76="OT",Schedule!K76="3V",Schedule!K76="OTNV",Schedule!K76="OTV",Schedule!K76="3NV",Schedule!K76="3*",Schedule!K76="2OTBT",Schedule!K76="4OTBT",Schedule!K76="2OTET",Schedule!K76="4OTET",Schedule!K76="*OTBT",Schedule!K76="*OTET")," ",Schedule!K76)</f>
        <v>*</v>
      </c>
      <c r="H39" s="30" t="str">
        <f>IF(OR(Schedule!L76=3,Schedule!L76="OT",Schedule!L76="3V",Schedule!L76="OTNV",Schedule!L76="OTV",Schedule!L76="3NV",Schedule!L76="3*",Schedule!L76="2OTBT",Schedule!L76="4OTBT",Schedule!L76="2OTET",Schedule!L76="4OTET",Schedule!L76="*OTBT",Schedule!L76="*OTET")," ",Schedule!L76)</f>
        <v>*</v>
      </c>
      <c r="I39" s="793"/>
      <c r="J39" s="790"/>
      <c r="K39" s="789"/>
      <c r="L39" s="781" t="str">
        <f>IF(A40=" "," ",".")</f>
        <v>.</v>
      </c>
    </row>
    <row r="40" spans="1:16" ht="15" customHeight="1" x14ac:dyDescent="0.25">
      <c r="A40" s="61" t="str">
        <f>IF('Master List'!C73=0," ",'Master List'!C73)</f>
        <v>P. BIRRING</v>
      </c>
      <c r="B40" s="32" t="str">
        <f>Z112</f>
        <v xml:space="preserve"> </v>
      </c>
      <c r="C40" s="32" t="str">
        <f>AC112</f>
        <v xml:space="preserve"> </v>
      </c>
      <c r="D40" s="32" t="str">
        <f>AF112</f>
        <v xml:space="preserve"> </v>
      </c>
      <c r="E40" s="32" t="str">
        <f>AI112</f>
        <v xml:space="preserve"> </v>
      </c>
      <c r="F40" s="32" t="str">
        <f>AL112</f>
        <v xml:space="preserve"> </v>
      </c>
      <c r="G40" s="32" t="str">
        <f>AO112</f>
        <v xml:space="preserve"> </v>
      </c>
      <c r="H40" s="32" t="str">
        <f>AR112</f>
        <v xml:space="preserve"> </v>
      </c>
      <c r="I40" s="793"/>
      <c r="J40" s="789"/>
      <c r="K40" s="789"/>
      <c r="L40" s="781" t="str">
        <f>IF(A40=" "," ",".")</f>
        <v>.</v>
      </c>
    </row>
    <row r="41" spans="1:16" ht="15" customHeight="1" x14ac:dyDescent="0.25">
      <c r="A41" s="61"/>
      <c r="B41" s="32" t="str">
        <f>Z113</f>
        <v xml:space="preserve"> </v>
      </c>
      <c r="C41" s="32" t="str">
        <f>AC113</f>
        <v xml:space="preserve"> </v>
      </c>
      <c r="D41" s="32" t="str">
        <f>AF113</f>
        <v xml:space="preserve"> </v>
      </c>
      <c r="E41" s="32" t="str">
        <f>AI113</f>
        <v xml:space="preserve"> </v>
      </c>
      <c r="F41" s="32" t="str">
        <f>AL113</f>
        <v xml:space="preserve"> </v>
      </c>
      <c r="G41" s="32" t="str">
        <f>AO113</f>
        <v xml:space="preserve"> </v>
      </c>
      <c r="H41" s="32" t="str">
        <f>AR113</f>
        <v xml:space="preserve"> </v>
      </c>
      <c r="I41" s="793"/>
      <c r="J41" s="790"/>
      <c r="K41" s="789"/>
      <c r="L41" s="781" t="str">
        <f>IF(A40=" "," ",".")</f>
        <v>.</v>
      </c>
    </row>
    <row r="42" spans="1:16" ht="15" customHeight="1" thickBot="1" x14ac:dyDescent="0.3">
      <c r="A42" s="33"/>
      <c r="B42" s="403" t="str">
        <f>IF(Z112=" "," ",INDEX($AX$85:$AX$103,AA111))</f>
        <v xml:space="preserve"> </v>
      </c>
      <c r="C42" s="404" t="str">
        <f>IF(AC112=" "," ",INDEX($AX$85:$AX$103,AD111))</f>
        <v xml:space="preserve"> </v>
      </c>
      <c r="D42" s="404" t="str">
        <f>IF(AF112=" "," ",INDEX($AX$85:$AX$103,AG111))</f>
        <v xml:space="preserve"> </v>
      </c>
      <c r="E42" s="404" t="str">
        <f>IF(AI112=" "," ",INDEX($AX$85:$AX$103,AJ111))</f>
        <v xml:space="preserve"> </v>
      </c>
      <c r="F42" s="404" t="str">
        <f>IF(AL112=" "," ",INDEX($AX$85:$AX$103,AM111))</f>
        <v xml:space="preserve"> </v>
      </c>
      <c r="G42" s="404" t="str">
        <f>IF(AO112=" "," ",INDEX($AX$85:$AX$103,AP111))</f>
        <v xml:space="preserve"> </v>
      </c>
      <c r="H42" s="404" t="str">
        <f>IF(AR112=" "," ",INDEX($AX$85:$AX$103,AS111))</f>
        <v xml:space="preserve"> </v>
      </c>
      <c r="I42" s="793"/>
      <c r="J42" s="789"/>
      <c r="K42" s="789"/>
      <c r="L42" s="781" t="str">
        <f>IF(A40=" "," ",".")</f>
        <v>.</v>
      </c>
    </row>
    <row r="43" spans="1:16" ht="15" customHeight="1" x14ac:dyDescent="0.25">
      <c r="A43" s="29"/>
      <c r="B43" s="30" t="str">
        <f>IF(OR(Schedule!F77=3,Schedule!F77="OT",Schedule!F77="3V",Schedule!F77="OTNV",Schedule!F77="OTV",Schedule!F77="3NV",Schedule!F77="3*",Schedule!F77="2OTBT",Schedule!F77="4OTBT",Schedule!F77="2OTET",Schedule!F77="4OTET",Schedule!F77="*OTBT",Schedule!F77="*OTET")," ",Schedule!F77)</f>
        <v xml:space="preserve"> </v>
      </c>
      <c r="C43" s="30" t="str">
        <f>IF(OR(Schedule!G77=3,Schedule!G77="OT",Schedule!G77="3V",Schedule!G77="OTNV",Schedule!G77="OTV",Schedule!G77="3NV",Schedule!G77="3*",Schedule!G77="2OTBT",Schedule!G77="4OTBT",Schedule!G77="2OTET",Schedule!G77="4OTET",Schedule!G77="*OTBT",Schedule!G77="*OTET")," ",Schedule!G77)</f>
        <v xml:space="preserve"> </v>
      </c>
      <c r="D43" s="30" t="str">
        <f>IF(OR(Schedule!H77=3,Schedule!H77="OT",Schedule!H77="3V",Schedule!H77="OTNV",Schedule!H77="OTV",Schedule!H77="3NV",Schedule!H77="3*",Schedule!H77="2OTBT",Schedule!H77="4OTBT",Schedule!H77="2OTET",Schedule!H77="4OTET",Schedule!H77="*OTBT",Schedule!H77="*OTET")," ",Schedule!H77)</f>
        <v xml:space="preserve"> </v>
      </c>
      <c r="E43" s="30" t="str">
        <f>IF(OR(Schedule!I77=3,Schedule!I77="OT",Schedule!I77="3V",Schedule!I77="OTNV",Schedule!I77="OTV",Schedule!I77="3NV",Schedule!I77="3*",Schedule!I77="2OTBT",Schedule!I77="4OTBT",Schedule!I77="2OTET",Schedule!I77="4OTET",Schedule!I77="*OTBT",Schedule!I77="*OTET")," ",Schedule!I77)</f>
        <v xml:space="preserve"> </v>
      </c>
      <c r="F43" s="30" t="str">
        <f>IF(OR(Schedule!J77=3,Schedule!J77="OT",Schedule!J77="3V",Schedule!J77="OTNV",Schedule!J77="OTV",Schedule!J77="3NV",Schedule!J77="3*",Schedule!J77="2OTBT",Schedule!J77="4OTBT",Schedule!J77="2OTET",Schedule!J77="4OTET",Schedule!J77="*OTBT",Schedule!J77="*OTET")," ",Schedule!J77)</f>
        <v xml:space="preserve"> </v>
      </c>
      <c r="G43" s="30" t="str">
        <f>IF(OR(Schedule!K77=3,Schedule!K77="OT",Schedule!K77="3V",Schedule!K77="OTNV",Schedule!K77="OTV",Schedule!K77="3NV",Schedule!K77="3*",Schedule!K77="2OTBT",Schedule!K77="4OTBT",Schedule!K77="2OTET",Schedule!K77="4OTET",Schedule!K77="*OTBT",Schedule!K77="*OTET")," ",Schedule!K77)</f>
        <v>NS</v>
      </c>
      <c r="H43" s="30" t="str">
        <f>IF(OR(Schedule!L77=3,Schedule!L77="OT",Schedule!L77="3V",Schedule!L77="OTNV",Schedule!L77="OTV",Schedule!L77="3NV",Schedule!L77="3*",Schedule!L77="2OTBT",Schedule!L77="4OTBT",Schedule!L77="2OTET",Schedule!L77="4OTET",Schedule!L77="*OTBT",Schedule!L77="*OTET")," ",Schedule!L77)</f>
        <v>NS</v>
      </c>
      <c r="I43" s="793"/>
      <c r="J43" s="790"/>
      <c r="K43" s="789"/>
      <c r="L43" s="781" t="str">
        <f>IF(A44=" "," ",".")</f>
        <v>.</v>
      </c>
    </row>
    <row r="44" spans="1:16" ht="15" customHeight="1" x14ac:dyDescent="0.25">
      <c r="A44" s="61" t="str">
        <f>IF('Master List'!C74=0," ",'Master List'!C74)</f>
        <v>M. PILLAI</v>
      </c>
      <c r="B44" s="32" t="str">
        <f>Z115</f>
        <v>.</v>
      </c>
      <c r="C44" s="32" t="str">
        <f>AC115</f>
        <v>.</v>
      </c>
      <c r="D44" s="32" t="str">
        <f>AF115</f>
        <v>.</v>
      </c>
      <c r="E44" s="32" t="str">
        <f>AI115</f>
        <v>.</v>
      </c>
      <c r="F44" s="32" t="str">
        <f>AL115</f>
        <v>.</v>
      </c>
      <c r="G44" s="32" t="str">
        <f>AO115</f>
        <v xml:space="preserve"> </v>
      </c>
      <c r="H44" s="32" t="str">
        <f>AR115</f>
        <v xml:space="preserve"> </v>
      </c>
      <c r="I44" s="793"/>
      <c r="J44" s="789"/>
      <c r="K44" s="789"/>
      <c r="L44" s="781" t="str">
        <f>IF(A44=" "," ",".")</f>
        <v>.</v>
      </c>
    </row>
    <row r="45" spans="1:16" ht="15" customHeight="1" x14ac:dyDescent="0.25">
      <c r="A45" s="61"/>
      <c r="B45" s="32" t="str">
        <f>Z116</f>
        <v>DBCS</v>
      </c>
      <c r="C45" s="32" t="str">
        <f>AC116</f>
        <v>DBCS</v>
      </c>
      <c r="D45" s="32" t="str">
        <f>AF116</f>
        <v>DBCS</v>
      </c>
      <c r="E45" s="32" t="str">
        <f>AI116</f>
        <v>DBCS</v>
      </c>
      <c r="F45" s="32" t="str">
        <f>AL116</f>
        <v>DBCS</v>
      </c>
      <c r="G45" s="32" t="str">
        <f>AO116</f>
        <v xml:space="preserve"> </v>
      </c>
      <c r="H45" s="32" t="str">
        <f>AR116</f>
        <v xml:space="preserve"> </v>
      </c>
      <c r="I45" s="793"/>
      <c r="J45" s="790"/>
      <c r="K45" s="789"/>
      <c r="L45" s="781" t="str">
        <f>IF(A44=" "," ",".")</f>
        <v>.</v>
      </c>
    </row>
    <row r="46" spans="1:16" ht="15" customHeight="1" thickBot="1" x14ac:dyDescent="0.3">
      <c r="A46" s="33"/>
      <c r="B46" s="403" t="e">
        <f>IF(Z115=" "," ",INDEX($AX$85:$AX$103,AA114))</f>
        <v>#REF!</v>
      </c>
      <c r="C46" s="404" t="e">
        <f>IF(AC115=" "," ",INDEX($AX$85:$AX$103,AD114))</f>
        <v>#REF!</v>
      </c>
      <c r="D46" s="404" t="e">
        <f>IF(AF115=" "," ",INDEX($AX$85:$AX$103,AG114))</f>
        <v>#REF!</v>
      </c>
      <c r="E46" s="404" t="e">
        <f>IF(AI115=" "," ",INDEX($AX$85:$AX$103,AJ114))</f>
        <v>#REF!</v>
      </c>
      <c r="F46" s="404" t="e">
        <f>IF(AL115=" "," ",INDEX($AX$85:$AX$103,AM114))</f>
        <v>#REF!</v>
      </c>
      <c r="G46" s="404" t="str">
        <f>IF(AO115=" "," ",INDEX($AX$85:$AX$103,AP114))</f>
        <v xml:space="preserve"> </v>
      </c>
      <c r="H46" s="404" t="str">
        <f>IF(AR115=" "," ",INDEX($AX$85:$AX$103,AS114))</f>
        <v xml:space="preserve"> </v>
      </c>
      <c r="I46" s="793"/>
      <c r="J46" s="789"/>
      <c r="K46" s="789"/>
      <c r="L46" s="781" t="str">
        <f>IF(A44=" "," ",".")</f>
        <v>.</v>
      </c>
    </row>
    <row r="47" spans="1:16" ht="15" customHeight="1" x14ac:dyDescent="0.25">
      <c r="A47" s="29"/>
      <c r="B47" s="30" t="str">
        <f>IF(OR(Schedule!F78=3,Schedule!F78="OT",Schedule!F78="3V",Schedule!F78="OTNV",Schedule!F78="OTV",Schedule!F78="3NV",Schedule!F78="3*",Schedule!F78="3**",Schedule!F78="4OTBT",Schedule!F78="2OTET",Schedule!F78="4OTET",Schedule!F78="*OTBT",Schedule!F78="*OTET")," ",Schedule!F78)</f>
        <v>NS</v>
      </c>
      <c r="C47" s="30" t="str">
        <f>IF(OR(Schedule!G78=3,Schedule!G78="OT",Schedule!G78="3V",Schedule!G78="OTNV",Schedule!G78="OTV",Schedule!G78="3NV",Schedule!G78="3*",Schedule!G78="3**",Schedule!G78="4OTBT",Schedule!G78="2OTET",Schedule!G78="4OTET",Schedule!G78="*OTBT",Schedule!G78="*OTET")," ",Schedule!G78)</f>
        <v>NS</v>
      </c>
      <c r="D47" s="30" t="str">
        <f>IF(OR(Schedule!H78=3,Schedule!H78="OT",Schedule!H78="3V",Schedule!H78="OTNV",Schedule!H78="OTV",Schedule!H78="3NV",Schedule!H78="3*",Schedule!H78="3**",Schedule!H78="4OTBT",Schedule!H78="2OTET",Schedule!H78="4OTET",Schedule!H78="*OTBT",Schedule!H78="*OTET")," ",Schedule!H78)</f>
        <v xml:space="preserve"> </v>
      </c>
      <c r="E47" s="30" t="str">
        <f>IF(OR(Schedule!I78=3,Schedule!I78="OT",Schedule!I78="3V",Schedule!I78="OTNV",Schedule!I78="OTV",Schedule!I78="3NV",Schedule!I78="3*",Schedule!I78="3**",Schedule!I78="4OTBT",Schedule!I78="2OTET",Schedule!I78="4OTET",Schedule!I78="*OTBT",Schedule!I78="*OTET")," ",Schedule!I78)</f>
        <v xml:space="preserve"> </v>
      </c>
      <c r="F47" s="30" t="str">
        <f>IF(OR(Schedule!J78=3,Schedule!J78="OT",Schedule!J78="3V",Schedule!J78="OTNV",Schedule!J78="OTV",Schedule!J78="3NV",Schedule!J78="3*",Schedule!J78="3**",Schedule!J78="4OTBT",Schedule!J78="2OTET",Schedule!J78="4OTET",Schedule!J78="*OTBT",Schedule!J78="*OTET")," ",Schedule!J78)</f>
        <v xml:space="preserve"> </v>
      </c>
      <c r="G47" s="30" t="str">
        <f>IF(OR(Schedule!K78=3,Schedule!K78="OT",Schedule!K78="3V",Schedule!K78="OTNV",Schedule!K78="OTV",Schedule!K78="3NV",Schedule!K78="3*",Schedule!K78="3**",Schedule!K78="4OTBT",Schedule!K78="2OTET",Schedule!K78="4OTET",Schedule!K78="*OTBT",Schedule!K78="*OTET")," ",Schedule!K78)</f>
        <v xml:space="preserve"> </v>
      </c>
      <c r="H47" s="30" t="str">
        <f>IF(OR(Schedule!L78=3,Schedule!L78="OT",Schedule!L78="3V",Schedule!L78="OTNV",Schedule!L78="OTV",Schedule!L78="3NV",Schedule!L78="3*",Schedule!L78="3**",Schedule!L78="4OTBT",Schedule!L78="2OTET",Schedule!L78="4OTET",Schedule!L78="*OTBT",Schedule!L78="*OTET")," ",Schedule!L78)</f>
        <v xml:space="preserve"> </v>
      </c>
      <c r="I47" s="793"/>
      <c r="J47" s="790"/>
      <c r="K47" s="789"/>
      <c r="L47" s="781" t="str">
        <f>IF(A48=" "," ",".")</f>
        <v>.</v>
      </c>
    </row>
    <row r="48" spans="1:16" ht="15" customHeight="1" x14ac:dyDescent="0.25">
      <c r="A48" s="61" t="str">
        <f>IF('Master List'!C75=0," ",'Master List'!C75)</f>
        <v>P. DEWAN</v>
      </c>
      <c r="B48" s="32" t="str">
        <f>Z118</f>
        <v xml:space="preserve"> </v>
      </c>
      <c r="C48" s="32" t="str">
        <f>AC118</f>
        <v xml:space="preserve"> </v>
      </c>
      <c r="D48" s="32" t="str">
        <f>AF118</f>
        <v>.</v>
      </c>
      <c r="E48" s="32" t="str">
        <f>AI118</f>
        <v>.</v>
      </c>
      <c r="F48" s="32" t="str">
        <f>AL118</f>
        <v>.</v>
      </c>
      <c r="G48" s="32" t="str">
        <f>AO118</f>
        <v>.</v>
      </c>
      <c r="H48" s="32" t="str">
        <f>AR118</f>
        <v>.</v>
      </c>
      <c r="I48" s="792"/>
      <c r="J48" s="794"/>
      <c r="K48" s="789"/>
      <c r="L48" s="781" t="str">
        <f>IF(A48=" "," ",".")</f>
        <v>.</v>
      </c>
    </row>
    <row r="49" spans="1:13" ht="15" customHeight="1" x14ac:dyDescent="0.25">
      <c r="A49" s="61"/>
      <c r="B49" s="32" t="str">
        <f>Z119</f>
        <v xml:space="preserve"> </v>
      </c>
      <c r="C49" s="32" t="str">
        <f>AC119</f>
        <v xml:space="preserve"> </v>
      </c>
      <c r="D49" s="32" t="str">
        <f>AF119</f>
        <v>DBCS</v>
      </c>
      <c r="E49" s="32" t="str">
        <f>AI119</f>
        <v>DBCS</v>
      </c>
      <c r="F49" s="32" t="str">
        <f>AL119</f>
        <v>DBCS</v>
      </c>
      <c r="G49" s="32" t="str">
        <f>AO119</f>
        <v>DBCS</v>
      </c>
      <c r="H49" s="32" t="str">
        <f>AR119</f>
        <v>DBCS</v>
      </c>
      <c r="I49" s="793"/>
      <c r="J49" s="790"/>
      <c r="K49" s="789"/>
      <c r="L49" s="781" t="str">
        <f>IF(A48=" "," ",".")</f>
        <v>.</v>
      </c>
    </row>
    <row r="50" spans="1:13" ht="15" customHeight="1" thickBot="1" x14ac:dyDescent="0.3">
      <c r="A50" s="33"/>
      <c r="B50" s="403" t="e">
        <f>IF(Z115=" "," ",INDEX($AX$85:$AX$103,AA114))</f>
        <v>#REF!</v>
      </c>
      <c r="C50" s="404" t="e">
        <f>IF(AC115=" "," ",INDEX($AX$85:$AX$103,AD114))</f>
        <v>#REF!</v>
      </c>
      <c r="D50" s="404" t="e">
        <f>IF(AF115=" "," ",INDEX($AX$85:$AX$103,AG114))</f>
        <v>#REF!</v>
      </c>
      <c r="E50" s="404" t="e">
        <f>IF(AI115=" "," ",INDEX($AX$85:$AX$103,AJ114))</f>
        <v>#REF!</v>
      </c>
      <c r="F50" s="404" t="e">
        <f>IF(AL115=" "," ",INDEX($AX$85:$AX$103,AM114))</f>
        <v>#REF!</v>
      </c>
      <c r="G50" s="404" t="str">
        <f>IF(AO115=" "," ",INDEX($AX$85:$AX$103,AP114))</f>
        <v xml:space="preserve"> </v>
      </c>
      <c r="H50" s="404" t="str">
        <f>IF(AR115=" "," ",INDEX($AX$85:$AX$103,AS114))</f>
        <v xml:space="preserve"> </v>
      </c>
      <c r="I50" s="793"/>
      <c r="J50" s="789"/>
      <c r="K50" s="789"/>
      <c r="L50" s="781" t="str">
        <f>IF(A48=" "," ",".")</f>
        <v>.</v>
      </c>
    </row>
    <row r="51" spans="1:13" ht="15" customHeight="1" x14ac:dyDescent="0.25">
      <c r="A51" s="381"/>
      <c r="B51" s="30" t="str">
        <f>IF(OR(Schedule!F79=3,Schedule!F79="OT",Schedule!F79="3V",Schedule!F79="OTNV",Schedule!F79="OTV",Schedule!F79="3NV",Schedule!F79="3*",Schedule!F79="3**",Schedule!F79="4OTBT",Schedule!F79="2OTET",Schedule!F79="4OTET",Schedule!F79="*OTBT",Schedule!F79="*OTET")," ",Schedule!F79)</f>
        <v xml:space="preserve"> </v>
      </c>
      <c r="C51" s="30" t="str">
        <f>IF(OR(Schedule!G79=3,Schedule!G79="OT",Schedule!G79="3V",Schedule!G79="OTNV",Schedule!G79="OTV",Schedule!G79="3NV",Schedule!G79="3*",Schedule!G79="3**",Schedule!G79="4OTBT",Schedule!G79="2OTET",Schedule!G79="4OTET",Schedule!G79="*OTBT",Schedule!G79="*OTET")," ",Schedule!G79)</f>
        <v xml:space="preserve"> </v>
      </c>
      <c r="D51" s="30" t="str">
        <f>IF(OR(Schedule!H79=3,Schedule!H79="OT",Schedule!H79="3V",Schedule!H79="OTNV",Schedule!H79="OTV",Schedule!H79="3NV",Schedule!H79="3*",Schedule!H79="3**",Schedule!H79="4OTBT",Schedule!H79="2OTET",Schedule!H79="4OTET",Schedule!H79="*OTBT",Schedule!H79="*OTET")," ",Schedule!H79)</f>
        <v xml:space="preserve"> </v>
      </c>
      <c r="E51" s="30" t="str">
        <f>IF(OR(Schedule!I79=3,Schedule!I79="OT",Schedule!I79="3V",Schedule!I79="OTNV",Schedule!I79="OTV",Schedule!I79="3NV",Schedule!I79="3*",Schedule!I79="3**",Schedule!I79="4OTBT",Schedule!I79="2OTET",Schedule!I79="4OTET",Schedule!I79="*OTBT",Schedule!I79="*OTET")," ",Schedule!I79)</f>
        <v>NS</v>
      </c>
      <c r="F51" s="30" t="str">
        <f>IF(OR(Schedule!J79=3,Schedule!J79="OT",Schedule!J79="3V",Schedule!J79="OTNV",Schedule!J79="OTV",Schedule!J79="3NV",Schedule!J79="3*",Schedule!J79="3**",Schedule!J79="4OTBT",Schedule!J79="2OTET",Schedule!J79="4OTET",Schedule!J79="*OTBT",Schedule!J79="*OTET")," ",Schedule!J79)</f>
        <v>NS</v>
      </c>
      <c r="G51" s="30" t="str">
        <f>IF(OR(Schedule!K79=3,Schedule!K79="OT",Schedule!K79="3V",Schedule!K79="OTNV",Schedule!K79="OTV",Schedule!K79="3NV",Schedule!K79="3*",Schedule!K79="3**",Schedule!K79="4OTBT",Schedule!K79="2OTET",Schedule!K79="4OTET",Schedule!K79="*OTBT",Schedule!K79="*OTET")," ",Schedule!K79)</f>
        <v xml:space="preserve"> </v>
      </c>
      <c r="H51" s="30" t="str">
        <f>IF(OR(Schedule!L79=3,Schedule!L79="OT",Schedule!L79="3V",Schedule!L79="OTNV",Schedule!L79="OTV",Schedule!L79="3NV",Schedule!L79="3*",Schedule!L79="3**",Schedule!L79="4OTBT",Schedule!L79="2OTET",Schedule!L79="4OTET",Schedule!L79="*OTBT",Schedule!L79="*OTET")," ",Schedule!L79)</f>
        <v xml:space="preserve"> </v>
      </c>
      <c r="I51" s="793"/>
      <c r="J51" s="788"/>
      <c r="K51" s="789"/>
      <c r="L51" s="781" t="str">
        <f>IF(A52=" "," ",".")</f>
        <v>.</v>
      </c>
      <c r="M51" s="145"/>
    </row>
    <row r="52" spans="1:13" ht="15" customHeight="1" x14ac:dyDescent="0.25">
      <c r="A52" s="61" t="str">
        <f>IF('Master List'!C76=0," ",'Master List'!C76)</f>
        <v>C. TO</v>
      </c>
      <c r="B52" s="32">
        <f>Z121</f>
        <v>3001</v>
      </c>
      <c r="C52" s="32">
        <f>AC121</f>
        <v>3001</v>
      </c>
      <c r="D52" s="32">
        <f>AF121</f>
        <v>3001</v>
      </c>
      <c r="E52" s="32" t="str">
        <f>AI121</f>
        <v xml:space="preserve"> </v>
      </c>
      <c r="F52" s="32" t="str">
        <f>AL121</f>
        <v xml:space="preserve"> </v>
      </c>
      <c r="G52" s="32">
        <f>AO121</f>
        <v>3001</v>
      </c>
      <c r="H52" s="32">
        <f>AR121</f>
        <v>3002</v>
      </c>
      <c r="I52" s="793"/>
      <c r="J52" s="789"/>
      <c r="K52" s="789"/>
      <c r="L52" s="781" t="str">
        <f>IF(A52=" "," ",".")</f>
        <v>.</v>
      </c>
    </row>
    <row r="53" spans="1:13" ht="15" customHeight="1" x14ac:dyDescent="0.25">
      <c r="A53" s="32"/>
      <c r="B53" s="32" t="str">
        <f>Z122</f>
        <v xml:space="preserve"> &amp; RECYCLE</v>
      </c>
      <c r="C53" s="32" t="str">
        <f>AC122</f>
        <v xml:space="preserve"> &amp; RECYCLE</v>
      </c>
      <c r="D53" s="32" t="str">
        <f>AF122</f>
        <v xml:space="preserve"> &amp; RECYCLE</v>
      </c>
      <c r="E53" s="32" t="str">
        <f>AI122</f>
        <v xml:space="preserve"> </v>
      </c>
      <c r="F53" s="32" t="str">
        <f>AL122</f>
        <v xml:space="preserve"> </v>
      </c>
      <c r="G53" s="32" t="str">
        <f>AO122</f>
        <v xml:space="preserve"> &amp; RECYCLE</v>
      </c>
      <c r="H53" s="32" t="str">
        <f>AR122</f>
        <v xml:space="preserve"> &amp; RECYCLE</v>
      </c>
      <c r="I53" s="793"/>
      <c r="J53" s="795"/>
      <c r="K53" s="789"/>
      <c r="L53" s="781" t="str">
        <f>IF(A52=" "," ",".")</f>
        <v>.</v>
      </c>
    </row>
    <row r="54" spans="1:13" ht="15" customHeight="1" thickBot="1" x14ac:dyDescent="0.3">
      <c r="A54" s="382"/>
      <c r="B54" s="403" t="str">
        <f>IF(Z118=" "," ",INDEX($AX$85:$AX$103,AA117))</f>
        <v xml:space="preserve"> </v>
      </c>
      <c r="C54" s="404" t="str">
        <f>IF(AC118=" "," ",INDEX($AX$85:$AX$103,AD117))</f>
        <v xml:space="preserve"> </v>
      </c>
      <c r="D54" s="404" t="e">
        <f>IF(AF118=" "," ",INDEX($AX$85:$AX$103,AG117))</f>
        <v>#REF!</v>
      </c>
      <c r="E54" s="404" t="e">
        <f>IF(AI118=" "," ",INDEX($AX$85:$AX$103,AJ117))</f>
        <v>#REF!</v>
      </c>
      <c r="F54" s="404" t="e">
        <f>IF(AL118=" "," ",INDEX($AX$85:$AX$103,AM117))</f>
        <v>#REF!</v>
      </c>
      <c r="G54" s="404" t="e">
        <f>IF(AO118=" "," ",INDEX($AX$85:$AX$103,AP117))</f>
        <v>#REF!</v>
      </c>
      <c r="H54" s="404" t="e">
        <f>IF(AR118=" "," ",INDEX($AX$85:$AX$103,AS117))</f>
        <v>#REF!</v>
      </c>
      <c r="I54" s="793"/>
      <c r="J54" s="789"/>
      <c r="K54" s="789"/>
      <c r="L54" s="781" t="str">
        <f>IF(A52=" "," ",".")</f>
        <v>.</v>
      </c>
    </row>
    <row r="55" spans="1:13" ht="15" customHeight="1" x14ac:dyDescent="0.25">
      <c r="A55" s="29"/>
      <c r="B55" s="30" t="str">
        <f>IF(OR(Schedule!F80=3,Schedule!F80="OT",Schedule!F80="3V",Schedule!F80="OTNV",Schedule!F80="OTV",Schedule!F80="3NV",Schedule!F80="3*",Schedule!F80="3**",Schedule!F80="4OTBT",Schedule!F80="2OTET",Schedule!F80="4OTET",Schedule!F80="*OTBT",Schedule!F80="*OTET")," ",Schedule!F80)</f>
        <v>SL</v>
      </c>
      <c r="C55" s="30" t="str">
        <f>IF(OR(Schedule!G80=3,Schedule!G80="OT",Schedule!G80="3V",Schedule!G80="OTNV",Schedule!G80="OTV",Schedule!G80="3NV",Schedule!G80="3*",Schedule!G80="3**",Schedule!G80="4OTBT",Schedule!G80="2OTET",Schedule!G80="4OTET",Schedule!G80="*OTBT",Schedule!G80="*OTET")," ",Schedule!G80)</f>
        <v xml:space="preserve"> </v>
      </c>
      <c r="D55" s="30" t="str">
        <f>IF(OR(Schedule!H80=3,Schedule!H80="OT",Schedule!H80="3V",Schedule!H80="OTNV",Schedule!H80="OTV",Schedule!H80="3NV",Schedule!H80="3*",Schedule!H80="3**",Schedule!H80="4OTBT",Schedule!H80="2OTET",Schedule!H80="4OTET",Schedule!H80="*OTBT",Schedule!H80="*OTET")," ",Schedule!H80)</f>
        <v xml:space="preserve"> </v>
      </c>
      <c r="E55" s="30" t="str">
        <f>IF(OR(Schedule!I80=3,Schedule!I80="OT",Schedule!I80="3V",Schedule!I80="OTNV",Schedule!I80="OTV",Schedule!I80="3NV",Schedule!I80="3*",Schedule!I80="3**",Schedule!I80="4OTBT",Schedule!I80="2OTET",Schedule!I80="4OTET",Schedule!I80="*OTBT",Schedule!I80="*OTET")," ",Schedule!I80)</f>
        <v>NS</v>
      </c>
      <c r="F55" s="30" t="str">
        <f>IF(OR(Schedule!J80=3,Schedule!J80="OT",Schedule!J80="3V",Schedule!J80="OTNV",Schedule!J80="OTV",Schedule!J80="3NV",Schedule!J80="3*",Schedule!J80="3**",Schedule!J80="4OTBT",Schedule!J80="2OTET",Schedule!J80="4OTET",Schedule!J80="*OTBT",Schedule!J80="*OTET")," ",Schedule!J80)</f>
        <v>NS</v>
      </c>
      <c r="G55" s="30" t="str">
        <f>IF(OR(Schedule!K80=3,Schedule!K80="OT",Schedule!K80="3V",Schedule!K80="OTNV",Schedule!K80="OTV",Schedule!K80="3NV",Schedule!K80="3*",Schedule!K80="3**",Schedule!K80="4OTBT",Schedule!K80="2OTET",Schedule!K80="4OTET",Schedule!K80="*OTBT",Schedule!K80="*OTET")," ",Schedule!K80)</f>
        <v xml:space="preserve"> </v>
      </c>
      <c r="H55" s="30" t="str">
        <f>IF(OR(Schedule!L80=3,Schedule!L80="OT",Schedule!L80="3V",Schedule!L80="OTNV",Schedule!L80="OTV",Schedule!L80="3NV",Schedule!L80="3*",Schedule!L80="3**",Schedule!L80="4OTBT",Schedule!L80="2OTET",Schedule!L80="4OTET",Schedule!L80="*OTBT",Schedule!L80="*OTET")," ",Schedule!L80)</f>
        <v xml:space="preserve"> </v>
      </c>
      <c r="I55" s="793"/>
      <c r="J55" s="788"/>
      <c r="K55" s="789"/>
      <c r="L55" s="781" t="str">
        <f>IF(A56=" "," ",".")</f>
        <v>.</v>
      </c>
    </row>
    <row r="56" spans="1:13" ht="15" customHeight="1" x14ac:dyDescent="0.25">
      <c r="A56" s="61" t="str">
        <f>IF('Master List'!C77=0," ",'Master List'!C77)</f>
        <v>C. CHENG</v>
      </c>
      <c r="B56" s="32" t="str">
        <f>Z124</f>
        <v xml:space="preserve"> </v>
      </c>
      <c r="C56" s="32" t="str">
        <f>AC124</f>
        <v>.</v>
      </c>
      <c r="D56" s="32">
        <f>AF124</f>
        <v>3005</v>
      </c>
      <c r="E56" s="32" t="str">
        <f>AI124</f>
        <v xml:space="preserve"> </v>
      </c>
      <c r="F56" s="32" t="str">
        <f>AL124</f>
        <v xml:space="preserve"> </v>
      </c>
      <c r="G56" s="32" t="str">
        <f>AO124</f>
        <v>.</v>
      </c>
      <c r="H56" s="32" t="str">
        <f>AR124</f>
        <v>.</v>
      </c>
      <c r="I56" s="793"/>
      <c r="J56" s="789"/>
      <c r="K56" s="789"/>
      <c r="L56" s="781" t="str">
        <f>IF(A56=" "," ",".")</f>
        <v>.</v>
      </c>
    </row>
    <row r="57" spans="1:13" ht="15" customHeight="1" x14ac:dyDescent="0.25">
      <c r="A57" s="61"/>
      <c r="B57" s="32" t="str">
        <f>Z125</f>
        <v xml:space="preserve"> </v>
      </c>
      <c r="C57" s="32" t="str">
        <f>AC125</f>
        <v>RECYCLE</v>
      </c>
      <c r="D57" s="32" t="str">
        <f>AF125</f>
        <v xml:space="preserve"> &amp; RECYCLE</v>
      </c>
      <c r="E57" s="32" t="str">
        <f>AI125</f>
        <v xml:space="preserve"> </v>
      </c>
      <c r="F57" s="32" t="str">
        <f>AL125</f>
        <v xml:space="preserve"> </v>
      </c>
      <c r="G57" s="32" t="str">
        <f>AO125</f>
        <v>RECYCLE</v>
      </c>
      <c r="H57" s="32" t="str">
        <f>AR125</f>
        <v>RECYCLE</v>
      </c>
      <c r="I57" s="793"/>
      <c r="J57" s="789"/>
      <c r="K57" s="789"/>
      <c r="L57" s="781" t="str">
        <f>IF(A56=" "," ",".")</f>
        <v>.</v>
      </c>
    </row>
    <row r="58" spans="1:13" ht="15" customHeight="1" thickBot="1" x14ac:dyDescent="0.3">
      <c r="A58" s="33"/>
      <c r="B58" s="403" t="str">
        <f>IF(Z121=" "," ",INDEX($AX$85:$AX$103,AA120))</f>
        <v xml:space="preserve"> </v>
      </c>
      <c r="C58" s="404" t="str">
        <f>IF(AC121=" "," ",INDEX($AX$85:$AX$103,AD120))</f>
        <v xml:space="preserve"> </v>
      </c>
      <c r="D58" s="404" t="str">
        <f>IF(AF121=" "," ",INDEX($AX$85:$AX$103,AG120))</f>
        <v xml:space="preserve"> </v>
      </c>
      <c r="E58" s="404" t="str">
        <f>IF(AI121=" "," ",INDEX($AX$85:$AX$103,AJ120))</f>
        <v xml:space="preserve"> </v>
      </c>
      <c r="F58" s="404" t="str">
        <f>IF(AL121=" "," ",INDEX($AX$85:$AX$103,AM120))</f>
        <v xml:space="preserve"> </v>
      </c>
      <c r="G58" s="404" t="str">
        <f>IF(AO121=" "," ",INDEX($AX$85:$AX$103,AP120))</f>
        <v xml:space="preserve"> </v>
      </c>
      <c r="H58" s="404" t="str">
        <f>IF(AR121=" "," ",INDEX($AX$85:$AX$103,AS120))</f>
        <v xml:space="preserve"> </v>
      </c>
      <c r="I58" s="172"/>
      <c r="J58" s="157"/>
      <c r="K58" s="157"/>
      <c r="L58" s="781" t="str">
        <f>IF(A56=" "," ",".")</f>
        <v>.</v>
      </c>
      <c r="M58" s="146"/>
    </row>
    <row r="59" spans="1:13" ht="15" customHeight="1" x14ac:dyDescent="0.25">
      <c r="A59" s="31"/>
      <c r="B59" s="30" t="str">
        <f>IF(OR(Schedule!F81=3,Schedule!F81="OT",Schedule!F81="3V",Schedule!F81="OTNV",Schedule!F81="OTV",Schedule!F81="3NV",Schedule!F81="3*",Schedule!F81="2OTBT",Schedule!F81=0,Schedule!F81="2OTET",Schedule!F81="4OTET",Schedule!F81="*OTBT",Schedule!F81="*OTET")," ",Schedule!F81)</f>
        <v>*</v>
      </c>
      <c r="C59" s="30" t="str">
        <f>IF(OR(Schedule!G81=3,Schedule!G81="OT",Schedule!G81="3V",Schedule!G81="OTNV",Schedule!G81="OTV",Schedule!G81="3NV",Schedule!G81="3*",Schedule!G81="2OTBT",Schedule!G81=0,Schedule!G81="2OTET",Schedule!G81="4OTET",Schedule!G81="*OTBT",Schedule!G81="*OTET")," ",Schedule!G81)</f>
        <v>*</v>
      </c>
      <c r="D59" s="30" t="str">
        <f>IF(OR(Schedule!H81=3,Schedule!H81="OT",Schedule!H81="3V",Schedule!H81="OTNV",Schedule!H81="OTV",Schedule!H81="3NV",Schedule!H81="3*",Schedule!H81="2OTBT",Schedule!H81=0,Schedule!H81="2OTET",Schedule!H81="4OTET",Schedule!H81="*OTBT",Schedule!H81="*OTET")," ",Schedule!H81)</f>
        <v>*</v>
      </c>
      <c r="E59" s="30" t="str">
        <f>IF(OR(Schedule!I81=3,Schedule!I81="OT",Schedule!I81="3V",Schedule!I81="OTNV",Schedule!I81="OTV",Schedule!I81="3NV",Schedule!I81="3*",Schedule!I81="2OTBT",Schedule!I81=0,Schedule!I81="2OTET",Schedule!I81="4OTET",Schedule!I81="*OTBT",Schedule!I81="*OTET")," ",Schedule!I81)</f>
        <v>*</v>
      </c>
      <c r="F59" s="30" t="str">
        <f>IF(OR(Schedule!J81=3,Schedule!J81="OT",Schedule!J81="3V",Schedule!J81="OTNV",Schedule!J81="OTV",Schedule!J81="3NV",Schedule!J81="3*",Schedule!J81="2OTBT",Schedule!J81=0,Schedule!J81="2OTET",Schedule!J81="4OTET",Schedule!J81="*OTBT",Schedule!J81="*OTET")," ",Schedule!J81)</f>
        <v>*</v>
      </c>
      <c r="G59" s="30" t="str">
        <f>IF(OR(Schedule!K81=3,Schedule!K81="OT",Schedule!K81="3V",Schedule!K81="OTNV",Schedule!K81="OTV",Schedule!K81="3NV",Schedule!K81="3*",Schedule!K81="2OTBT",Schedule!K81=0,Schedule!K81="2OTET",Schedule!K81="4OTET",Schedule!K81="*OTBT",Schedule!K81="*OTET")," ",Schedule!K81)</f>
        <v>*</v>
      </c>
      <c r="H59" s="30" t="str">
        <f>IF(OR(Schedule!L81=3,Schedule!L81="OT",Schedule!L81="3V",Schedule!L81="OTNV",Schedule!L81="OTV",Schedule!L81="3NV",Schedule!L81="3*",Schedule!L81="2OTBT",Schedule!L81=0,Schedule!L81="2OTET",Schedule!L81="4OTET",Schedule!L81="*OTBT",Schedule!L81="*OTET")," ",Schedule!L81)</f>
        <v>*</v>
      </c>
      <c r="I59" s="172"/>
      <c r="J59" s="157"/>
      <c r="K59" s="157"/>
      <c r="L59" s="781" t="str">
        <f>IF(A60=" "," ",".")</f>
        <v>.</v>
      </c>
      <c r="M59" s="146"/>
    </row>
    <row r="60" spans="1:13" ht="15" customHeight="1" x14ac:dyDescent="0.25">
      <c r="A60" s="61" t="str">
        <f>IF('Master List'!C78=0," ",'Master List'!C78)</f>
        <v>G. HINES</v>
      </c>
      <c r="B60" s="32" t="str">
        <f>Z127</f>
        <v>.</v>
      </c>
      <c r="C60" s="32" t="str">
        <f>AC127</f>
        <v>.</v>
      </c>
      <c r="D60" s="32" t="str">
        <f>AF127</f>
        <v>.</v>
      </c>
      <c r="E60" s="32" t="str">
        <f>AI127</f>
        <v>.</v>
      </c>
      <c r="F60" s="32" t="str">
        <f>AL127</f>
        <v>.</v>
      </c>
      <c r="G60" s="32" t="str">
        <f>AO127</f>
        <v>.</v>
      </c>
      <c r="H60" s="32" t="str">
        <f>AR127</f>
        <v>.</v>
      </c>
      <c r="I60" s="172"/>
      <c r="J60" s="157"/>
      <c r="K60" s="157"/>
      <c r="L60" s="781" t="str">
        <f>IF(A60=" "," ",".")</f>
        <v>.</v>
      </c>
      <c r="M60" s="146"/>
    </row>
    <row r="61" spans="1:13" ht="15" customHeight="1" x14ac:dyDescent="0.25">
      <c r="A61" s="31"/>
      <c r="B61" s="32" t="str">
        <f>Z128</f>
        <v xml:space="preserve"> </v>
      </c>
      <c r="C61" s="32" t="str">
        <f>AC128</f>
        <v xml:space="preserve"> </v>
      </c>
      <c r="D61" s="32" t="str">
        <f>AF128</f>
        <v xml:space="preserve"> </v>
      </c>
      <c r="E61" s="32" t="str">
        <f>AI128</f>
        <v xml:space="preserve"> </v>
      </c>
      <c r="F61" s="32" t="str">
        <f>AL128</f>
        <v xml:space="preserve"> </v>
      </c>
      <c r="G61" s="32" t="str">
        <f>AO128</f>
        <v xml:space="preserve"> </v>
      </c>
      <c r="H61" s="32" t="str">
        <f>AR128</f>
        <v xml:space="preserve"> </v>
      </c>
      <c r="I61" s="172"/>
      <c r="J61" s="157"/>
      <c r="K61" s="157"/>
      <c r="L61" s="781" t="str">
        <f>IF(A60=" "," ",".")</f>
        <v>.</v>
      </c>
      <c r="M61" s="146"/>
    </row>
    <row r="62" spans="1:13" ht="15" customHeight="1" thickBot="1" x14ac:dyDescent="0.3">
      <c r="A62" s="404"/>
      <c r="B62" s="404"/>
      <c r="C62" s="404"/>
      <c r="D62" s="404"/>
      <c r="E62" s="404"/>
      <c r="F62" s="404"/>
      <c r="G62" s="404"/>
      <c r="H62" s="404"/>
      <c r="I62" s="172"/>
      <c r="J62" s="157"/>
      <c r="K62" s="157"/>
      <c r="L62" s="781" t="str">
        <f>IF(A60=" "," ",".")</f>
        <v>.</v>
      </c>
      <c r="M62" s="146"/>
    </row>
    <row r="63" spans="1:13" ht="15" customHeight="1" x14ac:dyDescent="0.25">
      <c r="A63" s="29"/>
      <c r="B63" s="30" t="str">
        <f>IF(OR(Schedule!F82=3,Schedule!F82="OT",Schedule!F82="3V",Schedule!F82="OTNV",Schedule!F82="OTV",Schedule!F82="3NV",Schedule!F82="3*",Schedule!F82="2OTBT",Schedule!F82=0,Schedule!F82="2OTET",Schedule!F82="4OTET",Schedule!F82="*OTBT",Schedule!F82="*OTET")," ",Schedule!F82)</f>
        <v xml:space="preserve"> </v>
      </c>
      <c r="C63" s="30" t="str">
        <f>IF(OR(Schedule!G82=3,Schedule!G82="OT",Schedule!G82="3V",Schedule!G82="OTNV",Schedule!G82="OTV",Schedule!G82="3NV",Schedule!G82="3*",Schedule!G82="2OTBT",Schedule!G82=0,Schedule!G82="2OTET",Schedule!G82="4OTET",Schedule!G82="*OTBT",Schedule!G82="*OTET")," ",Schedule!G82)</f>
        <v>NS</v>
      </c>
      <c r="D63" s="30" t="str">
        <f>IF(OR(Schedule!H82=3,Schedule!H82="OT",Schedule!H82="3V",Schedule!H82="OTNV",Schedule!H82="OTV",Schedule!H82="3NV",Schedule!H82="3*",Schedule!H82="2OTBT",Schedule!H82=0,Schedule!H82="2OTET",Schedule!H82="4OTET",Schedule!H82="*OTBT",Schedule!H82="*OTET")," ",Schedule!H82)</f>
        <v>NS</v>
      </c>
      <c r="E63" s="30" t="str">
        <f>IF(OR(Schedule!I82=3,Schedule!I82="OT",Schedule!I82="3V",Schedule!I82="OTNV",Schedule!I82="OTV",Schedule!I82="3NV",Schedule!I82="3*",Schedule!I82="2OTBT",Schedule!I82=0,Schedule!I82="2OTET",Schedule!I82="4OTET",Schedule!I82="*OTBT",Schedule!I82="*OTET")," ",Schedule!I82)</f>
        <v xml:space="preserve"> </v>
      </c>
      <c r="F63" s="30" t="str">
        <f>IF(OR(Schedule!J82=3,Schedule!J82="OT",Schedule!J82="3V",Schedule!J82="OTNV",Schedule!J82="OTV",Schedule!J82="3NV",Schedule!J82="3*",Schedule!J82="2OTBT",Schedule!J82=0,Schedule!J82="2OTET",Schedule!J82="4OTET",Schedule!J82="*OTBT",Schedule!J82="*OTET")," ",Schedule!J82)</f>
        <v xml:space="preserve"> </v>
      </c>
      <c r="G63" s="30" t="str">
        <f>IF(OR(Schedule!K82=3,Schedule!K82="OT",Schedule!K82="3V",Schedule!K82="OTNV",Schedule!K82="OTV",Schedule!K82="3NV",Schedule!K82="3*",Schedule!K82="2OTBT",Schedule!K82=0,Schedule!K82="2OTET",Schedule!K82="4OTET",Schedule!K82="*OTBT",Schedule!K82="*OTET")," ",Schedule!K82)</f>
        <v xml:space="preserve"> </v>
      </c>
      <c r="H63" s="30" t="str">
        <f>IF(OR(Schedule!L82=3,Schedule!L82="OT",Schedule!L82="3V",Schedule!L82="OTNV",Schedule!L82="OTV",Schedule!L82="3NV",Schedule!L82="3*",Schedule!L82="2OTBT",Schedule!L82=0,Schedule!L82="2OTET",Schedule!L82="4OTET",Schedule!L82="*OTBT",Schedule!L82="*OTET")," ",Schedule!L82)</f>
        <v xml:space="preserve"> </v>
      </c>
      <c r="I63" s="172"/>
      <c r="J63" s="147"/>
      <c r="K63" s="147"/>
      <c r="L63" s="781" t="str">
        <f>IF(A64=" "," ",".")</f>
        <v>.</v>
      </c>
      <c r="M63" s="146"/>
    </row>
    <row r="64" spans="1:13" ht="15" customHeight="1" x14ac:dyDescent="0.25">
      <c r="A64" s="61" t="str">
        <f>IF('Master List'!C79=0," ",'Master List'!C79)</f>
        <v>B. LILLY</v>
      </c>
      <c r="B64" s="32">
        <f>Z130</f>
        <v>3004</v>
      </c>
      <c r="C64" s="32" t="str">
        <f>AC130</f>
        <v xml:space="preserve"> </v>
      </c>
      <c r="D64" s="32" t="str">
        <f>AF130</f>
        <v xml:space="preserve"> </v>
      </c>
      <c r="E64" s="32">
        <f>AI130</f>
        <v>3002</v>
      </c>
      <c r="F64" s="32">
        <f>AL130</f>
        <v>3003</v>
      </c>
      <c r="G64" s="32">
        <f>AO130</f>
        <v>3004</v>
      </c>
      <c r="H64" s="32">
        <f>AR130</f>
        <v>3004</v>
      </c>
      <c r="I64" s="172"/>
      <c r="J64" s="147"/>
      <c r="K64" s="147"/>
      <c r="L64" s="781" t="str">
        <f>IF(A64=" "," ",".")</f>
        <v>.</v>
      </c>
      <c r="M64" s="146"/>
    </row>
    <row r="65" spans="1:47" ht="15" customHeight="1" x14ac:dyDescent="0.25">
      <c r="A65" s="61"/>
      <c r="B65" s="32" t="str">
        <f>Z131</f>
        <v xml:space="preserve"> &amp; RECYCLE</v>
      </c>
      <c r="C65" s="32" t="str">
        <f>AC131</f>
        <v xml:space="preserve"> </v>
      </c>
      <c r="D65" s="32" t="str">
        <f>AF131</f>
        <v xml:space="preserve"> </v>
      </c>
      <c r="E65" s="32" t="str">
        <f>AI131</f>
        <v xml:space="preserve"> &amp; RECYCLE</v>
      </c>
      <c r="F65" s="32" t="str">
        <f>AL131</f>
        <v xml:space="preserve"> &amp; RECYCLE</v>
      </c>
      <c r="G65" s="32" t="str">
        <f>AO131</f>
        <v xml:space="preserve"> &amp; RECYCLE</v>
      </c>
      <c r="H65" s="32" t="str">
        <f>AR131</f>
        <v xml:space="preserve"> &amp; RECYCLE</v>
      </c>
      <c r="I65" s="172"/>
      <c r="J65" s="146"/>
      <c r="K65" s="146"/>
      <c r="L65" s="781" t="str">
        <f>IF(A64=" "," ",".")</f>
        <v>.</v>
      </c>
      <c r="M65" s="146"/>
    </row>
    <row r="66" spans="1:47" ht="15" customHeight="1" thickBot="1" x14ac:dyDescent="0.3">
      <c r="A66" s="33"/>
      <c r="B66" s="403"/>
      <c r="C66" s="404"/>
      <c r="D66" s="404"/>
      <c r="E66" s="404"/>
      <c r="F66" s="404"/>
      <c r="G66" s="404"/>
      <c r="H66" s="404"/>
      <c r="I66" s="172"/>
      <c r="L66" s="781" t="str">
        <f>IF(A64=" "," ",".")</f>
        <v>.</v>
      </c>
    </row>
    <row r="67" spans="1:47" ht="15" customHeight="1" x14ac:dyDescent="0.2">
      <c r="A67" s="29"/>
      <c r="B67" s="30" t="str">
        <f>IF(OR(Schedule!F83=3,Schedule!F83="OT",Schedule!F83="3V",Schedule!F83="OTNV",Schedule!F83="OTV",Schedule!F83="3NV",Schedule!F83="3*",Schedule!F83="2OTBT",Schedule!F83=0,Schedule!F83="2OTET",Schedule!F83="4OTET",Schedule!F83="*OTBT",Schedule!F83="*OTET")," ",Schedule!F83)</f>
        <v xml:space="preserve"> </v>
      </c>
      <c r="C67" s="30" t="str">
        <f>IF(OR(Schedule!G83=3,Schedule!G83="OT",Schedule!G83="3V",Schedule!G83="OTNV",Schedule!G83="OTV",Schedule!G83="3NV",Schedule!G83="3*",Schedule!G83="2OTBT",Schedule!G83=0,Schedule!G83="2OTET",Schedule!G83="4OTET",Schedule!G83="*OTBT",Schedule!G83="*OTET")," ",Schedule!G83)</f>
        <v xml:space="preserve"> </v>
      </c>
      <c r="D67" s="30" t="str">
        <f>IF(OR(Schedule!H83=3,Schedule!H83="OT",Schedule!H83="3V",Schedule!H83="OTNV",Schedule!H83="OTV",Schedule!H83="3NV",Schedule!H83="3*",Schedule!H83="2OTBT",Schedule!H83=0,Schedule!H83="2OTET",Schedule!H83="4OTET",Schedule!H83="*OTBT",Schedule!H83="*OTET")," ",Schedule!H83)</f>
        <v>NS</v>
      </c>
      <c r="E67" s="30" t="str">
        <f>IF(OR(Schedule!I83=3,Schedule!I83="OT",Schedule!I83="3V",Schedule!I83="OTNV",Schedule!I83="OTV",Schedule!I83="3NV",Schedule!I83="3*",Schedule!I83="2OTBT",Schedule!I83=0,Schedule!I83="2OTET",Schedule!I83="4OTET",Schedule!I83="*OTBT",Schedule!I83="*OTET")," ",Schedule!I83)</f>
        <v>NS</v>
      </c>
      <c r="F67" s="30" t="str">
        <f>IF(OR(Schedule!J83=3,Schedule!J83="OT",Schedule!J83="3V",Schedule!J83="OTNV",Schedule!J83="OTV",Schedule!J83="3NV",Schedule!J83="3*",Schedule!J83="2OTBT",Schedule!J83=0,Schedule!J83="2OTET",Schedule!J83="4OTET",Schedule!J83="*OTBT",Schedule!J83="*OTET")," ",Schedule!J83)</f>
        <v xml:space="preserve"> </v>
      </c>
      <c r="G67" s="30" t="str">
        <f>IF(OR(Schedule!K83=3,Schedule!K83="OT",Schedule!K83="3V",Schedule!K83="OTNV",Schedule!K83="OTV",Schedule!K83="3NV",Schedule!K83="3*",Schedule!K83="2OTBT",Schedule!K83=0,Schedule!K83="2OTET",Schedule!K83="4OTET",Schedule!K83="*OTBT",Schedule!K83="*OTET")," ",Schedule!K83)</f>
        <v xml:space="preserve"> </v>
      </c>
      <c r="H67" s="30" t="str">
        <f>IF(OR(Schedule!L83=3,Schedule!L83="OT",Schedule!L83="3V",Schedule!L83="OTNV",Schedule!L83="OTV",Schedule!L83="3NV",Schedule!L83="3*",Schedule!L83="2OTBT",Schedule!L83=0,Schedule!L83="2OTET",Schedule!L83="4OTET",Schedule!L83="*OTBT",Schedule!L83="*OTET")," ",Schedule!L83)</f>
        <v xml:space="preserve"> </v>
      </c>
      <c r="L67" s="781" t="str">
        <f>IF(A68=" "," ",".")</f>
        <v>.</v>
      </c>
    </row>
    <row r="68" spans="1:47" ht="15" customHeight="1" x14ac:dyDescent="0.2">
      <c r="A68" s="61" t="str">
        <f>IF('Master List'!C80=0," ",'Master List'!C80)</f>
        <v>K. HUFFMAN</v>
      </c>
      <c r="B68" s="32">
        <f>Z133</f>
        <v>3003</v>
      </c>
      <c r="C68" s="32">
        <f>AC133</f>
        <v>3004</v>
      </c>
      <c r="D68" s="32" t="str">
        <f>AF133</f>
        <v xml:space="preserve"> </v>
      </c>
      <c r="E68" s="32" t="str">
        <f>AI133</f>
        <v xml:space="preserve"> </v>
      </c>
      <c r="F68" s="32">
        <f>AL133</f>
        <v>3002</v>
      </c>
      <c r="G68" s="32">
        <f>AO133</f>
        <v>3002</v>
      </c>
      <c r="H68" s="32">
        <f>AR133</f>
        <v>3005</v>
      </c>
      <c r="L68" s="781" t="str">
        <f>IF(A68=" "," ",".")</f>
        <v>.</v>
      </c>
    </row>
    <row r="69" spans="1:47" ht="15" customHeight="1" x14ac:dyDescent="0.2">
      <c r="A69" s="61"/>
      <c r="B69" s="32" t="str">
        <f>Z134</f>
        <v xml:space="preserve"> &amp; RECYCLE</v>
      </c>
      <c r="C69" s="32" t="str">
        <f>AC134</f>
        <v xml:space="preserve"> &amp; RECYCLE</v>
      </c>
      <c r="D69" s="32" t="str">
        <f>AF134</f>
        <v xml:space="preserve"> </v>
      </c>
      <c r="E69" s="32" t="str">
        <f>AI134</f>
        <v xml:space="preserve"> </v>
      </c>
      <c r="F69" s="32" t="str">
        <f>AL134</f>
        <v xml:space="preserve"> &amp; RECYCLE</v>
      </c>
      <c r="G69" s="32" t="str">
        <f>AO134</f>
        <v xml:space="preserve"> &amp; RECYCLE</v>
      </c>
      <c r="H69" s="32" t="str">
        <f>AR134</f>
        <v xml:space="preserve"> &amp; RECYCLE</v>
      </c>
      <c r="L69" s="781" t="str">
        <f>IF(A68=" "," ",".")</f>
        <v>.</v>
      </c>
    </row>
    <row r="70" spans="1:47" ht="15" customHeight="1" thickBot="1" x14ac:dyDescent="0.25">
      <c r="A70" s="33"/>
      <c r="B70" s="403" t="e">
        <f>IF(Z130=" "," ",INDEX($AX$85:$AX$103,AA131))</f>
        <v>#VALUE!</v>
      </c>
      <c r="C70" s="404" t="str">
        <f>IF(AC130=" "," ",INDEX($AX$85:$AX$103,AD131))</f>
        <v xml:space="preserve"> </v>
      </c>
      <c r="D70" s="404" t="str">
        <f>IF(AF130=" "," ",INDEX($AX$85:$AX$103,AG131))</f>
        <v xml:space="preserve"> </v>
      </c>
      <c r="E70" s="404" t="e">
        <f>IF(AI130=" "," ",INDEX($AX$85:$AX$103,AJ131))</f>
        <v>#VALUE!</v>
      </c>
      <c r="F70" s="404" t="e">
        <f>IF(AL130=" "," ",INDEX($AX$85:$AX$103,AM131))</f>
        <v>#VALUE!</v>
      </c>
      <c r="G70" s="404" t="e">
        <f>IF(AO130=" "," ",INDEX($AX$85:$AX$103,AP131))</f>
        <v>#VALUE!</v>
      </c>
      <c r="H70" s="404" t="e">
        <f>IF(AR130=" "," ",INDEX($AX$85:$AX$103,AS131))</f>
        <v>#VALUE!</v>
      </c>
      <c r="L70" s="781" t="str">
        <f>IF(A68=" "," ",".")</f>
        <v>.</v>
      </c>
    </row>
    <row r="71" spans="1:47" ht="15" customHeight="1" x14ac:dyDescent="0.2">
      <c r="A71" s="29"/>
      <c r="B71" s="30" t="str">
        <f>IF(OR(Schedule!F84=3,Schedule!F84="OT",Schedule!F84="3V",Schedule!F84="OTNV",Schedule!F84="OTV",Schedule!F84="3NV",Schedule!F84="3*",Schedule!F84="2OTBT",Schedule!F84=0,Schedule!F84="2OTET",Schedule!F84="4OTET",Schedule!F84="*OTBT",Schedule!F84="*OTET")," ",Schedule!F84)</f>
        <v>AL</v>
      </c>
      <c r="C71" s="30" t="str">
        <f>IF(OR(Schedule!G84=3,Schedule!G84="OT",Schedule!G84="3V",Schedule!G84="OTNV",Schedule!G84="OTV",Schedule!G84="3NV",Schedule!G84="3*",Schedule!G84="2OTBT",Schedule!G84=0,Schedule!G84="2OTET",Schedule!G84="4OTET",Schedule!G84="*OTBT",Schedule!G84="*OTET")," ",Schedule!G84)</f>
        <v xml:space="preserve"> </v>
      </c>
      <c r="D71" s="30" t="str">
        <f>IF(OR(Schedule!H84=3,Schedule!H84="OT",Schedule!H84="3V",Schedule!H84="OTNV",Schedule!H84="OTV",Schedule!H84="3NV",Schedule!H84="3*",Schedule!H84="2OTBT",Schedule!H84=0,Schedule!H84="2OTET",Schedule!H84="4OTET",Schedule!H84="*OTBT",Schedule!H84="*OTET")," ",Schedule!H84)</f>
        <v xml:space="preserve"> </v>
      </c>
      <c r="E71" s="30" t="str">
        <f>IF(OR(Schedule!I84=3,Schedule!I84="OT",Schedule!I84="3V",Schedule!I84="OTNV",Schedule!I84="OTV",Schedule!I84="3NV",Schedule!I84="3*",Schedule!I84="2OTBT",Schedule!I84=0,Schedule!I84="2OTET",Schedule!I84="4OTET",Schedule!I84="*OTBT",Schedule!I84="*OTET")," ",Schedule!I84)</f>
        <v xml:space="preserve"> </v>
      </c>
      <c r="F71" s="30" t="str">
        <f>IF(OR(Schedule!J84=3,Schedule!J84="OT",Schedule!J84="3V",Schedule!J84="OTNV",Schedule!J84="OTV",Schedule!J84="3NV",Schedule!J84="3*",Schedule!J84="2OTBT",Schedule!J84=0,Schedule!J84="2OTET",Schedule!J84="4OTET",Schedule!J84="*OTBT",Schedule!J84="*OTET")," ",Schedule!J84)</f>
        <v>NS</v>
      </c>
      <c r="G71" s="30" t="str">
        <f>IF(OR(Schedule!K84=3,Schedule!K84="OT",Schedule!K84="3V",Schedule!K84="OTNV",Schedule!K84="OTV",Schedule!K84="3NV",Schedule!K84="3*",Schedule!K84="2OTBT",Schedule!K84=0,Schedule!K84="2OTET",Schedule!K84="4OTET",Schedule!K84="*OTBT",Schedule!K84="*OTET")," ",Schedule!K84)</f>
        <v>NS</v>
      </c>
      <c r="H71" s="30" t="str">
        <f>IF(OR(Schedule!L84=3,Schedule!L84="OT",Schedule!L84="3V",Schedule!L84="OTNV",Schedule!L84="OTV",Schedule!L84="3NV",Schedule!L84="3*",Schedule!L84="2OTBT",Schedule!L84=0,Schedule!L84="2OTET",Schedule!L84="4OTET",Schedule!L84="*OTBT",Schedule!L84="*OTET")," ",Schedule!L84)</f>
        <v xml:space="preserve"> </v>
      </c>
      <c r="L71" s="781" t="str">
        <f>IF(A72=" "," ",".")</f>
        <v>.</v>
      </c>
    </row>
    <row r="72" spans="1:47" ht="15" customHeight="1" x14ac:dyDescent="0.2">
      <c r="A72" s="61" t="str">
        <f>IF('Master List'!C81=0," ",'Master List'!C81)</f>
        <v>R. MALVO</v>
      </c>
      <c r="B72" s="32" t="str">
        <f>Z136</f>
        <v xml:space="preserve"> </v>
      </c>
      <c r="C72" s="32">
        <f>AC136</f>
        <v>3003</v>
      </c>
      <c r="D72" s="32">
        <f>AF136</f>
        <v>3004</v>
      </c>
      <c r="E72" s="32">
        <f>AI136</f>
        <v>3004</v>
      </c>
      <c r="F72" s="32" t="str">
        <f>AL136</f>
        <v xml:space="preserve"> </v>
      </c>
      <c r="G72" s="32" t="str">
        <f>AO136</f>
        <v xml:space="preserve"> </v>
      </c>
      <c r="H72" s="32">
        <f>AR136</f>
        <v>3001</v>
      </c>
      <c r="L72" s="781" t="str">
        <f>IF(A72=" "," ",".")</f>
        <v>.</v>
      </c>
    </row>
    <row r="73" spans="1:47" ht="15" customHeight="1" x14ac:dyDescent="0.2">
      <c r="A73" s="61"/>
      <c r="B73" s="32" t="str">
        <f>Z137</f>
        <v xml:space="preserve"> </v>
      </c>
      <c r="C73" s="32" t="str">
        <f>AC137</f>
        <v xml:space="preserve"> &amp; RECYCLE</v>
      </c>
      <c r="D73" s="32" t="str">
        <f>AF137</f>
        <v xml:space="preserve"> &amp; RECYCLE</v>
      </c>
      <c r="E73" s="32" t="str">
        <f>AI137</f>
        <v xml:space="preserve"> &amp; RECYCLE</v>
      </c>
      <c r="F73" s="32" t="str">
        <f>AL137</f>
        <v xml:space="preserve"> </v>
      </c>
      <c r="G73" s="32" t="str">
        <f>AO137</f>
        <v xml:space="preserve"> </v>
      </c>
      <c r="H73" s="32" t="str">
        <f>AR137</f>
        <v xml:space="preserve"> &amp; RECYCLE</v>
      </c>
      <c r="L73" s="781" t="str">
        <f>IF(A72=" "," ",".")</f>
        <v>.</v>
      </c>
      <c r="P73" s="17"/>
      <c r="Q73" s="17"/>
      <c r="R73" s="17"/>
      <c r="S73" s="17"/>
      <c r="T73" s="17"/>
      <c r="U73" s="17"/>
      <c r="V73" s="17"/>
      <c r="W73" s="17"/>
      <c r="X73" s="17"/>
      <c r="Y73" s="17"/>
      <c r="Z73" s="17"/>
      <c r="AA73" s="311"/>
      <c r="AB73" s="315"/>
      <c r="AC73" s="17"/>
      <c r="AD73" s="17"/>
      <c r="AE73" s="17"/>
      <c r="AF73" s="17"/>
      <c r="AG73" s="311"/>
      <c r="AH73" s="316"/>
      <c r="AI73" s="17"/>
      <c r="AJ73" s="17"/>
      <c r="AK73" s="17"/>
      <c r="AL73" s="17"/>
      <c r="AM73" s="17"/>
      <c r="AN73" s="17"/>
      <c r="AO73" s="17"/>
      <c r="AP73" s="17"/>
      <c r="AQ73" s="17"/>
      <c r="AR73" s="17"/>
      <c r="AS73" s="17"/>
      <c r="AT73" s="17"/>
      <c r="AU73" s="17"/>
    </row>
    <row r="74" spans="1:47" ht="15" customHeight="1" thickBot="1" x14ac:dyDescent="0.25">
      <c r="A74" s="33"/>
      <c r="B74" s="403" t="str">
        <f>IF(Z133=" "," ",INDEX($AX$85:$AX$103,AA135))</f>
        <v xml:space="preserve"> </v>
      </c>
      <c r="C74" s="404" t="str">
        <f>IF(AC133=" "," ",INDEX($AX$85:$AX$103,AD135))</f>
        <v xml:space="preserve"> </v>
      </c>
      <c r="D74" s="404" t="str">
        <f>IF(AF133=" "," ",INDEX($AX$85:$AX$103,AG135))</f>
        <v xml:space="preserve"> </v>
      </c>
      <c r="E74" s="404" t="str">
        <f>IF(AI133=" "," ",INDEX($AX$85:$AX$103,AJ135))</f>
        <v xml:space="preserve"> </v>
      </c>
      <c r="F74" s="404" t="str">
        <f>IF(AL133=" "," ",INDEX($AX$85:$AX$103,AM135))</f>
        <v>8 &amp; 9</v>
      </c>
      <c r="G74" s="404" t="str">
        <f>IF(AO133=" "," ",INDEX($AX$85:$AX$103,AP135))</f>
        <v xml:space="preserve">6 &amp; 7 </v>
      </c>
      <c r="H74" s="404" t="str">
        <f>IF(AR133=" "," ",INDEX($AX$85:$AX$103,AS135))</f>
        <v xml:space="preserve"> </v>
      </c>
      <c r="L74" s="781" t="str">
        <f>IF(A72=" "," ",".")</f>
        <v>.</v>
      </c>
      <c r="P74" s="17"/>
      <c r="Q74" s="17"/>
      <c r="R74" s="17"/>
      <c r="S74" s="17"/>
      <c r="T74" s="17"/>
      <c r="U74" s="17"/>
      <c r="V74" s="17"/>
      <c r="W74" s="17"/>
      <c r="X74" s="17"/>
      <c r="Y74" s="17"/>
      <c r="Z74" s="17"/>
      <c r="AA74" s="17"/>
      <c r="AB74" s="17"/>
      <c r="AC74" s="17"/>
      <c r="AD74" s="17"/>
      <c r="AE74" s="17"/>
      <c r="AF74" s="17"/>
      <c r="AG74" s="311"/>
      <c r="AH74" s="17"/>
      <c r="AI74" s="17"/>
      <c r="AJ74" s="17"/>
      <c r="AK74" s="17"/>
      <c r="AL74" s="17"/>
      <c r="AM74" s="17"/>
      <c r="AN74" s="17"/>
      <c r="AO74" s="17"/>
      <c r="AP74" s="17"/>
      <c r="AQ74" s="17"/>
      <c r="AR74" s="17"/>
      <c r="AS74" s="17"/>
      <c r="AT74" s="17"/>
      <c r="AU74" s="17"/>
    </row>
    <row r="75" spans="1:47" ht="15" customHeight="1" x14ac:dyDescent="0.2">
      <c r="A75" s="29"/>
      <c r="B75" s="30" t="str">
        <f>IF(OR(Schedule!F85=3,Schedule!F85="OT",Schedule!F85="3V",Schedule!F85="OTNV",Schedule!F85="OTV",Schedule!F85="3NV",Schedule!F85="3*",Schedule!F85="2OTBT",Schedule!F85=0,Schedule!F85="2OTET",Schedule!F85="4OTET",Schedule!F85="*OTBT",Schedule!F85="*OTET")," ",Schedule!F85)</f>
        <v xml:space="preserve"> </v>
      </c>
      <c r="C75" s="30" t="str">
        <f>IF(OR(Schedule!G85=3,Schedule!G85="OT",Schedule!G85="3V",Schedule!G85="OTNV",Schedule!G85="OTV",Schedule!G85="3NV",Schedule!G85="3*",Schedule!G85="2OTBT",Schedule!G85=0,Schedule!G85="2OTET",Schedule!G85="4OTET",Schedule!G85="*OTBT",Schedule!G85="*OTET")," ",Schedule!G85)</f>
        <v xml:space="preserve"> </v>
      </c>
      <c r="D75" s="30" t="str">
        <f>IF(OR(Schedule!H85=3,Schedule!H85="OT",Schedule!H85="3V",Schedule!H85="OTNV",Schedule!H85="OTV",Schedule!H85="3NV",Schedule!H85="3*",Schedule!H85="2OTBT",Schedule!H85=0,Schedule!H85="2OTET",Schedule!H85="4OTET",Schedule!H85="*OTBT",Schedule!H85="*OTET")," ",Schedule!H85)</f>
        <v xml:space="preserve"> </v>
      </c>
      <c r="E75" s="30" t="str">
        <f>IF(OR(Schedule!I85=3,Schedule!I85="OT",Schedule!I85="3V",Schedule!I85="OTNV",Schedule!I85="OTV",Schedule!I85="3NV",Schedule!I85="3*",Schedule!I85="2OTBT",Schedule!I85=0,Schedule!I85="2OTET",Schedule!I85="4OTET",Schedule!I85="*OTBT",Schedule!I85="*OTET")," ",Schedule!I85)</f>
        <v>NS</v>
      </c>
      <c r="F75" s="30" t="str">
        <f>IF(OR(Schedule!J85=3,Schedule!J85="OT",Schedule!J85="3V",Schedule!J85="OTNV",Schedule!J85="OTV",Schedule!J85="3NV",Schedule!J85="3*",Schedule!J85="2OTBT",Schedule!J85=0,Schedule!J85="2OTET",Schedule!J85="4OTET",Schedule!J85="*OTBT",Schedule!J85="*OTET")," ",Schedule!J85)</f>
        <v>NS</v>
      </c>
      <c r="G75" s="30" t="str">
        <f>IF(OR(Schedule!K85=3,Schedule!K85="OT",Schedule!K85="3V",Schedule!K85="OTNV",Schedule!K85="OTV",Schedule!K85="3NV",Schedule!K85="3*",Schedule!K85="2OTBT",Schedule!K85=0,Schedule!K85="2OTET",Schedule!K85="4OTET",Schedule!K85="*OTBT",Schedule!K85="*OTET")," ",Schedule!K85)</f>
        <v xml:space="preserve"> </v>
      </c>
      <c r="H75" s="30" t="str">
        <f>IF(OR(Schedule!L85=3,Schedule!L85="OT",Schedule!L85="3V",Schedule!L85="OTNV",Schedule!L85="OTV",Schedule!L85="3NV",Schedule!L85="3*",Schedule!L85="2OTBT",Schedule!L85=0,Schedule!L85="2OTET",Schedule!L85="4OTET",Schedule!L85="*OTBT",Schedule!L85="*OTET")," ",Schedule!L85)</f>
        <v xml:space="preserve"> </v>
      </c>
      <c r="L75" s="781" t="str">
        <f>IF(A76=" "," ",".")</f>
        <v>.</v>
      </c>
      <c r="P75" s="17"/>
      <c r="Q75" s="17"/>
      <c r="R75" s="17"/>
      <c r="S75" s="17"/>
      <c r="T75" s="17"/>
      <c r="U75" s="17"/>
      <c r="V75" s="17"/>
      <c r="W75" s="17"/>
      <c r="X75" s="17"/>
      <c r="Y75" s="17"/>
      <c r="Z75" s="17"/>
      <c r="AA75" s="17"/>
      <c r="AB75" s="17"/>
      <c r="AC75" s="17"/>
      <c r="AD75" s="17"/>
      <c r="AE75" s="17"/>
      <c r="AF75" s="17"/>
      <c r="AG75" s="17"/>
      <c r="AH75" s="17"/>
      <c r="AI75" s="17"/>
      <c r="AJ75" s="17"/>
      <c r="AK75" s="17"/>
      <c r="AL75" s="17"/>
      <c r="AM75" s="17"/>
      <c r="AN75" s="17"/>
      <c r="AO75" s="17"/>
      <c r="AP75" s="17"/>
      <c r="AQ75" s="17"/>
      <c r="AR75" s="17"/>
      <c r="AS75" s="17"/>
      <c r="AT75" s="17"/>
      <c r="AU75" s="17"/>
    </row>
    <row r="76" spans="1:47" ht="15" customHeight="1" x14ac:dyDescent="0.2">
      <c r="A76" s="61" t="str">
        <f>IF('Master List'!C82=0," ",'Master List'!C82)</f>
        <v>J. ESTER</v>
      </c>
      <c r="B76" s="32">
        <f>Z139</f>
        <v>3005</v>
      </c>
      <c r="C76" s="32">
        <f>AC139</f>
        <v>3005</v>
      </c>
      <c r="D76" s="32">
        <f>AF139</f>
        <v>3003</v>
      </c>
      <c r="E76" s="32" t="str">
        <f>AI139</f>
        <v xml:space="preserve"> </v>
      </c>
      <c r="F76" s="32" t="str">
        <f>AL139</f>
        <v xml:space="preserve"> </v>
      </c>
      <c r="G76" s="32">
        <f>AO139</f>
        <v>3005</v>
      </c>
      <c r="H76" s="32">
        <f>AR139</f>
        <v>3003</v>
      </c>
      <c r="L76" s="781" t="str">
        <f>IF(A76=" "," ",".")</f>
        <v>.</v>
      </c>
      <c r="P76" s="17"/>
      <c r="Q76" s="17"/>
      <c r="R76" s="17"/>
      <c r="S76" s="17"/>
      <c r="T76" s="17"/>
      <c r="U76" s="17"/>
      <c r="V76" s="17"/>
      <c r="W76" s="17"/>
      <c r="X76" s="17"/>
      <c r="Y76" s="17"/>
      <c r="Z76" s="17"/>
      <c r="AA76" s="17"/>
      <c r="AB76" s="17"/>
      <c r="AC76" s="17"/>
      <c r="AD76" s="17"/>
      <c r="AE76" s="17"/>
      <c r="AF76" s="17"/>
      <c r="AG76" s="17"/>
      <c r="AH76" s="17"/>
      <c r="AI76" s="17"/>
      <c r="AJ76" s="17"/>
      <c r="AK76" s="17"/>
      <c r="AL76" s="17"/>
      <c r="AM76" s="17"/>
      <c r="AN76" s="17"/>
      <c r="AO76" s="17"/>
      <c r="AP76" s="17"/>
      <c r="AQ76" s="17"/>
      <c r="AR76" s="17"/>
      <c r="AS76" s="17"/>
      <c r="AT76" s="17"/>
      <c r="AU76" s="17"/>
    </row>
    <row r="77" spans="1:47" ht="15" customHeight="1" x14ac:dyDescent="0.2">
      <c r="A77" s="61"/>
      <c r="B77" s="32" t="str">
        <f>Z140</f>
        <v xml:space="preserve"> &amp; RECYCLE</v>
      </c>
      <c r="C77" s="32" t="str">
        <f>AC140</f>
        <v xml:space="preserve"> &amp; RECYCLE</v>
      </c>
      <c r="D77" s="32" t="str">
        <f>AF140</f>
        <v xml:space="preserve"> &amp; RECYCLE</v>
      </c>
      <c r="E77" s="32" t="str">
        <f>AI140</f>
        <v xml:space="preserve"> </v>
      </c>
      <c r="F77" s="32" t="str">
        <f>AL140</f>
        <v xml:space="preserve"> </v>
      </c>
      <c r="G77" s="32" t="str">
        <f>AO140</f>
        <v xml:space="preserve"> &amp; RECYCLE</v>
      </c>
      <c r="H77" s="32" t="str">
        <f>AR140</f>
        <v xml:space="preserve"> &amp; RECYCLE</v>
      </c>
      <c r="L77" s="781" t="str">
        <f>IF(A76=" "," ",".")</f>
        <v>.</v>
      </c>
      <c r="P77" s="17"/>
      <c r="Q77" s="17"/>
      <c r="R77" s="17"/>
      <c r="S77" s="17"/>
      <c r="T77" s="17"/>
      <c r="U77" s="17"/>
      <c r="V77" s="17"/>
      <c r="W77" s="17"/>
      <c r="X77" s="17"/>
      <c r="Y77" s="17"/>
      <c r="Z77" s="17"/>
      <c r="AA77" s="17"/>
      <c r="AB77" s="17"/>
      <c r="AC77" s="17"/>
      <c r="AD77" s="17"/>
      <c r="AE77" s="17"/>
      <c r="AF77" s="17"/>
      <c r="AG77" s="17"/>
      <c r="AH77" s="17"/>
      <c r="AI77" s="17"/>
      <c r="AJ77" s="17"/>
      <c r="AK77" s="17"/>
      <c r="AL77" s="17"/>
      <c r="AM77" s="17"/>
      <c r="AN77" s="17"/>
      <c r="AO77" s="17"/>
      <c r="AP77" s="17"/>
      <c r="AQ77" s="17"/>
      <c r="AR77" s="17"/>
      <c r="AS77" s="17"/>
      <c r="AT77" s="17"/>
      <c r="AU77" s="17"/>
    </row>
    <row r="78" spans="1:47" ht="15" customHeight="1" thickBot="1" x14ac:dyDescent="0.25">
      <c r="A78" s="33"/>
      <c r="B78" s="404" t="str">
        <f>IF(Z136=" "," ",INDEX($AX$85:$AX$103,AA139))</f>
        <v xml:space="preserve"> </v>
      </c>
      <c r="C78" s="404" t="e">
        <f>IF(AC136=" "," ",INDEX($AX$85:$AX$103,AD139))</f>
        <v>#VALUE!</v>
      </c>
      <c r="D78" s="404" t="e">
        <f>IF(AF136=" "," ",INDEX($AX$85:$AX$103,AG139))</f>
        <v>#VALUE!</v>
      </c>
      <c r="E78" s="404" t="e">
        <f>IF(AI136=" "," ",INDEX($AX$85:$AX$103,AJ139))</f>
        <v>#VALUE!</v>
      </c>
      <c r="F78" s="404" t="str">
        <f>IF(AL136=" "," ",INDEX($AX$85:$AX$103,AM139))</f>
        <v xml:space="preserve"> </v>
      </c>
      <c r="G78" s="404" t="str">
        <f>IF(AO136=" "," ",INDEX($AX$85:$AX$103,AP139))</f>
        <v xml:space="preserve"> </v>
      </c>
      <c r="H78" s="404" t="e">
        <f>IF(AR136=" "," ",INDEX($AX$85:$AX$103,AS139))</f>
        <v>#VALUE!</v>
      </c>
      <c r="L78" s="781" t="str">
        <f>IF(A76=" "," ",".")</f>
        <v>.</v>
      </c>
      <c r="P78" s="309"/>
      <c r="Q78" s="17"/>
      <c r="R78" s="17"/>
      <c r="S78" s="17"/>
      <c r="T78" s="17"/>
      <c r="U78" s="17"/>
      <c r="V78" s="17"/>
      <c r="W78" s="17"/>
      <c r="X78" s="17"/>
      <c r="Y78" s="17"/>
      <c r="Z78" s="17"/>
      <c r="AA78" s="17"/>
      <c r="AB78" s="17"/>
      <c r="AC78" s="17"/>
      <c r="AD78" s="440"/>
      <c r="AE78" s="17"/>
      <c r="AF78" s="17"/>
      <c r="AG78" s="17"/>
      <c r="AH78" s="17"/>
      <c r="AI78" s="17"/>
      <c r="AJ78" s="17"/>
      <c r="AK78" s="17"/>
      <c r="AL78" s="17"/>
      <c r="AM78" s="17"/>
      <c r="AN78" s="17"/>
      <c r="AO78" s="17"/>
      <c r="AP78" s="17"/>
      <c r="AQ78" s="17"/>
      <c r="AR78" s="17"/>
      <c r="AS78" s="17"/>
      <c r="AT78" s="17"/>
      <c r="AU78" s="17"/>
    </row>
    <row r="79" spans="1:47" ht="15" customHeight="1" x14ac:dyDescent="0.2">
      <c r="L79" s="2" t="s">
        <v>333</v>
      </c>
      <c r="P79" s="17"/>
      <c r="Q79" s="17"/>
      <c r="R79" s="17"/>
      <c r="S79" s="17"/>
      <c r="T79" s="17"/>
      <c r="U79" s="17"/>
      <c r="V79" s="17"/>
      <c r="W79" s="17"/>
      <c r="X79" s="17"/>
      <c r="Y79" s="17"/>
      <c r="Z79" s="17"/>
      <c r="AA79" s="17"/>
      <c r="AB79" s="17"/>
      <c r="AC79" s="17"/>
      <c r="AD79" s="440"/>
      <c r="AE79" s="17"/>
      <c r="AF79" s="17"/>
      <c r="AG79" s="17"/>
      <c r="AH79" s="17"/>
      <c r="AI79" s="17"/>
      <c r="AJ79" s="17"/>
      <c r="AK79" s="17"/>
      <c r="AL79" s="17"/>
      <c r="AM79" s="17"/>
      <c r="AN79" s="17"/>
      <c r="AO79" s="17"/>
      <c r="AP79" s="17"/>
      <c r="AQ79" s="17"/>
      <c r="AR79" s="17"/>
      <c r="AS79" s="17"/>
      <c r="AT79" s="17"/>
      <c r="AU79" s="17"/>
    </row>
    <row r="80" spans="1:47" ht="15" customHeight="1" x14ac:dyDescent="0.2">
      <c r="L80" s="2" t="s">
        <v>333</v>
      </c>
      <c r="P80" s="17"/>
      <c r="Q80" s="17"/>
      <c r="R80" s="17"/>
      <c r="S80" s="17"/>
      <c r="T80" s="17"/>
      <c r="U80" s="17"/>
      <c r="V80" s="17"/>
      <c r="W80" s="17"/>
      <c r="X80" s="17"/>
      <c r="Y80" s="17"/>
      <c r="Z80" s="394">
        <f>B2</f>
        <v>42427</v>
      </c>
      <c r="AA80" s="384"/>
      <c r="AB80" s="384"/>
      <c r="AC80" s="394">
        <f>Z80+1</f>
        <v>42428</v>
      </c>
      <c r="AD80" s="441"/>
      <c r="AE80" s="384"/>
      <c r="AF80" s="394">
        <f>AC80+1</f>
        <v>42429</v>
      </c>
      <c r="AG80" s="384"/>
      <c r="AH80" s="384"/>
      <c r="AI80" s="394">
        <f>AF80+1</f>
        <v>42430</v>
      </c>
      <c r="AJ80" s="393"/>
      <c r="AK80" s="393"/>
      <c r="AL80" s="394">
        <f>AI80+1</f>
        <v>42431</v>
      </c>
      <c r="AM80" s="393"/>
      <c r="AN80" s="393"/>
      <c r="AO80" s="394">
        <f>AL80+1</f>
        <v>42432</v>
      </c>
      <c r="AP80" s="393"/>
      <c r="AQ80" s="393"/>
      <c r="AR80" s="394">
        <f>AO80+1</f>
        <v>42433</v>
      </c>
      <c r="AS80" s="393"/>
      <c r="AT80" s="393"/>
      <c r="AU80" s="17"/>
    </row>
    <row r="81" spans="12:50" ht="15" customHeight="1" x14ac:dyDescent="0.2">
      <c r="L81" s="2" t="s">
        <v>333</v>
      </c>
      <c r="P81" s="17"/>
      <c r="Q81" s="17"/>
      <c r="R81" s="17"/>
      <c r="S81" s="17"/>
      <c r="T81" s="17"/>
      <c r="U81" s="17"/>
      <c r="V81" s="17"/>
      <c r="W81" s="17"/>
      <c r="X81" s="17"/>
      <c r="Y81" s="17"/>
      <c r="Z81" s="384" t="s">
        <v>152</v>
      </c>
      <c r="AA81" s="384"/>
      <c r="AB81" s="385"/>
      <c r="AC81" s="384" t="s">
        <v>153</v>
      </c>
      <c r="AD81" s="441"/>
      <c r="AE81" s="385"/>
      <c r="AF81" s="384" t="s">
        <v>154</v>
      </c>
      <c r="AG81" s="384"/>
      <c r="AH81" s="385"/>
      <c r="AI81" s="384" t="s">
        <v>155</v>
      </c>
      <c r="AJ81" s="384"/>
      <c r="AK81" s="385"/>
      <c r="AL81" s="386" t="s">
        <v>156</v>
      </c>
      <c r="AM81" s="386"/>
      <c r="AN81" s="385"/>
      <c r="AO81" s="384" t="s">
        <v>157</v>
      </c>
      <c r="AP81" s="384"/>
      <c r="AQ81" s="384"/>
      <c r="AR81" s="384" t="s">
        <v>158</v>
      </c>
      <c r="AS81" s="384"/>
      <c r="AT81" s="385"/>
      <c r="AU81" s="17"/>
    </row>
    <row r="82" spans="12:50" ht="15" customHeight="1" x14ac:dyDescent="0.2">
      <c r="L82" s="2" t="s">
        <v>333</v>
      </c>
      <c r="P82" s="17"/>
      <c r="Q82" s="17"/>
      <c r="R82" s="17"/>
      <c r="S82" s="17"/>
      <c r="T82" s="17"/>
      <c r="U82" s="17"/>
      <c r="V82" s="17"/>
      <c r="W82" s="17"/>
      <c r="X82" s="17"/>
      <c r="Y82" s="17"/>
      <c r="Z82" s="307"/>
      <c r="AA82" s="307" t="s">
        <v>159</v>
      </c>
      <c r="AB82" s="307" t="s">
        <v>160</v>
      </c>
      <c r="AC82" s="308"/>
      <c r="AD82" s="442" t="s">
        <v>159</v>
      </c>
      <c r="AE82" s="307" t="s">
        <v>160</v>
      </c>
      <c r="AF82" s="308"/>
      <c r="AG82" s="307" t="s">
        <v>159</v>
      </c>
      <c r="AH82" s="307" t="s">
        <v>160</v>
      </c>
      <c r="AI82" s="147"/>
      <c r="AJ82" s="307" t="s">
        <v>159</v>
      </c>
      <c r="AK82" s="307" t="s">
        <v>160</v>
      </c>
      <c r="AL82" s="171"/>
      <c r="AM82" s="307" t="s">
        <v>159</v>
      </c>
      <c r="AN82" s="307" t="s">
        <v>160</v>
      </c>
      <c r="AO82" s="308"/>
      <c r="AP82" s="307" t="s">
        <v>159</v>
      </c>
      <c r="AQ82" s="307" t="s">
        <v>160</v>
      </c>
      <c r="AR82" s="308"/>
      <c r="AS82" s="307" t="s">
        <v>159</v>
      </c>
      <c r="AT82" s="307" t="s">
        <v>160</v>
      </c>
      <c r="AU82" s="17"/>
    </row>
    <row r="83" spans="12:50" ht="15.75" customHeight="1" x14ac:dyDescent="0.2">
      <c r="L83" s="2" t="s">
        <v>333</v>
      </c>
      <c r="P83" s="17"/>
      <c r="Q83" s="17"/>
      <c r="R83" s="17"/>
      <c r="S83" s="17"/>
      <c r="T83" s="17"/>
      <c r="U83" s="17"/>
      <c r="V83" s="17"/>
      <c r="W83" s="17"/>
      <c r="X83" s="17"/>
      <c r="Y83" s="17"/>
      <c r="Z83" s="17"/>
      <c r="AA83" s="17"/>
      <c r="AB83" s="17"/>
      <c r="AC83" s="17"/>
      <c r="AD83" s="17"/>
      <c r="AE83" s="17"/>
      <c r="AF83" s="17"/>
      <c r="AG83" s="17"/>
      <c r="AH83" s="17"/>
      <c r="AI83" s="17"/>
      <c r="AJ83" s="17"/>
      <c r="AK83" s="17"/>
      <c r="AL83" s="17"/>
      <c r="AM83" s="17"/>
      <c r="AN83" s="17"/>
      <c r="AO83" s="17"/>
      <c r="AP83" s="17"/>
      <c r="AQ83" s="17"/>
      <c r="AR83" s="17"/>
      <c r="AS83" s="17"/>
      <c r="AT83" s="17"/>
      <c r="AU83" s="17"/>
    </row>
    <row r="84" spans="12:50" ht="18" customHeight="1" x14ac:dyDescent="0.2">
      <c r="L84" s="781" t="str">
        <f>IF(Y85=" "," ",".")</f>
        <v>.</v>
      </c>
      <c r="P84" s="17"/>
      <c r="Q84" s="17"/>
      <c r="R84" s="17"/>
      <c r="S84" s="17"/>
      <c r="T84" s="17"/>
      <c r="U84" s="17"/>
      <c r="V84" s="17"/>
      <c r="W84" s="17"/>
      <c r="X84" s="17"/>
      <c r="Y84" s="313"/>
      <c r="Z84" s="318" t="str">
        <f>B3</f>
        <v>AL</v>
      </c>
      <c r="AA84" s="336">
        <v>1</v>
      </c>
      <c r="AB84" s="337">
        <v>1</v>
      </c>
      <c r="AC84" s="318" t="str">
        <f>C3</f>
        <v>NS</v>
      </c>
      <c r="AD84" s="336">
        <v>3</v>
      </c>
      <c r="AE84" s="337">
        <v>1</v>
      </c>
      <c r="AF84" s="318" t="str">
        <f>D3</f>
        <v>NS</v>
      </c>
      <c r="AG84" s="336">
        <v>1</v>
      </c>
      <c r="AH84" s="337">
        <v>8</v>
      </c>
      <c r="AI84" s="318" t="str">
        <f>E3</f>
        <v xml:space="preserve"> </v>
      </c>
      <c r="AJ84" s="336">
        <v>1</v>
      </c>
      <c r="AK84" s="337">
        <v>1</v>
      </c>
      <c r="AL84" s="318" t="str">
        <f>F3</f>
        <v xml:space="preserve"> </v>
      </c>
      <c r="AM84" s="336">
        <v>1</v>
      </c>
      <c r="AN84" s="337">
        <v>1</v>
      </c>
      <c r="AO84" s="318" t="str">
        <f>G3</f>
        <v xml:space="preserve"> </v>
      </c>
      <c r="AP84" s="336">
        <v>1</v>
      </c>
      <c r="AQ84" s="337">
        <v>1</v>
      </c>
      <c r="AR84" s="318" t="str">
        <f>H3</f>
        <v xml:space="preserve"> </v>
      </c>
      <c r="AS84" s="336">
        <v>1</v>
      </c>
      <c r="AT84" s="337">
        <v>1</v>
      </c>
      <c r="AU84" s="17"/>
    </row>
    <row r="85" spans="12:50" ht="18" customHeight="1" x14ac:dyDescent="0.25">
      <c r="L85" s="781" t="str">
        <f>IF(Y85=" "," ",".")</f>
        <v>.</v>
      </c>
      <c r="P85" s="17"/>
      <c r="Q85" s="17"/>
      <c r="R85" s="17"/>
      <c r="S85" s="17"/>
      <c r="T85" s="17"/>
      <c r="U85" s="17"/>
      <c r="V85" s="17"/>
      <c r="W85" s="17"/>
      <c r="X85" s="17"/>
      <c r="Y85" s="338" t="str">
        <f>'Master List'!C64</f>
        <v>R. WISEMAN</v>
      </c>
      <c r="Z85" s="368" t="str">
        <f>IF(OR(Z84&gt;" ",INDEX($Q$89:$Q$110,AA84)=0)," ",INDEX($Q$89:$Q$110,AA84))</f>
        <v xml:space="preserve"> </v>
      </c>
      <c r="AA85" s="369"/>
      <c r="AB85" s="370"/>
      <c r="AC85" s="368" t="str">
        <f>IF(OR(AC84&gt;" ",INDEX($Q$89:$Q$110,AD84)=0)," ",INDEX($Q$89:$Q$110,AD84))</f>
        <v xml:space="preserve"> </v>
      </c>
      <c r="AD85" s="369"/>
      <c r="AE85" s="370"/>
      <c r="AF85" s="368" t="str">
        <f>IF(OR(AF84&gt;" ",INDEX($Q$89:$Q$110,AG84)=0)," ",INDEX($Q$89:$Q$110,AG84))</f>
        <v xml:space="preserve"> </v>
      </c>
      <c r="AG85" s="369"/>
      <c r="AH85" s="370"/>
      <c r="AI85" s="368" t="str">
        <f>IF(OR(AI84&gt;" ",INDEX($Q$89:$Q$110,AJ84)=0)," ",INDEX($Q$89:$Q$110,AJ84))</f>
        <v>LEAD</v>
      </c>
      <c r="AJ85" s="369"/>
      <c r="AK85" s="370"/>
      <c r="AL85" s="368" t="str">
        <f>IF(OR(AL84&gt;" ",INDEX($Q$89:$Q$110,AM84)=0)," ",INDEX($Q$89:$Q$110,AM84))</f>
        <v>LEAD</v>
      </c>
      <c r="AM85" s="369"/>
      <c r="AN85" s="370"/>
      <c r="AO85" s="368" t="str">
        <f>IF(OR(AO84&gt;" ",INDEX($Q$89:$Q$110,AP84)=0)," ",INDEX($Q$89:$Q$110,AP84))</f>
        <v>LEAD</v>
      </c>
      <c r="AP85" s="369"/>
      <c r="AQ85" s="370"/>
      <c r="AR85" s="368" t="str">
        <f>IF(OR(AR84&gt;" ",INDEX($Q$89:$Q$110,AS84)=0)," ",INDEX($Q$89:$Q$110,AS84))</f>
        <v>LEAD</v>
      </c>
      <c r="AS85" s="369"/>
      <c r="AT85" s="370"/>
      <c r="AU85" s="17"/>
      <c r="AV85" s="363" t="s">
        <v>168</v>
      </c>
      <c r="AX85" s="363">
        <v>3001</v>
      </c>
    </row>
    <row r="86" spans="12:50" ht="18" customHeight="1" x14ac:dyDescent="0.25">
      <c r="L86" s="781" t="str">
        <f>IF(Y85=" "," ",".")</f>
        <v>.</v>
      </c>
      <c r="P86" s="323"/>
      <c r="Q86" s="335" t="s">
        <v>159</v>
      </c>
      <c r="R86" s="324"/>
      <c r="S86" s="311"/>
      <c r="T86" s="333"/>
      <c r="U86" s="335" t="s">
        <v>161</v>
      </c>
      <c r="V86" s="334"/>
      <c r="W86" s="325"/>
      <c r="X86" s="17"/>
      <c r="Y86" s="314"/>
      <c r="Z86" s="407" t="str">
        <f>IF(OR(AA84=19,Z85=" ",INDEX($U$89:$U110,AB84)=0)," ",INDEX($U$89:$U$110,AB84))</f>
        <v xml:space="preserve"> </v>
      </c>
      <c r="AA86" s="366"/>
      <c r="AB86" s="401"/>
      <c r="AC86" s="407" t="str">
        <f>IF(OR(AD84=19,AC85=" ",INDEX($U$89:$U110,AE84)=0)," ",INDEX($U$89:$U$110,AE84))</f>
        <v xml:space="preserve"> </v>
      </c>
      <c r="AD86" s="366"/>
      <c r="AE86" s="367"/>
      <c r="AF86" s="407" t="str">
        <f>IF(OR(AG84=19,AF85=" ",INDEX($U$89:$U110,AH84)=0)," ",INDEX($U$89:$U$110,AH84))</f>
        <v xml:space="preserve"> </v>
      </c>
      <c r="AG86" s="366"/>
      <c r="AH86" s="367"/>
      <c r="AI86" s="407" t="str">
        <f>IF(OR(AJ84=19,AI85=" ",INDEX($U$89:$U110,AK84)=0)," ",INDEX($U$89:$U$110,AK84))</f>
        <v xml:space="preserve"> &amp; RECYCLE</v>
      </c>
      <c r="AJ86" s="366"/>
      <c r="AK86" s="367"/>
      <c r="AL86" s="407" t="str">
        <f>IF(OR(AM84=19,AL85=" ",INDEX($U$89:$U110,AN84)=0)," ",INDEX($U$89:$U$110,AN84))</f>
        <v xml:space="preserve"> &amp; RECYCLE</v>
      </c>
      <c r="AM86" s="366"/>
      <c r="AN86" s="367"/>
      <c r="AO86" s="407" t="str">
        <f>IF(OR(AP84=19,AO85=" ",INDEX($U$89:$U110,AQ84)=0)," ",INDEX($U$89:$U$110,AQ84))</f>
        <v xml:space="preserve"> &amp; RECYCLE</v>
      </c>
      <c r="AP86" s="366"/>
      <c r="AQ86" s="367"/>
      <c r="AR86" s="407" t="str">
        <f>IF(OR(AS84=19,AR85=" ",INDEX($U$89:$U110,AT84)=0)," ",INDEX($U$89:$U$110,AT84))</f>
        <v xml:space="preserve"> &amp; RECYCLE</v>
      </c>
      <c r="AS86" s="366"/>
      <c r="AT86" s="367"/>
      <c r="AU86" s="17"/>
      <c r="AV86" s="363" t="s">
        <v>64</v>
      </c>
      <c r="AX86" s="363">
        <v>3002</v>
      </c>
    </row>
    <row r="87" spans="12:50" ht="18" customHeight="1" x14ac:dyDescent="0.25">
      <c r="L87" s="781" t="str">
        <f>IF(Y88=" "," ",".")</f>
        <v>.</v>
      </c>
      <c r="P87" s="325"/>
      <c r="Q87" s="326"/>
      <c r="R87" s="327"/>
      <c r="S87" s="17"/>
      <c r="T87" s="325"/>
      <c r="U87" s="326"/>
      <c r="V87" s="326"/>
      <c r="W87" s="325"/>
      <c r="X87" s="17"/>
      <c r="Y87" s="322"/>
      <c r="Z87" s="318" t="str">
        <f>B7</f>
        <v>NS</v>
      </c>
      <c r="AA87" s="336">
        <v>19</v>
      </c>
      <c r="AB87" s="337">
        <v>1</v>
      </c>
      <c r="AC87" s="318" t="str">
        <f>C7</f>
        <v xml:space="preserve"> </v>
      </c>
      <c r="AD87" s="336">
        <v>22</v>
      </c>
      <c r="AE87" s="337">
        <v>13</v>
      </c>
      <c r="AF87" s="318" t="str">
        <f>D7</f>
        <v xml:space="preserve"> </v>
      </c>
      <c r="AG87" s="336">
        <v>22</v>
      </c>
      <c r="AH87" s="337">
        <v>13</v>
      </c>
      <c r="AI87" s="318" t="str">
        <f>E7</f>
        <v xml:space="preserve"> </v>
      </c>
      <c r="AJ87" s="336">
        <v>19</v>
      </c>
      <c r="AK87" s="337">
        <v>13</v>
      </c>
      <c r="AL87" s="318" t="str">
        <f>F7</f>
        <v xml:space="preserve"> </v>
      </c>
      <c r="AM87" s="336">
        <v>20</v>
      </c>
      <c r="AN87" s="337">
        <v>1</v>
      </c>
      <c r="AO87" s="318" t="str">
        <f>G7</f>
        <v xml:space="preserve"> </v>
      </c>
      <c r="AP87" s="336">
        <v>19</v>
      </c>
      <c r="AQ87" s="337">
        <v>18</v>
      </c>
      <c r="AR87" s="318" t="str">
        <f>H7</f>
        <v>NS</v>
      </c>
      <c r="AS87" s="336">
        <v>6</v>
      </c>
      <c r="AT87" s="337">
        <v>1</v>
      </c>
      <c r="AU87" s="17"/>
      <c r="AV87" s="363" t="s">
        <v>65</v>
      </c>
      <c r="AX87" s="363">
        <v>3003</v>
      </c>
    </row>
    <row r="88" spans="12:50" ht="18" customHeight="1" x14ac:dyDescent="0.25">
      <c r="L88" s="781" t="str">
        <f>IF(Y88=" "," ",".")</f>
        <v>.</v>
      </c>
      <c r="P88" s="325"/>
      <c r="Q88" s="326"/>
      <c r="R88" s="327"/>
      <c r="S88" s="17"/>
      <c r="T88" s="325"/>
      <c r="U88" s="326"/>
      <c r="V88" s="326"/>
      <c r="W88" s="325"/>
      <c r="X88" s="17"/>
      <c r="Y88" s="319" t="str">
        <f>'Master List'!C65</f>
        <v>M. BURNS</v>
      </c>
      <c r="Z88" s="368" t="str">
        <f>IF(OR(Z87&gt;" ",INDEX($Q$89:$Q$110,AA87)=0)," ",INDEX($Q$89:$Q$110,AA87))</f>
        <v xml:space="preserve"> </v>
      </c>
      <c r="AA88" s="369"/>
      <c r="AB88" s="370"/>
      <c r="AC88" s="368" t="str">
        <f>IF(OR(AC87&gt;" ",INDEX($Q$89:$Q$110,AD87)=0)," ",INDEX($Q$89:$Q$110,AD87))</f>
        <v>.</v>
      </c>
      <c r="AD88" s="369"/>
      <c r="AE88" s="370"/>
      <c r="AF88" s="368" t="str">
        <f>IF(OR(AF87&gt;" ",INDEX($Q$89:$Q$110,AG87)=0)," ",INDEX($Q$89:$Q$110,AG87))</f>
        <v>.</v>
      </c>
      <c r="AG88" s="369"/>
      <c r="AH88" s="370"/>
      <c r="AI88" s="368">
        <f>IF(OR(AI87&gt;" ",INDEX($Q$89:$Q$110,AJ87)=0)," ",INDEX($Q$89:$Q$110,AJ87))</f>
        <v>3003</v>
      </c>
      <c r="AJ88" s="369"/>
      <c r="AK88" s="370"/>
      <c r="AL88" s="368">
        <f>IF(OR(AL87&gt;" ",INDEX($Q$89:$Q$110,AM87)=0)," ",INDEX($Q$89:$Q$110,AM87))</f>
        <v>3004</v>
      </c>
      <c r="AM88" s="369"/>
      <c r="AN88" s="370"/>
      <c r="AO88" s="368">
        <f>IF(OR(AO87&gt;" ",INDEX($Q$89:$Q$110,AP87)=0)," ",INDEX($Q$89:$Q$110,AP87))</f>
        <v>3003</v>
      </c>
      <c r="AP88" s="369"/>
      <c r="AQ88" s="370"/>
      <c r="AR88" s="368" t="str">
        <f>IF(OR(AR87&gt;" ",INDEX($Q$89:$Q$110,AS87)=0)," ",INDEX($Q$89:$Q$110,AS87))</f>
        <v xml:space="preserve"> </v>
      </c>
      <c r="AS88" s="369"/>
      <c r="AT88" s="370"/>
      <c r="AU88" s="17"/>
      <c r="AV88" s="363" t="s">
        <v>66</v>
      </c>
      <c r="AX88" s="363">
        <v>3004</v>
      </c>
    </row>
    <row r="89" spans="12:50" ht="18" customHeight="1" x14ac:dyDescent="0.25">
      <c r="L89" s="781" t="str">
        <f>IF(Y88=" "," ",".")</f>
        <v>.</v>
      </c>
      <c r="P89" s="328">
        <v>1</v>
      </c>
      <c r="Q89" s="365" t="s">
        <v>363</v>
      </c>
      <c r="R89" s="372">
        <v>7.6</v>
      </c>
      <c r="S89" s="17"/>
      <c r="T89" s="330">
        <v>1</v>
      </c>
      <c r="U89" s="365" t="s">
        <v>169</v>
      </c>
      <c r="V89" s="326"/>
      <c r="W89" s="325"/>
      <c r="X89" s="17"/>
      <c r="Y89" s="314"/>
      <c r="Z89" s="407" t="str">
        <f>IF(OR(AA87=19,Z88=" ",INDEX($U$89:$U113,AB87)=0)," ",INDEX($U$89:$U$110,AB87))</f>
        <v xml:space="preserve"> </v>
      </c>
      <c r="AA89" s="366"/>
      <c r="AB89" s="400"/>
      <c r="AC89" s="407" t="str">
        <f>IF(OR(AD87=19,AC88=" ",INDEX($U$89:$U113,AE87)=0)," ",INDEX($U$89:$U$110,AE87))</f>
        <v>RECYCLE</v>
      </c>
      <c r="AD89" s="366"/>
      <c r="AE89" s="367"/>
      <c r="AF89" s="407" t="str">
        <f>IF(OR(AG87=19,AF88=" ",INDEX($U$89:$U113,AH87)=0)," ",INDEX($U$89:$U$110,AH87))</f>
        <v>RECYCLE</v>
      </c>
      <c r="AG89" s="366"/>
      <c r="AH89" s="367"/>
      <c r="AI89" s="407" t="s">
        <v>169</v>
      </c>
      <c r="AJ89" s="366"/>
      <c r="AK89" s="367"/>
      <c r="AL89" s="407" t="str">
        <f>IF(OR(AM87=19,AL88=" ",INDEX($U$89:$U113,AN87)=0)," ",INDEX($U$89:$U$110,AN87))</f>
        <v xml:space="preserve"> &amp; RECYCLE</v>
      </c>
      <c r="AM89" s="366"/>
      <c r="AN89" s="367"/>
      <c r="AO89" s="407" t="s">
        <v>169</v>
      </c>
      <c r="AP89" s="366"/>
      <c r="AQ89" s="367"/>
      <c r="AR89" s="407" t="str">
        <f>IF(OR(AS87=19,AR88=" ",INDEX($U$89:$U113,AT87)=0)," ",INDEX($U$89:$U$110,AT87))</f>
        <v xml:space="preserve"> </v>
      </c>
      <c r="AS89" s="366"/>
      <c r="AT89" s="371"/>
      <c r="AU89" s="17"/>
      <c r="AV89" s="363" t="s">
        <v>67</v>
      </c>
      <c r="AX89" s="363">
        <v>3005</v>
      </c>
    </row>
    <row r="90" spans="12:50" ht="18" customHeight="1" x14ac:dyDescent="0.25">
      <c r="L90" s="781" t="str">
        <f>IF(Y91=" "," ",".")</f>
        <v>.</v>
      </c>
      <c r="P90" s="328">
        <v>2</v>
      </c>
      <c r="Q90" s="364" t="s">
        <v>64</v>
      </c>
      <c r="R90" s="372">
        <v>7.5</v>
      </c>
      <c r="S90" s="17"/>
      <c r="T90" s="330">
        <v>2</v>
      </c>
      <c r="U90" s="346" t="s">
        <v>207</v>
      </c>
      <c r="V90" s="326"/>
      <c r="W90" s="325"/>
      <c r="X90" s="17"/>
      <c r="Y90" s="322"/>
      <c r="Z90" s="318" t="str">
        <f>B11</f>
        <v>*</v>
      </c>
      <c r="AA90" s="336">
        <v>19</v>
      </c>
      <c r="AB90" s="337">
        <v>1</v>
      </c>
      <c r="AC90" s="318" t="str">
        <f>C11</f>
        <v>*</v>
      </c>
      <c r="AD90" s="336">
        <v>22</v>
      </c>
      <c r="AE90" s="337">
        <v>13</v>
      </c>
      <c r="AF90" s="318" t="str">
        <f>D11</f>
        <v>*</v>
      </c>
      <c r="AG90" s="336">
        <v>22</v>
      </c>
      <c r="AH90" s="337">
        <v>13</v>
      </c>
      <c r="AI90" s="318" t="str">
        <f>E11</f>
        <v>*</v>
      </c>
      <c r="AJ90" s="336">
        <v>22</v>
      </c>
      <c r="AK90" s="337">
        <v>13</v>
      </c>
      <c r="AL90" s="318" t="str">
        <f>F11</f>
        <v>*</v>
      </c>
      <c r="AM90" s="336">
        <v>21</v>
      </c>
      <c r="AN90" s="337">
        <v>1</v>
      </c>
      <c r="AO90" s="318" t="str">
        <f>G11</f>
        <v>*</v>
      </c>
      <c r="AP90" s="336">
        <v>22</v>
      </c>
      <c r="AQ90" s="337">
        <v>13</v>
      </c>
      <c r="AR90" s="566" t="str">
        <f>H11</f>
        <v>*</v>
      </c>
      <c r="AS90" s="336">
        <v>19</v>
      </c>
      <c r="AT90" s="337">
        <v>1</v>
      </c>
      <c r="AU90" s="17"/>
      <c r="AV90" s="363" t="s">
        <v>68</v>
      </c>
      <c r="AX90" s="363">
        <v>3006</v>
      </c>
    </row>
    <row r="91" spans="12:50" ht="18" customHeight="1" x14ac:dyDescent="0.25">
      <c r="L91" s="781" t="str">
        <f>IF(Y91=" "," ",".")</f>
        <v>.</v>
      </c>
      <c r="P91" s="328">
        <v>3</v>
      </c>
      <c r="Q91" s="364" t="s">
        <v>65</v>
      </c>
      <c r="R91" s="372">
        <v>7</v>
      </c>
      <c r="S91" s="17"/>
      <c r="T91" s="330">
        <v>3</v>
      </c>
      <c r="U91" s="346" t="s">
        <v>208</v>
      </c>
      <c r="V91" s="326"/>
      <c r="W91" s="325"/>
      <c r="X91" s="17"/>
      <c r="Y91" s="319" t="str">
        <f>'Master List'!C66</f>
        <v>W. COHEN</v>
      </c>
      <c r="Z91" s="368" t="str">
        <f>IF(OR(Z90&gt;" ",INDEX($Q$89:$Q$110,AA90)=0)," ",INDEX($Q$89:$Q$110,AA90))</f>
        <v xml:space="preserve"> </v>
      </c>
      <c r="AA91" s="369"/>
      <c r="AB91" s="370"/>
      <c r="AC91" s="368" t="str">
        <f>IF(OR(AC90&gt;" ",INDEX($Q$89:$Q$110,AD90)=0)," ",INDEX($Q$89:$Q$110,AD90))</f>
        <v xml:space="preserve"> </v>
      </c>
      <c r="AD91" s="369"/>
      <c r="AE91" s="370"/>
      <c r="AF91" s="368" t="str">
        <f>IF(OR(AF90&gt;" ",INDEX($Q$89:$Q$110,AG90)=0)," ",INDEX($Q$89:$Q$110,AG90))</f>
        <v xml:space="preserve"> </v>
      </c>
      <c r="AG91" s="369"/>
      <c r="AH91" s="370"/>
      <c r="AI91" s="368" t="str">
        <f>IF(OR(AI90&gt;" ",INDEX($Q$89:$Q$110,AJ90)=0)," ",INDEX($Q$89:$Q$110,AJ90))</f>
        <v xml:space="preserve"> </v>
      </c>
      <c r="AJ91" s="369"/>
      <c r="AK91" s="370"/>
      <c r="AL91" s="368" t="str">
        <f>IF(OR(AL90&gt;" ",INDEX($Q$89:$Q$110,AM90)=0)," ",INDEX($Q$89:$Q$110,AM90))</f>
        <v xml:space="preserve"> </v>
      </c>
      <c r="AM91" s="369"/>
      <c r="AN91" s="370"/>
      <c r="AO91" s="368" t="str">
        <f>IF(OR(AO90&gt;" ",INDEX($Q$89:$Q$110,AP90)=0)," ",INDEX($Q$89:$Q$110,AP90))</f>
        <v xml:space="preserve"> </v>
      </c>
      <c r="AP91" s="369"/>
      <c r="AQ91" s="370"/>
      <c r="AR91" s="368" t="str">
        <f>IF(OR(AR90&gt;" ",INDEX($Q$89:$Q$110,AS90)=0)," ",INDEX($Q$89:$Q$110,AS90))</f>
        <v xml:space="preserve"> </v>
      </c>
      <c r="AS91" s="369"/>
      <c r="AT91" s="370"/>
      <c r="AU91" s="17"/>
      <c r="AV91" s="363" t="s">
        <v>69</v>
      </c>
      <c r="AX91" s="363">
        <v>3007</v>
      </c>
    </row>
    <row r="92" spans="12:50" ht="18" customHeight="1" x14ac:dyDescent="0.25">
      <c r="L92" s="781" t="str">
        <f>IF(Y91=" "," ",".")</f>
        <v>.</v>
      </c>
      <c r="P92" s="328">
        <v>4</v>
      </c>
      <c r="Q92" s="364" t="s">
        <v>66</v>
      </c>
      <c r="R92" s="372">
        <v>7.5</v>
      </c>
      <c r="S92" s="17"/>
      <c r="T92" s="330">
        <v>4</v>
      </c>
      <c r="U92" s="346" t="s">
        <v>209</v>
      </c>
      <c r="V92" s="326"/>
      <c r="W92" s="325"/>
      <c r="X92" s="17"/>
      <c r="Y92" s="314"/>
      <c r="Z92" s="407" t="str">
        <f>IF(OR(AA90=19,Z91=" ",INDEX($U$89:$U116,AB90)=0)," ",INDEX($U$89:$U$110,AB90))</f>
        <v xml:space="preserve"> </v>
      </c>
      <c r="AA92" s="366"/>
      <c r="AB92" s="367"/>
      <c r="AC92" s="407" t="str">
        <f>IF(OR(AD90=19,AC91=" ",INDEX($U$89:$U116,AE90)=0)," ",INDEX($U$89:$U$110,AE90))</f>
        <v xml:space="preserve"> </v>
      </c>
      <c r="AD92" s="366"/>
      <c r="AE92" s="367"/>
      <c r="AF92" s="407" t="str">
        <f>IF(OR(AG90=19,AF91=" ",INDEX($U$89:$U116,AH90)=0)," ",INDEX($U$89:$U$110,AH90))</f>
        <v xml:space="preserve"> </v>
      </c>
      <c r="AG92" s="366"/>
      <c r="AH92" s="367"/>
      <c r="AI92" s="407" t="str">
        <f>IF(OR(AJ90=19,AI91=" ",INDEX($U$89:$U116,AK90)=0)," ",INDEX($U$89:$U$110,AK90))</f>
        <v xml:space="preserve"> </v>
      </c>
      <c r="AJ92" s="366"/>
      <c r="AK92" s="367"/>
      <c r="AL92" s="407" t="str">
        <f>IF(OR(AM90=19,AL91=" ",INDEX($U$89:$U116,AN90)=0)," ",INDEX($U$89:$U$110,AN90))</f>
        <v xml:space="preserve"> </v>
      </c>
      <c r="AM92" s="366"/>
      <c r="AN92" s="367"/>
      <c r="AO92" s="407" t="str">
        <f>IF(OR(AP90=19,AO91=" ",INDEX($U$89:$U116,AQ90)=0)," ",INDEX($U$89:$U$110,AQ90))</f>
        <v xml:space="preserve"> </v>
      </c>
      <c r="AP92" s="366"/>
      <c r="AQ92" s="367"/>
      <c r="AR92" s="407" t="str">
        <f>IF(OR(AS90=19,AR91=" ",INDEX($U$89:$U116,AT90)=0)," ",INDEX($U$89:$U$110,AT90))</f>
        <v xml:space="preserve"> </v>
      </c>
      <c r="AS92" s="366"/>
      <c r="AT92" s="367"/>
      <c r="AU92" s="17"/>
      <c r="AV92" s="363" t="s">
        <v>71</v>
      </c>
      <c r="AX92" s="363">
        <v>3008</v>
      </c>
    </row>
    <row r="93" spans="12:50" ht="18" customHeight="1" x14ac:dyDescent="0.25">
      <c r="L93" s="781" t="str">
        <f>IF(Y94=" "," ",".")</f>
        <v>.</v>
      </c>
      <c r="P93" s="328">
        <v>5</v>
      </c>
      <c r="Q93" s="364" t="s">
        <v>67</v>
      </c>
      <c r="R93" s="372">
        <v>6.7</v>
      </c>
      <c r="S93" s="17"/>
      <c r="T93" s="330">
        <v>5</v>
      </c>
      <c r="U93" s="346" t="s">
        <v>210</v>
      </c>
      <c r="V93" s="326"/>
      <c r="W93" s="325"/>
      <c r="X93" s="17"/>
      <c r="Y93" s="322"/>
      <c r="Z93" s="359" t="str">
        <f>B15</f>
        <v>NS</v>
      </c>
      <c r="AA93" s="361">
        <v>18</v>
      </c>
      <c r="AB93" s="362">
        <v>18</v>
      </c>
      <c r="AC93" s="360" t="str">
        <f>C15</f>
        <v>NS</v>
      </c>
      <c r="AD93" s="361">
        <v>19</v>
      </c>
      <c r="AE93" s="362">
        <v>1</v>
      </c>
      <c r="AF93" s="360" t="str">
        <f>D15</f>
        <v xml:space="preserve"> </v>
      </c>
      <c r="AG93" s="361">
        <v>22</v>
      </c>
      <c r="AH93" s="362">
        <v>13</v>
      </c>
      <c r="AI93" s="360" t="str">
        <f>E15</f>
        <v xml:space="preserve"> </v>
      </c>
      <c r="AJ93" s="361">
        <v>22</v>
      </c>
      <c r="AK93" s="362">
        <v>13</v>
      </c>
      <c r="AL93" s="360" t="str">
        <f>F15</f>
        <v xml:space="preserve"> </v>
      </c>
      <c r="AM93" s="361">
        <v>22</v>
      </c>
      <c r="AN93" s="362">
        <v>13</v>
      </c>
      <c r="AO93" s="360" t="str">
        <f>G15</f>
        <v xml:space="preserve"> </v>
      </c>
      <c r="AP93" s="361">
        <v>22</v>
      </c>
      <c r="AQ93" s="362">
        <v>13</v>
      </c>
      <c r="AR93" s="360" t="str">
        <f>H15</f>
        <v xml:space="preserve"> </v>
      </c>
      <c r="AS93" s="361">
        <v>22</v>
      </c>
      <c r="AT93" s="362">
        <v>13</v>
      </c>
      <c r="AU93" s="17"/>
      <c r="AV93" s="363" t="s">
        <v>0</v>
      </c>
      <c r="AX93" s="363">
        <v>3009</v>
      </c>
    </row>
    <row r="94" spans="12:50" ht="18" customHeight="1" x14ac:dyDescent="0.25">
      <c r="L94" s="781" t="str">
        <f>IF(Y94=" "," ",".")</f>
        <v>.</v>
      </c>
      <c r="P94" s="328">
        <v>6</v>
      </c>
      <c r="Q94" s="364" t="s">
        <v>68</v>
      </c>
      <c r="R94" s="372">
        <v>7.5</v>
      </c>
      <c r="S94" s="17"/>
      <c r="T94" s="330">
        <v>6</v>
      </c>
      <c r="U94" s="346" t="s">
        <v>211</v>
      </c>
      <c r="V94" s="326"/>
      <c r="W94" s="325"/>
      <c r="X94" s="17"/>
      <c r="Y94" s="319" t="str">
        <f>'Master List'!C67</f>
        <v>J. PALACIOS</v>
      </c>
      <c r="Z94" s="446" t="str">
        <f>IF(OR(Z93&gt;" ",INDEX($Q$89:$Q$110,AA93)=0)," ",INDEX($Q$89:$Q$110,AA93))</f>
        <v xml:space="preserve"> </v>
      </c>
      <c r="AA94" s="369"/>
      <c r="AB94" s="370"/>
      <c r="AC94" s="368" t="str">
        <f>IF(OR(AC93&gt;" ",INDEX($Q$89:$Q$110,AD93)=0)," ",INDEX($Q$89:$Q$110,AD93))</f>
        <v xml:space="preserve"> </v>
      </c>
      <c r="AD94" s="369"/>
      <c r="AE94" s="370"/>
      <c r="AF94" s="368" t="str">
        <f>IF(OR(AF93&gt;" ",INDEX($Q$89:$Q$110,AG93)=0)," ",INDEX($Q$89:$Q$110,AG93))</f>
        <v>.</v>
      </c>
      <c r="AG94" s="447"/>
      <c r="AH94" s="448"/>
      <c r="AI94" s="368" t="str">
        <f>IF(OR(AI93&gt;" ",INDEX($Q$89:$Q$110,AJ93)=0)," ",INDEX($Q$89:$Q$110,AJ93))</f>
        <v>.</v>
      </c>
      <c r="AJ94" s="447"/>
      <c r="AK94" s="448"/>
      <c r="AL94" s="368" t="str">
        <f>IF(OR(AL93&gt;" ",INDEX($Q$89:$Q$110,AM93)=0)," ",INDEX($Q$89:$Q$110,AM93))</f>
        <v>.</v>
      </c>
      <c r="AM94" s="447"/>
      <c r="AN94" s="448"/>
      <c r="AO94" s="368" t="str">
        <f>IF(OR(AO93&gt;" ",INDEX($Q$89:$Q$110,AP93)=0)," ",INDEX($Q$89:$Q$110,AP93))</f>
        <v>.</v>
      </c>
      <c r="AP94" s="447"/>
      <c r="AQ94" s="448"/>
      <c r="AR94" s="368" t="str">
        <f>IF(OR(AR93&gt;" ",INDEX($Q$89:$Q$110,AS93)=0)," ",INDEX($Q$89:$Q$110,AS93))</f>
        <v>.</v>
      </c>
      <c r="AS94" s="447"/>
      <c r="AT94" s="448"/>
      <c r="AU94" s="17"/>
      <c r="AV94" s="364" t="s">
        <v>2</v>
      </c>
      <c r="AX94" s="402" t="s">
        <v>180</v>
      </c>
    </row>
    <row r="95" spans="12:50" ht="18" customHeight="1" x14ac:dyDescent="0.25">
      <c r="L95" s="781" t="str">
        <f>IF(Y94=" "," ",".")</f>
        <v>.</v>
      </c>
      <c r="P95" s="328">
        <v>7</v>
      </c>
      <c r="Q95" s="364" t="s">
        <v>69</v>
      </c>
      <c r="R95" s="372">
        <v>6.8</v>
      </c>
      <c r="S95" s="17"/>
      <c r="T95" s="330">
        <v>7</v>
      </c>
      <c r="U95" s="346" t="s">
        <v>212</v>
      </c>
      <c r="V95" s="326"/>
      <c r="W95" s="325"/>
      <c r="X95" s="17"/>
      <c r="Y95" s="314"/>
      <c r="Z95" s="407" t="str">
        <f>IF(OR(AA93=19,Z94=" ",INDEX($U$89:$U119,AB93)=0)," ",INDEX($U$89:$U$110,AB93))</f>
        <v xml:space="preserve"> </v>
      </c>
      <c r="AA95" s="366"/>
      <c r="AB95" s="367"/>
      <c r="AC95" s="407" t="str">
        <f>IF(OR(AD93=19,AC94=" ",INDEX($U$89:$U119,AE93)=0)," ",INDEX($U$89:$U$110,AE93))</f>
        <v xml:space="preserve"> </v>
      </c>
      <c r="AD95" s="366"/>
      <c r="AE95" s="367"/>
      <c r="AF95" s="491" t="str">
        <f>IF(OR(AG93=19,AF94=" ",INDEX($U$89:$U119,AH93)=0)," ",INDEX($U$89:$U$110,AH93))</f>
        <v>RECYCLE</v>
      </c>
      <c r="AG95" s="449"/>
      <c r="AH95" s="450"/>
      <c r="AI95" s="491" t="str">
        <f>IF(OR(AJ93=19,AI94=" ",INDEX($U$89:$U119,AK93)=0)," ",INDEX($U$89:$U$110,AK93))</f>
        <v>RECYCLE</v>
      </c>
      <c r="AJ95" s="449"/>
      <c r="AK95" s="450"/>
      <c r="AL95" s="491" t="str">
        <f>IF(OR(AM93=19,AL94=" ",INDEX($U$89:$U119,AN93)=0)," ",INDEX($U$89:$U$110,AN93))</f>
        <v>RECYCLE</v>
      </c>
      <c r="AM95" s="449"/>
      <c r="AN95" s="450"/>
      <c r="AO95" s="491" t="str">
        <f>IF(OR(AP93=19,AO94=" ",INDEX($U$89:$U119,AQ93)=0)," ",INDEX($U$89:$U$110,AQ93))</f>
        <v>RECYCLE</v>
      </c>
      <c r="AP95" s="449"/>
      <c r="AQ95" s="450"/>
      <c r="AR95" s="491" t="str">
        <f>IF(OR(AS93=19,AR94=" ",INDEX($U$89:$U119,AT93)=0)," ",INDEX($U$89:$U$110,AT93))</f>
        <v>RECYCLE</v>
      </c>
      <c r="AS95" s="449"/>
      <c r="AT95" s="450"/>
      <c r="AU95" s="17"/>
      <c r="AV95" s="364" t="s">
        <v>3</v>
      </c>
      <c r="AX95" s="402" t="s">
        <v>181</v>
      </c>
    </row>
    <row r="96" spans="12:50" ht="18" customHeight="1" x14ac:dyDescent="0.25">
      <c r="L96" s="781" t="str">
        <f>IF(Y97=" "," ",".")</f>
        <v>.</v>
      </c>
      <c r="P96" s="328">
        <v>8</v>
      </c>
      <c r="Q96" s="364" t="s">
        <v>71</v>
      </c>
      <c r="R96" s="372">
        <v>3.5</v>
      </c>
      <c r="S96" s="17"/>
      <c r="T96" s="330">
        <v>8</v>
      </c>
      <c r="U96" s="346" t="s">
        <v>213</v>
      </c>
      <c r="V96" s="326"/>
      <c r="W96" s="325"/>
      <c r="X96" s="17"/>
      <c r="Y96" s="655"/>
      <c r="Z96" s="453" t="str">
        <f>B19</f>
        <v>*</v>
      </c>
      <c r="AA96" s="443">
        <v>18</v>
      </c>
      <c r="AB96" s="454">
        <v>1</v>
      </c>
      <c r="AC96" s="453" t="str">
        <f>C19</f>
        <v>*</v>
      </c>
      <c r="AD96" s="443">
        <v>18</v>
      </c>
      <c r="AE96" s="454">
        <v>18</v>
      </c>
      <c r="AF96" s="453" t="str">
        <f>D19</f>
        <v>*</v>
      </c>
      <c r="AG96" s="443">
        <v>18</v>
      </c>
      <c r="AH96" s="454">
        <v>18</v>
      </c>
      <c r="AI96" s="453" t="str">
        <f>E19</f>
        <v>*</v>
      </c>
      <c r="AJ96" s="443">
        <v>18</v>
      </c>
      <c r="AK96" s="454">
        <v>1</v>
      </c>
      <c r="AL96" s="453" t="str">
        <f>F19</f>
        <v>*</v>
      </c>
      <c r="AM96" s="443">
        <v>18</v>
      </c>
      <c r="AN96" s="454">
        <v>1</v>
      </c>
      <c r="AO96" s="453" t="str">
        <f>G19</f>
        <v>*</v>
      </c>
      <c r="AP96" s="443">
        <v>18</v>
      </c>
      <c r="AQ96" s="454">
        <v>1</v>
      </c>
      <c r="AR96" s="453" t="str">
        <f>H19</f>
        <v>*</v>
      </c>
      <c r="AS96" s="443">
        <v>18</v>
      </c>
      <c r="AT96" s="454">
        <v>1</v>
      </c>
      <c r="AU96" s="17"/>
      <c r="AV96" s="364" t="s">
        <v>1</v>
      </c>
      <c r="AX96" s="402" t="s">
        <v>182</v>
      </c>
    </row>
    <row r="97" spans="12:74" ht="18" customHeight="1" x14ac:dyDescent="0.25">
      <c r="L97" s="781" t="str">
        <f>IF(Y97=" "," ",".")</f>
        <v>.</v>
      </c>
      <c r="P97" s="328">
        <v>9</v>
      </c>
      <c r="Q97" s="364" t="s">
        <v>0</v>
      </c>
      <c r="R97" s="373">
        <v>6</v>
      </c>
      <c r="S97" s="17"/>
      <c r="T97" s="330">
        <v>9</v>
      </c>
      <c r="U97" s="346" t="s">
        <v>214</v>
      </c>
      <c r="V97" s="326"/>
      <c r="W97" s="325"/>
      <c r="X97" s="17"/>
      <c r="Y97" s="656" t="str">
        <f>'Master List'!C68</f>
        <v>S. RAJAN</v>
      </c>
      <c r="Z97" s="446" t="str">
        <f>IF(OR(Z96&gt;" ",INDEX($Q$89:$Q$110,AA96)=0)," ",INDEX($Q$89:$Q$110,AA96))</f>
        <v xml:space="preserve"> </v>
      </c>
      <c r="AA97" s="447"/>
      <c r="AB97" s="448"/>
      <c r="AC97" s="446" t="str">
        <f>IF(OR(AC96&gt;" ",INDEX($Q$89:$Q$110,AD96)=0)," ",INDEX($Q$89:$Q$110,AD96))</f>
        <v xml:space="preserve"> </v>
      </c>
      <c r="AD97" s="447"/>
      <c r="AE97" s="448"/>
      <c r="AF97" s="446" t="str">
        <f>IF(OR(AF96&gt;" ",INDEX($Q$89:$Q$110,AG96)=0)," ",INDEX($Q$89:$Q$110,AG96))</f>
        <v xml:space="preserve"> </v>
      </c>
      <c r="AG97" s="447"/>
      <c r="AH97" s="448"/>
      <c r="AI97" s="446" t="str">
        <f>IF(OR(AI96&gt;" ",INDEX($Q$89:$Q$110,AJ96)=0)," ",INDEX($Q$89:$Q$110,AJ96))</f>
        <v xml:space="preserve"> </v>
      </c>
      <c r="AJ97" s="447"/>
      <c r="AK97" s="448"/>
      <c r="AL97" s="446" t="str">
        <f>IF(OR(AL96&gt;" ",INDEX($Q$89:$Q$110,AM96)=0)," ",INDEX($Q$89:$Q$110,AM96))</f>
        <v xml:space="preserve"> </v>
      </c>
      <c r="AM97" s="447"/>
      <c r="AN97" s="448"/>
      <c r="AO97" s="446" t="str">
        <f>IF(OR(AO96&gt;" ",INDEX($Q$89:$Q$110,AP96)=0)," ",INDEX($Q$89:$Q$110,AP96))</f>
        <v xml:space="preserve"> </v>
      </c>
      <c r="AP97" s="447"/>
      <c r="AQ97" s="448"/>
      <c r="AR97" s="446" t="str">
        <f>IF(OR(AR96&gt;" ",INDEX($Q$89:$Q$110,AS96)=0)," ",INDEX($Q$89:$Q$110,AS96))</f>
        <v xml:space="preserve"> </v>
      </c>
      <c r="AS97" s="447"/>
      <c r="AT97" s="448"/>
      <c r="AU97" s="17"/>
      <c r="AV97" s="364" t="s">
        <v>146</v>
      </c>
      <c r="AX97" s="402" t="s">
        <v>183</v>
      </c>
      <c r="BD97" s="563"/>
      <c r="BE97" s="563"/>
      <c r="BF97" s="563"/>
      <c r="BG97" s="563"/>
      <c r="BH97" s="563"/>
      <c r="BI97" s="563"/>
      <c r="BJ97" s="563"/>
      <c r="BK97" s="563"/>
      <c r="BL97" s="563"/>
      <c r="BM97" s="563"/>
      <c r="BN97" s="563"/>
      <c r="BO97" s="563"/>
      <c r="BP97" s="563"/>
      <c r="BQ97" s="563"/>
      <c r="BR97" s="563"/>
      <c r="BS97" s="563"/>
      <c r="BT97" s="563"/>
      <c r="BU97" s="563"/>
      <c r="BV97" s="563"/>
    </row>
    <row r="98" spans="12:74" ht="18" customHeight="1" x14ac:dyDescent="0.25">
      <c r="L98" s="781" t="str">
        <f>IF(Y97=" "," ",".")</f>
        <v>.</v>
      </c>
      <c r="P98" s="328">
        <v>10</v>
      </c>
      <c r="Q98" s="364" t="s">
        <v>2</v>
      </c>
      <c r="R98" s="374"/>
      <c r="S98" s="17"/>
      <c r="T98" s="330">
        <v>10</v>
      </c>
      <c r="U98" s="346" t="s">
        <v>215</v>
      </c>
      <c r="V98" s="326"/>
      <c r="W98" s="325"/>
      <c r="X98" s="17"/>
      <c r="Y98" s="657"/>
      <c r="Z98" s="491" t="str">
        <f>IF(OR(AA96=19,Z97=" ",INDEX($U$89:$U122,AB96)=0)," ",INDEX($U$89:$U$110,AB96))</f>
        <v xml:space="preserve"> </v>
      </c>
      <c r="AA98" s="449"/>
      <c r="AB98" s="450"/>
      <c r="AC98" s="491" t="str">
        <f>IF(OR(AD96=19,AC97=" ",INDEX($U$89:$U122,AE96)=0)," ",INDEX($U$89:$U$110,AE96))</f>
        <v xml:space="preserve"> </v>
      </c>
      <c r="AD98" s="449"/>
      <c r="AE98" s="450"/>
      <c r="AF98" s="491" t="str">
        <f>IF(OR(AG96=19,AF97=" ",INDEX($U$89:$U122,AH96)=0)," ",INDEX($U$89:$U$110,AH96))</f>
        <v xml:space="preserve"> </v>
      </c>
      <c r="AG98" s="449"/>
      <c r="AH98" s="450"/>
      <c r="AI98" s="491" t="str">
        <f>IF(OR(AJ96=19,AI97=" ",INDEX($U$89:$U122,AK96)=0)," ",INDEX($U$89:$U$110,AK96))</f>
        <v xml:space="preserve"> </v>
      </c>
      <c r="AJ98" s="449"/>
      <c r="AK98" s="450"/>
      <c r="AL98" s="491" t="str">
        <f>IF(OR(AM96=19,AL97=" ",INDEX($U$89:$U122,AN96)=0)," ",INDEX($U$89:$U$110,AN96))</f>
        <v xml:space="preserve"> </v>
      </c>
      <c r="AM98" s="449"/>
      <c r="AN98" s="450"/>
      <c r="AO98" s="491" t="str">
        <f>IF(OR(AP96=19,AO97=" ",INDEX($U$89:$U122,AQ96)=0)," ",INDEX($U$89:$U$110,AQ96))</f>
        <v xml:space="preserve"> </v>
      </c>
      <c r="AP98" s="449"/>
      <c r="AQ98" s="450"/>
      <c r="AR98" s="491" t="str">
        <f>IF(OR(AS96=19,AR97=" ",INDEX($U$89:$U122,AT96)=0)," ",INDEX($U$89:$U$110,AT96))</f>
        <v xml:space="preserve"> </v>
      </c>
      <c r="AS98" s="449"/>
      <c r="AT98" s="450"/>
      <c r="AU98" s="17"/>
      <c r="AV98" s="364" t="s">
        <v>173</v>
      </c>
      <c r="AX98" s="402" t="s">
        <v>184</v>
      </c>
      <c r="BD98" s="563"/>
      <c r="BE98" s="563"/>
      <c r="BF98" s="563"/>
      <c r="BG98" s="563"/>
      <c r="BH98" s="563"/>
      <c r="BI98" s="563"/>
      <c r="BJ98" s="563"/>
      <c r="BK98" s="563"/>
      <c r="BL98" s="563"/>
      <c r="BM98" s="563"/>
      <c r="BN98" s="563"/>
      <c r="BO98" s="563"/>
      <c r="BP98" s="563"/>
      <c r="BQ98" s="563"/>
      <c r="BR98" s="563"/>
      <c r="BS98" s="563"/>
      <c r="BT98" s="563"/>
      <c r="BU98" s="563"/>
      <c r="BV98" s="563"/>
    </row>
    <row r="99" spans="12:74" ht="18" customHeight="1" x14ac:dyDescent="0.25">
      <c r="L99" s="781" t="str">
        <f>IF(Y100=" "," ",".")</f>
        <v>.</v>
      </c>
      <c r="P99" s="328">
        <v>11</v>
      </c>
      <c r="Q99" s="364" t="s">
        <v>3</v>
      </c>
      <c r="R99" s="375"/>
      <c r="S99" s="17"/>
      <c r="T99" s="330">
        <v>11</v>
      </c>
      <c r="U99" s="346" t="s">
        <v>253</v>
      </c>
      <c r="V99" s="326"/>
      <c r="W99" s="325"/>
      <c r="X99" s="17"/>
      <c r="Y99" s="655"/>
      <c r="Z99" s="453" t="str">
        <f>B23</f>
        <v xml:space="preserve"> </v>
      </c>
      <c r="AA99" s="443">
        <v>18</v>
      </c>
      <c r="AB99" s="454">
        <v>1</v>
      </c>
      <c r="AC99" s="453" t="str">
        <f>C23</f>
        <v xml:space="preserve"> </v>
      </c>
      <c r="AD99" s="443">
        <v>18</v>
      </c>
      <c r="AE99" s="454">
        <v>1</v>
      </c>
      <c r="AF99" s="453" t="str">
        <f>D23</f>
        <v xml:space="preserve"> </v>
      </c>
      <c r="AG99" s="443">
        <v>18</v>
      </c>
      <c r="AH99" s="454">
        <v>1</v>
      </c>
      <c r="AI99" s="453" t="str">
        <f>E23</f>
        <v xml:space="preserve"> </v>
      </c>
      <c r="AJ99" s="443">
        <v>17</v>
      </c>
      <c r="AK99" s="454">
        <v>1</v>
      </c>
      <c r="AL99" s="453" t="str">
        <f>F23</f>
        <v xml:space="preserve"> </v>
      </c>
      <c r="AM99" s="443">
        <v>17</v>
      </c>
      <c r="AN99" s="454">
        <v>1</v>
      </c>
      <c r="AO99" s="453" t="str">
        <f>G23</f>
        <v>NS</v>
      </c>
      <c r="AP99" s="443">
        <v>6</v>
      </c>
      <c r="AQ99" s="454">
        <v>1</v>
      </c>
      <c r="AR99" s="453" t="str">
        <f>H23</f>
        <v>NS</v>
      </c>
      <c r="AS99" s="443">
        <v>11</v>
      </c>
      <c r="AT99" s="454">
        <v>1</v>
      </c>
      <c r="AU99" s="17"/>
      <c r="AV99" s="364" t="s">
        <v>174</v>
      </c>
      <c r="AX99" s="402" t="s">
        <v>185</v>
      </c>
      <c r="BD99" s="563"/>
      <c r="BE99" s="563"/>
      <c r="BF99" s="563"/>
      <c r="BG99" s="563"/>
      <c r="BH99" s="563"/>
      <c r="BI99" s="563"/>
      <c r="BJ99" s="563"/>
      <c r="BK99" s="563"/>
      <c r="BL99" s="563"/>
      <c r="BM99" s="563"/>
      <c r="BN99" s="563"/>
      <c r="BO99" s="563"/>
      <c r="BP99" s="563"/>
      <c r="BQ99" s="563"/>
      <c r="BR99" s="563"/>
      <c r="BS99" s="563"/>
      <c r="BT99" s="563"/>
      <c r="BU99" s="563"/>
      <c r="BV99" s="563"/>
    </row>
    <row r="100" spans="12:74" ht="18" customHeight="1" x14ac:dyDescent="0.25">
      <c r="L100" s="781" t="str">
        <f>IF(Y100=" "," ",".")</f>
        <v>.</v>
      </c>
      <c r="P100" s="328">
        <v>12</v>
      </c>
      <c r="Q100" s="364" t="s">
        <v>1</v>
      </c>
      <c r="R100" s="374"/>
      <c r="S100" s="17"/>
      <c r="T100" s="330">
        <v>12</v>
      </c>
      <c r="U100" s="785" t="s">
        <v>337</v>
      </c>
      <c r="V100" s="326"/>
      <c r="W100" s="325"/>
      <c r="X100" s="17"/>
      <c r="Y100" s="656" t="str">
        <f>'Master List'!C69</f>
        <v>J. ROCHELLE</v>
      </c>
      <c r="Z100" s="446">
        <f>IF(OR(Z99&gt;" ",INDEX($Q$89:$Q$110,AA99)=0)," ",INDEX($Q$89:$Q$110,AA99))</f>
        <v>3002</v>
      </c>
      <c r="AA100" s="447"/>
      <c r="AB100" s="448"/>
      <c r="AC100" s="446">
        <f>IF(OR(AC99&gt;" ",INDEX($Q$89:$Q$110,AD99)=0)," ",INDEX($Q$89:$Q$110,AD99))</f>
        <v>3002</v>
      </c>
      <c r="AD100" s="447"/>
      <c r="AE100" s="448"/>
      <c r="AF100" s="446">
        <f>IF(OR(AF99&gt;" ",INDEX($Q$89:$Q$110,AG99)=0)," ",INDEX($Q$89:$Q$110,AG99))</f>
        <v>3002</v>
      </c>
      <c r="AG100" s="447"/>
      <c r="AH100" s="448"/>
      <c r="AI100" s="446">
        <f>IF(OR(AI99&gt;" ",INDEX($Q$89:$Q$110,AJ99)=0)," ",INDEX($Q$89:$Q$110,AJ99))</f>
        <v>3001</v>
      </c>
      <c r="AJ100" s="447"/>
      <c r="AK100" s="448"/>
      <c r="AL100" s="446">
        <f>IF(OR(AL99&gt;" ",INDEX($Q$89:$Q$110,AM99)=0)," ",INDEX($Q$89:$Q$110,AM99))</f>
        <v>3001</v>
      </c>
      <c r="AM100" s="447"/>
      <c r="AN100" s="448"/>
      <c r="AO100" s="446" t="str">
        <f>IF(OR(AO99&gt;" ",INDEX($Q$89:$Q$110,AP99)=0)," ",INDEX($Q$89:$Q$110,AP99))</f>
        <v xml:space="preserve"> </v>
      </c>
      <c r="AP100" s="447"/>
      <c r="AQ100" s="448"/>
      <c r="AR100" s="446" t="str">
        <f>IF(OR(AR99&gt;" ",INDEX($Q$89:$Q$110,AS99)=0)," ",INDEX($Q$89:$Q$110,AS99))</f>
        <v xml:space="preserve"> </v>
      </c>
      <c r="AS100" s="447"/>
      <c r="AT100" s="448"/>
      <c r="AU100" s="17"/>
      <c r="AV100" s="364" t="s">
        <v>175</v>
      </c>
      <c r="AX100" s="402" t="s">
        <v>186</v>
      </c>
      <c r="BD100" s="563"/>
      <c r="BE100" s="563"/>
      <c r="BF100" s="563"/>
      <c r="BG100" s="563"/>
      <c r="BH100" s="563"/>
      <c r="BI100" s="563"/>
      <c r="BJ100" s="563"/>
      <c r="BK100" s="563"/>
      <c r="BL100" s="563"/>
      <c r="BM100" s="563"/>
      <c r="BN100" s="563"/>
      <c r="BO100" s="563"/>
      <c r="BP100" s="563"/>
      <c r="BQ100" s="563"/>
      <c r="BR100" s="563"/>
      <c r="BS100" s="563"/>
      <c r="BT100" s="563"/>
      <c r="BU100" s="563"/>
      <c r="BV100" s="563"/>
    </row>
    <row r="101" spans="12:74" ht="18" customHeight="1" x14ac:dyDescent="0.2">
      <c r="L101" s="781" t="str">
        <f>IF(Y100=" "," ",".")</f>
        <v>.</v>
      </c>
      <c r="P101" s="328">
        <v>13</v>
      </c>
      <c r="Q101" s="364" t="s">
        <v>146</v>
      </c>
      <c r="R101" s="375"/>
      <c r="S101" s="17"/>
      <c r="T101" s="330">
        <v>13</v>
      </c>
      <c r="U101" s="785" t="s">
        <v>70</v>
      </c>
      <c r="V101" s="326"/>
      <c r="W101" s="325"/>
      <c r="X101" s="17"/>
      <c r="Y101" s="657"/>
      <c r="Z101" s="491" t="str">
        <f>IF(OR(AA99=19,Z100=" ",INDEX($U$89:$U125,AB99)=0)," ",INDEX($U$89:$U$110,AB99))</f>
        <v xml:space="preserve"> &amp; RECYCLE</v>
      </c>
      <c r="AA101" s="449"/>
      <c r="AB101" s="450"/>
      <c r="AC101" s="491" t="str">
        <f>IF(OR(AD99=19,AC100=" ",INDEX($U$89:$U125,AE99)=0)," ",INDEX($U$89:$U$110,AE99))</f>
        <v xml:space="preserve"> &amp; RECYCLE</v>
      </c>
      <c r="AD101" s="449"/>
      <c r="AE101" s="450"/>
      <c r="AF101" s="491" t="str">
        <f>IF(OR(AG99=19,AF100=" ",INDEX($U$89:$U125,AH99)=0)," ",INDEX($U$89:$U$110,AH99))</f>
        <v xml:space="preserve"> &amp; RECYCLE</v>
      </c>
      <c r="AG101" s="449"/>
      <c r="AH101" s="450"/>
      <c r="AI101" s="491" t="str">
        <f>IF(OR(AJ99=19,AI100=" ",INDEX($U$89:$U125,AK99)=0)," ",INDEX($U$89:$U$110,AK99))</f>
        <v xml:space="preserve"> &amp; RECYCLE</v>
      </c>
      <c r="AJ101" s="449"/>
      <c r="AK101" s="450"/>
      <c r="AL101" s="491" t="str">
        <f>IF(OR(AM99=19,AL100=" ",INDEX($U$89:$U125,AN99)=0)," ",INDEX($U$89:$U$110,AN99))</f>
        <v xml:space="preserve"> &amp; RECYCLE</v>
      </c>
      <c r="AM101" s="449"/>
      <c r="AN101" s="450"/>
      <c r="AO101" s="491" t="str">
        <f>IF(OR(AP99=19,AO100=" ",INDEX($U$89:$U125,AQ99)=0)," ",INDEX($U$89:$U$110,AQ99))</f>
        <v xml:space="preserve"> </v>
      </c>
      <c r="AP101" s="449"/>
      <c r="AQ101" s="450"/>
      <c r="AR101" s="491" t="str">
        <f>IF(OR(AS99=19,AR100=" ",INDEX($U$89:$U125,AT99)=0)," ",INDEX($U$89:$U$110,AT99))</f>
        <v xml:space="preserve"> </v>
      </c>
      <c r="AS101" s="449"/>
      <c r="AT101" s="450"/>
      <c r="AU101" s="17"/>
      <c r="AV101" s="797" t="s">
        <v>56</v>
      </c>
      <c r="AX101" s="145" t="s">
        <v>56</v>
      </c>
      <c r="BD101" s="563"/>
      <c r="BE101" s="563"/>
      <c r="BF101" s="563"/>
      <c r="BG101" s="563"/>
      <c r="BH101" s="563"/>
      <c r="BI101" s="563"/>
      <c r="BJ101" s="563"/>
      <c r="BK101" s="563"/>
      <c r="BL101" s="563"/>
      <c r="BM101" s="563"/>
      <c r="BN101" s="563"/>
      <c r="BO101" s="563"/>
      <c r="BP101" s="563"/>
      <c r="BQ101" s="563"/>
      <c r="BR101" s="563"/>
      <c r="BS101" s="563"/>
      <c r="BT101" s="563"/>
      <c r="BU101" s="563"/>
      <c r="BV101" s="563"/>
    </row>
    <row r="102" spans="12:74" ht="18" customHeight="1" x14ac:dyDescent="0.25">
      <c r="L102" s="781" t="str">
        <f>IF(Y103=" "," ",".")</f>
        <v>.</v>
      </c>
      <c r="P102" s="328">
        <v>14</v>
      </c>
      <c r="Q102" s="364" t="s">
        <v>173</v>
      </c>
      <c r="R102" s="374"/>
      <c r="S102" s="17"/>
      <c r="T102" s="330">
        <v>14</v>
      </c>
      <c r="U102" s="785" t="s">
        <v>72</v>
      </c>
      <c r="V102" s="326"/>
      <c r="W102" s="325"/>
      <c r="X102" s="17"/>
      <c r="Y102" s="655"/>
      <c r="Z102" s="453" t="str">
        <f>B27</f>
        <v>NS</v>
      </c>
      <c r="AA102" s="488">
        <v>3</v>
      </c>
      <c r="AB102" s="454">
        <v>1</v>
      </c>
      <c r="AC102" s="453" t="str">
        <f>C27</f>
        <v xml:space="preserve"> </v>
      </c>
      <c r="AD102" s="443">
        <v>1</v>
      </c>
      <c r="AE102" s="454">
        <v>1</v>
      </c>
      <c r="AF102" s="453" t="str">
        <f>D27</f>
        <v xml:space="preserve"> </v>
      </c>
      <c r="AG102" s="443">
        <v>1</v>
      </c>
      <c r="AH102" s="454">
        <v>1</v>
      </c>
      <c r="AI102" s="453" t="str">
        <f>E27</f>
        <v xml:space="preserve"> </v>
      </c>
      <c r="AJ102" s="488">
        <v>21</v>
      </c>
      <c r="AK102" s="454">
        <v>1</v>
      </c>
      <c r="AL102" s="453" t="str">
        <f>F27</f>
        <v xml:space="preserve"> </v>
      </c>
      <c r="AM102" s="443">
        <v>21</v>
      </c>
      <c r="AN102" s="454">
        <v>1</v>
      </c>
      <c r="AO102" s="453" t="str">
        <f>G27</f>
        <v xml:space="preserve"> </v>
      </c>
      <c r="AP102" s="443">
        <v>22</v>
      </c>
      <c r="AQ102" s="454">
        <v>13</v>
      </c>
      <c r="AR102" s="453" t="str">
        <f>H27</f>
        <v>NS</v>
      </c>
      <c r="AS102" s="443">
        <v>6</v>
      </c>
      <c r="AT102" s="454">
        <v>1</v>
      </c>
      <c r="AU102" s="17"/>
      <c r="AV102" s="405" t="s">
        <v>72</v>
      </c>
      <c r="AX102" s="145" t="s">
        <v>56</v>
      </c>
      <c r="BD102" s="563"/>
      <c r="BE102" s="563"/>
      <c r="BF102" s="563"/>
      <c r="BG102" s="563"/>
      <c r="BH102" s="563"/>
      <c r="BI102" s="563"/>
      <c r="BJ102" s="563"/>
      <c r="BK102" s="563"/>
      <c r="BL102" s="563"/>
      <c r="BM102" s="563"/>
      <c r="BN102" s="563"/>
      <c r="BO102" s="563"/>
      <c r="BP102" s="563"/>
      <c r="BQ102" s="563"/>
      <c r="BR102" s="563"/>
      <c r="BS102" s="563"/>
      <c r="BT102" s="563"/>
      <c r="BU102" s="563"/>
      <c r="BV102" s="563"/>
    </row>
    <row r="103" spans="12:74" ht="18" customHeight="1" x14ac:dyDescent="0.2">
      <c r="L103" s="781" t="str">
        <f>IF(Y103=" "," ",".")</f>
        <v>.</v>
      </c>
      <c r="P103" s="328">
        <v>15</v>
      </c>
      <c r="Q103" s="364" t="s">
        <v>174</v>
      </c>
      <c r="R103" s="375"/>
      <c r="S103" s="17"/>
      <c r="T103" s="330">
        <v>15</v>
      </c>
      <c r="U103" s="785" t="s">
        <v>137</v>
      </c>
      <c r="V103" s="326"/>
      <c r="W103" s="325"/>
      <c r="X103" s="17"/>
      <c r="Y103" s="656" t="str">
        <f>'Master List'!C70</f>
        <v>J. ADAMS</v>
      </c>
      <c r="Z103" s="446" t="str">
        <f>IF(OR(Z102&gt;" ",INDEX($Q$89:$Q$110,AA102)=0)," ",INDEX($Q$89:$Q$110,AA102))</f>
        <v xml:space="preserve"> </v>
      </c>
      <c r="AA103" s="447"/>
      <c r="AB103" s="448"/>
      <c r="AC103" s="446" t="str">
        <f>IF(OR(AC102&gt;" ",INDEX($Q$89:$Q$110,AD102)=0)," ",INDEX($Q$89:$Q$110,AD102))</f>
        <v>LEAD</v>
      </c>
      <c r="AD103" s="447"/>
      <c r="AE103" s="448"/>
      <c r="AF103" s="446" t="str">
        <f>IF(OR(AF102&gt;" ",INDEX($Q$89:$Q$110,AG102)=0)," ",INDEX($Q$89:$Q$110,AG102))</f>
        <v>LEAD</v>
      </c>
      <c r="AG103" s="447"/>
      <c r="AH103" s="448"/>
      <c r="AI103" s="446">
        <f>IF(OR(AI102&gt;" ",INDEX($Q$89:$Q$110,AJ102)=0)," ",INDEX($Q$89:$Q$110,AJ102))</f>
        <v>3005</v>
      </c>
      <c r="AJ103" s="447"/>
      <c r="AK103" s="448"/>
      <c r="AL103" s="446">
        <f>IF(OR(AL102&gt;" ",INDEX($Q$89:$Q$110,AM102)=0)," ",INDEX($Q$89:$Q$110,AM102))</f>
        <v>3005</v>
      </c>
      <c r="AM103" s="447"/>
      <c r="AN103" s="448"/>
      <c r="AO103" s="446" t="str">
        <f>IF(OR(AO102&gt;" ",INDEX($Q$89:$Q$110,AP102)=0)," ",INDEX($Q$89:$Q$110,AP102))</f>
        <v>.</v>
      </c>
      <c r="AP103" s="447"/>
      <c r="AQ103" s="448"/>
      <c r="AR103" s="446" t="str">
        <f>IF(OR(AR102&gt;" ",INDEX($Q$89:$Q$110,AS102)=0)," ",INDEX($Q$89:$Q$110,AS102))</f>
        <v xml:space="preserve"> </v>
      </c>
      <c r="AS103" s="447"/>
      <c r="AT103" s="448"/>
      <c r="AU103" s="17"/>
      <c r="AV103" s="364" t="s">
        <v>70</v>
      </c>
      <c r="AX103" s="145" t="s">
        <v>56</v>
      </c>
      <c r="BD103" s="563"/>
      <c r="BE103" s="563"/>
      <c r="BF103" s="563"/>
      <c r="BG103" s="563"/>
      <c r="BH103" s="563"/>
      <c r="BI103" s="563"/>
      <c r="BJ103" s="563"/>
      <c r="BK103" s="563"/>
      <c r="BL103" s="563"/>
      <c r="BM103" s="563"/>
      <c r="BN103" s="563"/>
      <c r="BO103" s="563"/>
      <c r="BP103" s="563"/>
      <c r="BQ103" s="563"/>
      <c r="BR103" s="563"/>
      <c r="BS103" s="563"/>
      <c r="BT103" s="563"/>
      <c r="BU103" s="563"/>
      <c r="BV103" s="563"/>
    </row>
    <row r="104" spans="12:74" ht="18" customHeight="1" x14ac:dyDescent="0.25">
      <c r="L104" s="781" t="str">
        <f>IF(Y103=" "," ",".")</f>
        <v>.</v>
      </c>
      <c r="P104" s="328">
        <v>16</v>
      </c>
      <c r="Q104" s="364" t="s">
        <v>175</v>
      </c>
      <c r="R104" s="374"/>
      <c r="S104" s="17"/>
      <c r="T104" s="330">
        <v>16</v>
      </c>
      <c r="U104" s="822" t="s">
        <v>315</v>
      </c>
      <c r="V104" s="326"/>
      <c r="W104" s="325"/>
      <c r="X104" s="17"/>
      <c r="Y104" s="657"/>
      <c r="Z104" s="491" t="str">
        <f>IF(OR(AA102=19,Z103=" ",INDEX($U$89:$U128,AB102)=0)," ",INDEX($U$89:$U$110,AB102))</f>
        <v xml:space="preserve"> </v>
      </c>
      <c r="AA104" s="449"/>
      <c r="AB104" s="450"/>
      <c r="AC104" s="491" t="str">
        <f>IF(OR(AD102=19,AC103=" ",INDEX($U$89:$U128,AE102)=0)," ",INDEX($U$89:$U$110,AE102))</f>
        <v xml:space="preserve"> &amp; RECYCLE</v>
      </c>
      <c r="AD104" s="449"/>
      <c r="AE104" s="450"/>
      <c r="AF104" s="491" t="str">
        <f>IF(OR(AG102=19,AF103=" ",INDEX($U$89:$U128,AH102)=0)," ",INDEX($U$89:$U$110,AH102))</f>
        <v xml:space="preserve"> &amp; RECYCLE</v>
      </c>
      <c r="AG104" s="449"/>
      <c r="AH104" s="450"/>
      <c r="AI104" s="491" t="str">
        <f>IF(OR(AJ102=19,AI103=" ",INDEX($U$89:$U128,AK102)=0)," ",INDEX($U$89:$U$110,AK102))</f>
        <v xml:space="preserve"> &amp; RECYCLE</v>
      </c>
      <c r="AJ104" s="449"/>
      <c r="AK104" s="450"/>
      <c r="AL104" s="491" t="str">
        <f>IF(OR(AM102=19,AL103=" ",INDEX($U$89:$U128,AN102)=0)," ",INDEX($U$89:$U$110,AN102))</f>
        <v xml:space="preserve"> &amp; RECYCLE</v>
      </c>
      <c r="AM104" s="449"/>
      <c r="AN104" s="450"/>
      <c r="AO104" s="491" t="str">
        <f>IF(OR(AP102=19,AO103=" ",INDEX($U$89:$U128,AQ102)=0)," ",INDEX($U$89:$U$110,AQ102))</f>
        <v>RECYCLE</v>
      </c>
      <c r="AP104" s="449"/>
      <c r="AQ104" s="450"/>
      <c r="AR104" s="491" t="str">
        <f>IF(OR(AS102=19,AR103=" ",INDEX($U$89:$U128,AT102)=0)," ",INDEX($U$89:$U$110,AT102))</f>
        <v xml:space="preserve"> </v>
      </c>
      <c r="AS104" s="449"/>
      <c r="AT104" s="450"/>
      <c r="AU104" s="17"/>
      <c r="AV104" s="796" t="s">
        <v>56</v>
      </c>
      <c r="AX104" s="2" t="s">
        <v>56</v>
      </c>
      <c r="BD104" s="563"/>
      <c r="BE104" s="563"/>
      <c r="BF104" s="563"/>
      <c r="BG104" s="563"/>
      <c r="BH104" s="563"/>
      <c r="BI104" s="563"/>
      <c r="BJ104" s="563"/>
      <c r="BK104" s="563"/>
      <c r="BL104" s="563"/>
      <c r="BM104" s="563"/>
      <c r="BN104" s="563"/>
      <c r="BO104" s="563"/>
      <c r="BP104" s="563"/>
      <c r="BQ104" s="563"/>
      <c r="BR104" s="563"/>
      <c r="BS104" s="563"/>
      <c r="BT104" s="563"/>
      <c r="BU104" s="563"/>
      <c r="BV104" s="563"/>
    </row>
    <row r="105" spans="12:74" ht="18" customHeight="1" x14ac:dyDescent="0.2">
      <c r="L105" s="781" t="str">
        <f>IF(Y106=" "," ",".")</f>
        <v>.</v>
      </c>
      <c r="P105" s="328">
        <v>17</v>
      </c>
      <c r="Q105" s="823">
        <v>3001</v>
      </c>
      <c r="R105" s="375"/>
      <c r="S105" s="17"/>
      <c r="T105" s="330">
        <v>17</v>
      </c>
      <c r="U105" s="822" t="s">
        <v>140</v>
      </c>
      <c r="V105" s="326"/>
      <c r="W105" s="325"/>
      <c r="X105" s="17"/>
      <c r="Y105" s="655"/>
      <c r="Z105" s="453" t="str">
        <f>B31</f>
        <v>SL</v>
      </c>
      <c r="AA105" s="443">
        <v>18</v>
      </c>
      <c r="AB105" s="454">
        <v>18</v>
      </c>
      <c r="AC105" s="453" t="str">
        <f>C31</f>
        <v>SL</v>
      </c>
      <c r="AD105" s="443">
        <v>18</v>
      </c>
      <c r="AE105" s="454">
        <v>18</v>
      </c>
      <c r="AF105" s="453" t="str">
        <f>D31</f>
        <v>NS</v>
      </c>
      <c r="AG105" s="443">
        <v>18</v>
      </c>
      <c r="AH105" s="454">
        <v>18</v>
      </c>
      <c r="AI105" s="453" t="str">
        <f>E31</f>
        <v>NS</v>
      </c>
      <c r="AJ105" s="443">
        <v>11</v>
      </c>
      <c r="AK105" s="454">
        <v>1</v>
      </c>
      <c r="AL105" s="453" t="str">
        <f>F31</f>
        <v>SL</v>
      </c>
      <c r="AM105" s="443">
        <v>18</v>
      </c>
      <c r="AN105" s="454">
        <v>18</v>
      </c>
      <c r="AO105" s="453" t="str">
        <f>G31</f>
        <v>SL</v>
      </c>
      <c r="AP105" s="443">
        <v>18</v>
      </c>
      <c r="AQ105" s="454">
        <v>18</v>
      </c>
      <c r="AR105" s="453" t="str">
        <f>H31</f>
        <v>SL</v>
      </c>
      <c r="AS105" s="443">
        <v>18</v>
      </c>
      <c r="AT105" s="454">
        <v>18</v>
      </c>
      <c r="AU105" s="17"/>
      <c r="AV105" s="2" t="s">
        <v>56</v>
      </c>
      <c r="AX105" s="2" t="s">
        <v>56</v>
      </c>
      <c r="BD105" s="563"/>
      <c r="BE105" s="563"/>
      <c r="BF105" s="563"/>
      <c r="BG105" s="563"/>
      <c r="BH105" s="563"/>
      <c r="BI105" s="563"/>
      <c r="BJ105" s="563"/>
      <c r="BK105" s="563"/>
      <c r="BL105" s="563"/>
      <c r="BM105" s="563"/>
      <c r="BN105" s="563"/>
      <c r="BO105" s="563"/>
      <c r="BP105" s="563"/>
      <c r="BQ105" s="563"/>
      <c r="BR105" s="563"/>
      <c r="BS105" s="563"/>
      <c r="BT105" s="563"/>
      <c r="BU105" s="563"/>
      <c r="BV105" s="563"/>
    </row>
    <row r="106" spans="12:74" ht="18" customHeight="1" x14ac:dyDescent="0.2">
      <c r="L106" s="781" t="str">
        <f>IF(Y106=" "," ",".")</f>
        <v>.</v>
      </c>
      <c r="P106" s="328">
        <v>18</v>
      </c>
      <c r="Q106" s="365">
        <v>3002</v>
      </c>
      <c r="R106" s="327"/>
      <c r="S106" s="17"/>
      <c r="T106" s="330">
        <v>18</v>
      </c>
      <c r="U106" s="799" t="s">
        <v>136</v>
      </c>
      <c r="V106" s="326"/>
      <c r="W106" s="325"/>
      <c r="X106" s="17"/>
      <c r="Y106" s="656" t="str">
        <f>'Master List'!C71</f>
        <v>D. WALLACE</v>
      </c>
      <c r="Z106" s="446" t="str">
        <f>IF(OR(Z105&gt;" ",INDEX($Q$89:$Q$110,AA105)=0)," ",INDEX($Q$89:$Q$110,AA105))</f>
        <v xml:space="preserve"> </v>
      </c>
      <c r="AA106" s="447"/>
      <c r="AB106" s="448"/>
      <c r="AC106" s="446" t="str">
        <f>IF(OR(AC105&gt;" ",INDEX($Q$89:$Q$110,AD105)=0)," ",INDEX($Q$89:$Q$110,AD105))</f>
        <v xml:space="preserve"> </v>
      </c>
      <c r="AD106" s="447"/>
      <c r="AE106" s="448"/>
      <c r="AF106" s="446" t="str">
        <f>IF(OR(AF105&gt;" ",INDEX($Q$89:$Q$110,AG105)=0)," ",INDEX($Q$89:$Q$110,AG105))</f>
        <v xml:space="preserve"> </v>
      </c>
      <c r="AG106" s="447"/>
      <c r="AH106" s="448"/>
      <c r="AI106" s="446" t="str">
        <f>IF(OR(AI105&gt;" ",INDEX($Q$89:$Q$110,AJ105)=0)," ",INDEX($Q$89:$Q$110,AJ105))</f>
        <v xml:space="preserve"> </v>
      </c>
      <c r="AJ106" s="447"/>
      <c r="AK106" s="448"/>
      <c r="AL106" s="446" t="str">
        <f>IF(OR(AL105&gt;" ",INDEX($Q$89:$Q$110,AM105)=0)," ",INDEX($Q$89:$Q$110,AM105))</f>
        <v xml:space="preserve"> </v>
      </c>
      <c r="AM106" s="447"/>
      <c r="AN106" s="448"/>
      <c r="AO106" s="446" t="str">
        <f>IF(OR(AO105&gt;" ",INDEX($Q$89:$Q$110,AP105)=0)," ",INDEX($Q$89:$Q$110,AP105))</f>
        <v xml:space="preserve"> </v>
      </c>
      <c r="AP106" s="447"/>
      <c r="AQ106" s="448"/>
      <c r="AR106" s="446" t="str">
        <f>IF(OR(AR105&gt;" ",INDEX($Q$89:$Q$110,AS105)=0)," ",INDEX($Q$89:$Q$110,AS105))</f>
        <v xml:space="preserve"> </v>
      </c>
      <c r="AS106" s="447"/>
      <c r="AT106" s="448"/>
      <c r="AU106" s="17"/>
      <c r="AV106" s="2" t="s">
        <v>56</v>
      </c>
      <c r="AX106" s="2" t="s">
        <v>56</v>
      </c>
    </row>
    <row r="107" spans="12:74" ht="18" customHeight="1" x14ac:dyDescent="0.2">
      <c r="L107" s="781" t="str">
        <f>IF(Y106=" "," ",".")</f>
        <v>.</v>
      </c>
      <c r="P107" s="328">
        <v>19</v>
      </c>
      <c r="Q107" s="365">
        <v>3003</v>
      </c>
      <c r="R107" s="327"/>
      <c r="S107" s="17"/>
      <c r="T107" s="330">
        <v>19</v>
      </c>
      <c r="U107" s="329" t="s">
        <v>75</v>
      </c>
      <c r="V107" s="326"/>
      <c r="W107" s="325"/>
      <c r="X107" s="17"/>
      <c r="Y107" s="657"/>
      <c r="Z107" s="491" t="str">
        <f>IF(OR(AA105=19,Z106=" ",INDEX($U$89:$U131,AB105)=0)," ",INDEX($U$89:$U$110,AB105))</f>
        <v xml:space="preserve"> </v>
      </c>
      <c r="AA107" s="449"/>
      <c r="AB107" s="450"/>
      <c r="AC107" s="491" t="str">
        <f>IF(OR(AD105=19,AC106=" ",INDEX($U$89:$U131,AE105)=0)," ",INDEX($U$89:$U$110,AE105))</f>
        <v xml:space="preserve"> </v>
      </c>
      <c r="AD107" s="449"/>
      <c r="AE107" s="450"/>
      <c r="AF107" s="491" t="str">
        <f>IF(OR(AG105=19,AF106=" ",INDEX($U$89:$U131,AH105)=0)," ",INDEX($U$89:$U$110,AH105))</f>
        <v xml:space="preserve"> </v>
      </c>
      <c r="AG107" s="449"/>
      <c r="AH107" s="450"/>
      <c r="AI107" s="491" t="str">
        <f>IF(OR(AJ105=19,AI106=" ",INDEX($U$89:$U131,AK105)=0)," ",INDEX($U$89:$U$110,AK105))</f>
        <v xml:space="preserve"> </v>
      </c>
      <c r="AJ107" s="449"/>
      <c r="AK107" s="450"/>
      <c r="AL107" s="491" t="str">
        <f>IF(OR(AM105=19,AL106=" ",INDEX($U$89:$U131,AN105)=0)," ",INDEX($U$89:$U$110,AN105))</f>
        <v xml:space="preserve"> </v>
      </c>
      <c r="AM107" s="449"/>
      <c r="AN107" s="450"/>
      <c r="AO107" s="491" t="str">
        <f>IF(OR(AP105=19,AO106=" ",INDEX($U$89:$U131,AQ105)=0)," ",INDEX($U$89:$U$110,AQ105))</f>
        <v xml:space="preserve"> </v>
      </c>
      <c r="AP107" s="449"/>
      <c r="AQ107" s="450"/>
      <c r="AR107" s="491" t="str">
        <f>IF(OR(AS105=19,AR106=" ",INDEX($U$89:$U131,AT105)=0)," ",INDEX($U$89:$U$110,AT105))</f>
        <v xml:space="preserve"> </v>
      </c>
      <c r="AS107" s="449"/>
      <c r="AT107" s="450"/>
      <c r="AU107" s="17"/>
      <c r="AV107" s="2" t="s">
        <v>56</v>
      </c>
      <c r="AX107" s="2" t="s">
        <v>56</v>
      </c>
    </row>
    <row r="108" spans="12:74" ht="18" customHeight="1" x14ac:dyDescent="0.2">
      <c r="L108" s="781" t="str">
        <f>IF(Y109=" "," ",".")</f>
        <v>.</v>
      </c>
      <c r="P108" s="328">
        <v>20</v>
      </c>
      <c r="Q108" s="365">
        <v>3004</v>
      </c>
      <c r="R108" s="339"/>
      <c r="S108" s="17"/>
      <c r="T108" s="330">
        <v>20</v>
      </c>
      <c r="U108" s="768" t="s">
        <v>56</v>
      </c>
      <c r="V108" s="329" t="s">
        <v>164</v>
      </c>
      <c r="W108" s="325"/>
      <c r="X108" s="17"/>
      <c r="Y108" s="655"/>
      <c r="Z108" s="453" t="str">
        <f>B35</f>
        <v xml:space="preserve"> </v>
      </c>
      <c r="AA108" s="488">
        <v>22</v>
      </c>
      <c r="AB108" s="454">
        <v>18</v>
      </c>
      <c r="AC108" s="453" t="str">
        <f>C35</f>
        <v xml:space="preserve"> </v>
      </c>
      <c r="AD108" s="443">
        <v>22</v>
      </c>
      <c r="AE108" s="454">
        <v>18</v>
      </c>
      <c r="AF108" s="453" t="str">
        <f>D35</f>
        <v xml:space="preserve"> </v>
      </c>
      <c r="AG108" s="443">
        <v>22</v>
      </c>
      <c r="AH108" s="454">
        <v>18</v>
      </c>
      <c r="AI108" s="453" t="str">
        <f>E35</f>
        <v>NS</v>
      </c>
      <c r="AJ108" s="443">
        <v>18</v>
      </c>
      <c r="AK108" s="454">
        <v>1</v>
      </c>
      <c r="AL108" s="453" t="str">
        <f>F35</f>
        <v>NS</v>
      </c>
      <c r="AM108" s="443">
        <v>18</v>
      </c>
      <c r="AN108" s="454">
        <v>1</v>
      </c>
      <c r="AO108" s="453" t="str">
        <f>G35</f>
        <v xml:space="preserve"> </v>
      </c>
      <c r="AP108" s="443">
        <v>22</v>
      </c>
      <c r="AQ108" s="454">
        <v>18</v>
      </c>
      <c r="AR108" s="453" t="str">
        <f>H35</f>
        <v xml:space="preserve"> </v>
      </c>
      <c r="AS108" s="443">
        <v>22</v>
      </c>
      <c r="AT108" s="454">
        <v>18</v>
      </c>
      <c r="AU108" s="17"/>
    </row>
    <row r="109" spans="12:74" ht="18" customHeight="1" x14ac:dyDescent="0.2">
      <c r="L109" s="781" t="str">
        <f>IF(Y109=" "," ",".")</f>
        <v>.</v>
      </c>
      <c r="P109" s="328">
        <v>21</v>
      </c>
      <c r="Q109" s="365">
        <v>3005</v>
      </c>
      <c r="R109" s="321"/>
      <c r="S109" s="17"/>
      <c r="T109" s="331"/>
      <c r="U109" s="332" t="s">
        <v>56</v>
      </c>
      <c r="V109" s="332"/>
      <c r="W109" s="325"/>
      <c r="X109" s="17"/>
      <c r="Y109" s="656" t="str">
        <f>'Master List'!C72</f>
        <v>R. JACKSON</v>
      </c>
      <c r="Z109" s="446" t="str">
        <f>IF(OR(Z108&gt;" ",INDEX($Q$89:$Q$110,AA108)=0)," ",INDEX($Q$89:$Q$110,AA108))</f>
        <v>.</v>
      </c>
      <c r="AA109" s="447"/>
      <c r="AB109" s="448"/>
      <c r="AC109" s="446" t="str">
        <f>IF(OR(AC108&gt;" ",INDEX($Q$89:$Q$110,AD108)=0)," ",INDEX($Q$89:$Q$110,AD108))</f>
        <v>.</v>
      </c>
      <c r="AD109" s="447"/>
      <c r="AE109" s="448"/>
      <c r="AF109" s="446" t="str">
        <f>IF(OR(AF108&gt;" ",INDEX($Q$89:$Q$110,AG108)=0)," ",INDEX($Q$89:$Q$110,AG108))</f>
        <v>.</v>
      </c>
      <c r="AG109" s="447"/>
      <c r="AH109" s="448"/>
      <c r="AI109" s="446" t="str">
        <f>IF(OR(AI108&gt;" ",INDEX($Q$89:$Q$110,AJ108)=0)," ",INDEX($Q$89:$Q$110,AJ108))</f>
        <v xml:space="preserve"> </v>
      </c>
      <c r="AJ109" s="447"/>
      <c r="AK109" s="448"/>
      <c r="AL109" s="446" t="str">
        <f>IF(OR(AL108&gt;" ",INDEX($Q$89:$Q$110,AM108)=0)," ",INDEX($Q$89:$Q$110,AM108))</f>
        <v xml:space="preserve"> </v>
      </c>
      <c r="AM109" s="447"/>
      <c r="AN109" s="448"/>
      <c r="AO109" s="446" t="str">
        <f>IF(OR(AO108&gt;" ",INDEX($Q$89:$Q$110,AP108)=0)," ",INDEX($Q$89:$Q$110,AP108))</f>
        <v>.</v>
      </c>
      <c r="AP109" s="447"/>
      <c r="AQ109" s="448"/>
      <c r="AR109" s="446" t="str">
        <f>IF(OR(AR108&gt;" ",INDEX($Q$89:$Q$110,AS108)=0)," ",INDEX($Q$89:$Q$110,AS108))</f>
        <v>.</v>
      </c>
      <c r="AS109" s="447"/>
      <c r="AT109" s="448"/>
      <c r="AU109" s="17"/>
    </row>
    <row r="110" spans="12:74" ht="18" customHeight="1" x14ac:dyDescent="0.2">
      <c r="L110" s="781" t="str">
        <f>IF(Y109=" "," ",".")</f>
        <v>.</v>
      </c>
      <c r="O110" s="17"/>
      <c r="P110" s="328">
        <v>22</v>
      </c>
      <c r="Q110" s="365" t="s">
        <v>333</v>
      </c>
      <c r="R110" s="321" t="s">
        <v>73</v>
      </c>
      <c r="S110" s="17"/>
      <c r="T110" s="17"/>
      <c r="U110" s="17" t="s">
        <v>56</v>
      </c>
      <c r="V110" s="17"/>
      <c r="W110" s="17"/>
      <c r="X110" s="17"/>
      <c r="Y110" s="657"/>
      <c r="Z110" s="491" t="str">
        <f>IF(OR(AA108=19,Z109=" ",INDEX($U$89:$U134,AB108)=0)," ",INDEX($U$89:$U$110,AB108))</f>
        <v>DBCS</v>
      </c>
      <c r="AA110" s="449"/>
      <c r="AB110" s="450"/>
      <c r="AC110" s="491" t="str">
        <f>IF(OR(AD108=19,AC109=" ",INDEX($U$89:$U134,AE108)=0)," ",INDEX($U$89:$U$110,AE108))</f>
        <v>DBCS</v>
      </c>
      <c r="AD110" s="449"/>
      <c r="AE110" s="450"/>
      <c r="AF110" s="491" t="str">
        <f>IF(OR(AG108=19,AF109=" ",INDEX($U$89:$U134,AH108)=0)," ",INDEX($U$89:$U$110,AH108))</f>
        <v>DBCS</v>
      </c>
      <c r="AG110" s="449"/>
      <c r="AH110" s="450"/>
      <c r="AI110" s="491" t="str">
        <f>IF(OR(AJ108=19,AI109=" ",INDEX($U$89:$U134,AK108)=0)," ",INDEX($U$89:$U$110,AK108))</f>
        <v xml:space="preserve"> </v>
      </c>
      <c r="AJ110" s="449"/>
      <c r="AK110" s="450"/>
      <c r="AL110" s="491" t="str">
        <f>IF(OR(AM108=19,AL109=" ",INDEX($U$89:$U134,AN108)=0)," ",INDEX($U$89:$U$110,AN108))</f>
        <v xml:space="preserve"> </v>
      </c>
      <c r="AM110" s="449"/>
      <c r="AN110" s="450"/>
      <c r="AO110" s="491" t="str">
        <f>IF(OR(AP108=19,AO109=" ",INDEX($U$89:$U134,AQ108)=0)," ",INDEX($U$89:$U$110,AQ108))</f>
        <v>DBCS</v>
      </c>
      <c r="AP110" s="449"/>
      <c r="AQ110" s="450"/>
      <c r="AR110" s="491" t="str">
        <f>IF(OR(AS108=19,AR109=" ",INDEX($U$89:$U134,AT108)=0)," ",INDEX($U$89:$U$110,AT108))</f>
        <v>DBCS</v>
      </c>
      <c r="AS110" s="449"/>
      <c r="AT110" s="450"/>
      <c r="AU110" s="17"/>
    </row>
    <row r="111" spans="12:74" ht="18" customHeight="1" x14ac:dyDescent="0.2">
      <c r="L111" s="781" t="str">
        <f>IF(Y112=" "," ",".")</f>
        <v>.</v>
      </c>
      <c r="O111" s="17"/>
      <c r="P111" s="17"/>
      <c r="Q111" s="17" t="s">
        <v>56</v>
      </c>
      <c r="R111" s="17"/>
      <c r="S111" s="17"/>
      <c r="T111" s="17"/>
      <c r="U111" s="17" t="s">
        <v>56</v>
      </c>
      <c r="V111" s="17"/>
      <c r="W111" s="17"/>
      <c r="X111" s="17"/>
      <c r="Y111" s="655"/>
      <c r="Z111" s="453" t="str">
        <f>B39</f>
        <v>*</v>
      </c>
      <c r="AA111" s="443">
        <v>10</v>
      </c>
      <c r="AB111" s="454">
        <v>1</v>
      </c>
      <c r="AC111" s="453" t="str">
        <f>C39</f>
        <v>*</v>
      </c>
      <c r="AD111" s="443">
        <v>15</v>
      </c>
      <c r="AE111" s="454">
        <v>1</v>
      </c>
      <c r="AF111" s="453" t="str">
        <f>D39</f>
        <v>*</v>
      </c>
      <c r="AG111" s="443">
        <v>18</v>
      </c>
      <c r="AH111" s="454">
        <v>17</v>
      </c>
      <c r="AI111" s="453" t="str">
        <f>E39</f>
        <v>*</v>
      </c>
      <c r="AJ111" s="443">
        <v>18</v>
      </c>
      <c r="AK111" s="454">
        <v>17</v>
      </c>
      <c r="AL111" s="453" t="str">
        <f>F39</f>
        <v>*</v>
      </c>
      <c r="AM111" s="443">
        <v>18</v>
      </c>
      <c r="AN111" s="454">
        <v>17</v>
      </c>
      <c r="AO111" s="453" t="str">
        <f>G39</f>
        <v>*</v>
      </c>
      <c r="AP111" s="443">
        <v>18</v>
      </c>
      <c r="AQ111" s="454">
        <v>17</v>
      </c>
      <c r="AR111" s="453" t="str">
        <f>H39</f>
        <v>*</v>
      </c>
      <c r="AS111" s="443">
        <v>18</v>
      </c>
      <c r="AT111" s="454">
        <v>17</v>
      </c>
      <c r="AU111" s="17"/>
    </row>
    <row r="112" spans="12:74" ht="18" customHeight="1" x14ac:dyDescent="0.2">
      <c r="L112" s="781" t="str">
        <f>IF(Y112=" "," ",".")</f>
        <v>.</v>
      </c>
      <c r="P112" s="17"/>
      <c r="Q112" s="2" t="s">
        <v>56</v>
      </c>
      <c r="T112" s="17"/>
      <c r="U112" s="17" t="s">
        <v>56</v>
      </c>
      <c r="V112" s="17"/>
      <c r="W112" s="17"/>
      <c r="X112" s="17"/>
      <c r="Y112" s="656" t="str">
        <f>'Master List'!C73</f>
        <v>P. BIRRING</v>
      </c>
      <c r="Z112" s="446" t="str">
        <f>IF(OR(Z111&gt;" ",INDEX($Q$89:$Q$110,AA111)=0)," ",INDEX($Q$89:$Q$110,AA111))</f>
        <v xml:space="preserve"> </v>
      </c>
      <c r="AA112" s="447"/>
      <c r="AB112" s="448"/>
      <c r="AC112" s="446" t="str">
        <f>IF(OR(AC111&gt;" ",INDEX($Q$89:$Q$110,AD111)=0)," ",INDEX($Q$89:$Q$110,AD111))</f>
        <v xml:space="preserve"> </v>
      </c>
      <c r="AD112" s="447"/>
      <c r="AE112" s="448"/>
      <c r="AF112" s="446" t="str">
        <f>IF(OR(AF111&gt;" ",INDEX($Q$89:$Q$110,AG111)=0)," ",INDEX($Q$89:$Q$110,AG111))</f>
        <v xml:space="preserve"> </v>
      </c>
      <c r="AG112" s="447"/>
      <c r="AH112" s="448"/>
      <c r="AI112" s="446" t="str">
        <f>IF(OR(AI111&gt;" ",INDEX($Q$89:$Q$110,AJ111)=0)," ",INDEX($Q$89:$Q$110,AJ111))</f>
        <v xml:space="preserve"> </v>
      </c>
      <c r="AJ112" s="447"/>
      <c r="AK112" s="448"/>
      <c r="AL112" s="446" t="str">
        <f>IF(OR(AL111&gt;" ",INDEX($Q$89:$Q$110,AM111)=0)," ",INDEX($Q$89:$Q$110,AM111))</f>
        <v xml:space="preserve"> </v>
      </c>
      <c r="AM112" s="447"/>
      <c r="AN112" s="448"/>
      <c r="AO112" s="446" t="str">
        <f>IF(OR(AO111&gt;" ",INDEX($Q$89:$Q$110,AP111)=0)," ",INDEX($Q$89:$Q$110,AP111))</f>
        <v xml:space="preserve"> </v>
      </c>
      <c r="AP112" s="447"/>
      <c r="AQ112" s="448"/>
      <c r="AR112" s="446" t="str">
        <f>IF(OR(AR111&gt;" ",INDEX($Q$89:$Q$110,AS111)=0)," ",INDEX($Q$89:$Q$110,AS111))</f>
        <v xml:space="preserve"> </v>
      </c>
      <c r="AS112" s="447"/>
      <c r="AT112" s="448"/>
      <c r="AU112" s="17"/>
    </row>
    <row r="113" spans="12:47" ht="18" customHeight="1" x14ac:dyDescent="0.2">
      <c r="L113" s="781" t="str">
        <f>IF(Y112=" "," ",".")</f>
        <v>.</v>
      </c>
      <c r="P113" s="17"/>
      <c r="T113" s="17"/>
      <c r="U113" s="17" t="s">
        <v>56</v>
      </c>
      <c r="V113" s="17"/>
      <c r="W113" s="17"/>
      <c r="X113" s="17"/>
      <c r="Y113" s="657"/>
      <c r="Z113" s="491" t="str">
        <f>IF(OR(AA111=19,Z112=" ",INDEX($U$89:$U137,AB111)=0)," ",INDEX($U$89:$U$110,AB111))</f>
        <v xml:space="preserve"> </v>
      </c>
      <c r="AA113" s="449"/>
      <c r="AB113" s="450"/>
      <c r="AC113" s="491" t="str">
        <f>IF(OR(AD111=19,AC112=" ",INDEX($U$89:$U137,AE111)=0)," ",INDEX($U$89:$U$110,AE111))</f>
        <v xml:space="preserve"> </v>
      </c>
      <c r="AD113" s="449"/>
      <c r="AE113" s="450"/>
      <c r="AF113" s="491" t="str">
        <f>IF(OR(AG111=19,AF112=" ",INDEX($U$89:$U137,AH111)=0)," ",INDEX($U$89:$U$110,AH111))</f>
        <v xml:space="preserve"> </v>
      </c>
      <c r="AG113" s="449"/>
      <c r="AH113" s="450"/>
      <c r="AI113" s="491" t="str">
        <f>IF(OR(AJ111=19,AI112=" ",INDEX($U$89:$U137,AK111)=0)," ",INDEX($U$89:$U$110,AK111))</f>
        <v xml:space="preserve"> </v>
      </c>
      <c r="AJ113" s="449"/>
      <c r="AK113" s="450"/>
      <c r="AL113" s="491" t="str">
        <f>IF(OR(AM111=19,AL112=" ",INDEX($U$89:$U137,AN111)=0)," ",INDEX($U$89:$U$110,AN111))</f>
        <v xml:space="preserve"> </v>
      </c>
      <c r="AM113" s="449"/>
      <c r="AN113" s="450"/>
      <c r="AO113" s="491" t="str">
        <f>IF(OR(AP111=19,AO112=" ",INDEX($U$89:$U137,AQ111)=0)," ",INDEX($U$89:$U$110,AQ111))</f>
        <v xml:space="preserve"> </v>
      </c>
      <c r="AP113" s="449"/>
      <c r="AQ113" s="450"/>
      <c r="AR113" s="491" t="str">
        <f>IF(OR(AS111=19,AR112=" ",INDEX($U$89:$U137,AT111)=0)," ",INDEX($U$89:$U$110,AT111))</f>
        <v xml:space="preserve"> </v>
      </c>
      <c r="AS113" s="449"/>
      <c r="AT113" s="450"/>
      <c r="AU113" s="17"/>
    </row>
    <row r="114" spans="12:47" ht="18" customHeight="1" x14ac:dyDescent="0.2">
      <c r="L114" s="781" t="str">
        <f>IF(Y115=" "," ",".")</f>
        <v>.</v>
      </c>
      <c r="O114" s="17"/>
      <c r="P114" s="17"/>
      <c r="Q114" s="17"/>
      <c r="R114" s="17"/>
      <c r="S114" s="17"/>
      <c r="T114" s="17"/>
      <c r="U114" s="17" t="s">
        <v>56</v>
      </c>
      <c r="V114" s="17"/>
      <c r="W114" s="17"/>
      <c r="X114" s="17"/>
      <c r="Y114" s="655"/>
      <c r="Z114" s="453" t="str">
        <f>B43</f>
        <v xml:space="preserve"> </v>
      </c>
      <c r="AA114" s="443">
        <v>22</v>
      </c>
      <c r="AB114" s="454">
        <v>18</v>
      </c>
      <c r="AC114" s="453" t="str">
        <f>C43</f>
        <v xml:space="preserve"> </v>
      </c>
      <c r="AD114" s="443">
        <v>22</v>
      </c>
      <c r="AE114" s="454">
        <v>18</v>
      </c>
      <c r="AF114" s="453" t="str">
        <f>D43</f>
        <v xml:space="preserve"> </v>
      </c>
      <c r="AG114" s="443">
        <v>22</v>
      </c>
      <c r="AH114" s="454">
        <v>18</v>
      </c>
      <c r="AI114" s="453" t="str">
        <f>E43</f>
        <v xml:space="preserve"> </v>
      </c>
      <c r="AJ114" s="443">
        <v>22</v>
      </c>
      <c r="AK114" s="454">
        <v>18</v>
      </c>
      <c r="AL114" s="453" t="str">
        <f>F43</f>
        <v xml:space="preserve"> </v>
      </c>
      <c r="AM114" s="443">
        <v>22</v>
      </c>
      <c r="AN114" s="454">
        <v>18</v>
      </c>
      <c r="AO114" s="453" t="str">
        <f>G43</f>
        <v>NS</v>
      </c>
      <c r="AP114" s="443">
        <v>17</v>
      </c>
      <c r="AQ114" s="454">
        <v>18</v>
      </c>
      <c r="AR114" s="453" t="str">
        <f>H43</f>
        <v>NS</v>
      </c>
      <c r="AS114" s="443">
        <v>15</v>
      </c>
      <c r="AT114" s="454">
        <v>1</v>
      </c>
      <c r="AU114" s="17"/>
    </row>
    <row r="115" spans="12:47" ht="18" customHeight="1" x14ac:dyDescent="0.2">
      <c r="L115" s="781" t="str">
        <f>IF(Y115=" "," ",".")</f>
        <v>.</v>
      </c>
      <c r="P115" s="17"/>
      <c r="T115" s="17"/>
      <c r="U115" s="17" t="s">
        <v>56</v>
      </c>
      <c r="V115" s="17"/>
      <c r="W115" s="17"/>
      <c r="X115" s="17"/>
      <c r="Y115" s="656" t="str">
        <f>'Master List'!C74</f>
        <v>M. PILLAI</v>
      </c>
      <c r="Z115" s="446" t="str">
        <f>IF(OR(Z114&gt;" ",INDEX($Q$89:$Q$110,AA114)=0)," ",INDEX($Q$89:$Q$110,AA114))</f>
        <v>.</v>
      </c>
      <c r="AA115" s="447"/>
      <c r="AB115" s="448"/>
      <c r="AC115" s="446" t="str">
        <f>IF(OR(AC114&gt;" ",INDEX($Q$89:$Q$110,AD114)=0)," ",INDEX($Q$89:$Q$110,AD114))</f>
        <v>.</v>
      </c>
      <c r="AD115" s="447"/>
      <c r="AE115" s="448"/>
      <c r="AF115" s="446" t="str">
        <f>IF(OR(AF114&gt;" ",INDEX($Q$89:$Q$110,AG114)=0)," ",INDEX($Q$89:$Q$110,AG114))</f>
        <v>.</v>
      </c>
      <c r="AG115" s="447"/>
      <c r="AH115" s="448"/>
      <c r="AI115" s="446" t="str">
        <f>IF(OR(AI114&gt;" ",INDEX($Q$89:$Q$110,AJ114)=0)," ",INDEX($Q$89:$Q$110,AJ114))</f>
        <v>.</v>
      </c>
      <c r="AJ115" s="447"/>
      <c r="AK115" s="448"/>
      <c r="AL115" s="446" t="str">
        <f>IF(OR(AL114&gt;" ",INDEX($Q$89:$Q$110,AM114)=0)," ",INDEX($Q$89:$Q$110,AM114))</f>
        <v>.</v>
      </c>
      <c r="AM115" s="447"/>
      <c r="AN115" s="448"/>
      <c r="AO115" s="446" t="str">
        <f>IF(OR(AO114&gt;" ",INDEX($Q$89:$Q$110,AP114)=0)," ",INDEX($Q$89:$Q$110,AP114))</f>
        <v xml:space="preserve"> </v>
      </c>
      <c r="AP115" s="447"/>
      <c r="AQ115" s="448"/>
      <c r="AR115" s="446" t="str">
        <f>IF(OR(AR114&gt;" ",INDEX($Q$89:$Q$110,AS114)=0)," ",INDEX($Q$89:$Q$110,AS114))</f>
        <v xml:space="preserve"> </v>
      </c>
      <c r="AS115" s="447"/>
      <c r="AT115" s="448"/>
      <c r="AU115" s="17"/>
    </row>
    <row r="116" spans="12:47" ht="18" customHeight="1" x14ac:dyDescent="0.2">
      <c r="L116" s="781" t="str">
        <f>IF(Y115=" "," ",".")</f>
        <v>.</v>
      </c>
      <c r="P116" s="17"/>
      <c r="T116" s="17"/>
      <c r="U116" s="17" t="s">
        <v>56</v>
      </c>
      <c r="V116" s="17"/>
      <c r="W116" s="17"/>
      <c r="X116" s="17"/>
      <c r="Y116" s="657"/>
      <c r="Z116" s="491" t="str">
        <f>IF(OR(AA114=19,Z115=" ",INDEX($U$89:$U140,AB114)=0)," ",INDEX($U$89:$U$110,AB114))</f>
        <v>DBCS</v>
      </c>
      <c r="AA116" s="449"/>
      <c r="AB116" s="450"/>
      <c r="AC116" s="491" t="str">
        <f>IF(OR(AD114=19,AC115=" ",INDEX($U$89:$U140,AE114)=0)," ",INDEX($U$89:$U$110,AE114))</f>
        <v>DBCS</v>
      </c>
      <c r="AD116" s="449"/>
      <c r="AE116" s="450"/>
      <c r="AF116" s="491" t="str">
        <f>IF(OR(AG114=19,AF115=" ",INDEX($U$89:$U140,AH114)=0)," ",INDEX($U$89:$U$110,AH114))</f>
        <v>DBCS</v>
      </c>
      <c r="AG116" s="449"/>
      <c r="AH116" s="450"/>
      <c r="AI116" s="491" t="str">
        <f>IF(OR(AJ114=19,AI115=" ",INDEX($U$89:$U140,AK114)=0)," ",INDEX($U$89:$U$110,AK114))</f>
        <v>DBCS</v>
      </c>
      <c r="AJ116" s="449"/>
      <c r="AK116" s="450"/>
      <c r="AL116" s="491" t="str">
        <f>IF(OR(AM114=19,AL115=" ",INDEX($U$89:$U140,AN114)=0)," ",INDEX($U$89:$U$110,AN114))</f>
        <v>DBCS</v>
      </c>
      <c r="AM116" s="449"/>
      <c r="AN116" s="450"/>
      <c r="AO116" s="491" t="str">
        <f>IF(OR(AP114=19,AO115=" ",INDEX($U$89:$U140,AQ114)=0)," ",INDEX($U$89:$U$110,AQ114))</f>
        <v xml:space="preserve"> </v>
      </c>
      <c r="AP116" s="449"/>
      <c r="AQ116" s="450"/>
      <c r="AR116" s="491" t="str">
        <f>IF(OR(AS114=19,AR115=" ",INDEX($U$89:$U140,AT114)=0)," ",INDEX($U$89:$U$110,AT114))</f>
        <v xml:space="preserve"> </v>
      </c>
      <c r="AS116" s="449"/>
      <c r="AT116" s="450"/>
      <c r="AU116" s="17"/>
    </row>
    <row r="117" spans="12:47" ht="18" customHeight="1" x14ac:dyDescent="0.2">
      <c r="L117" s="781" t="str">
        <f>IF(Y118=" "," ",".")</f>
        <v>.</v>
      </c>
      <c r="P117" s="17"/>
      <c r="T117" s="17"/>
      <c r="U117" s="17" t="s">
        <v>56</v>
      </c>
      <c r="V117" s="17"/>
      <c r="W117" s="17"/>
      <c r="X117" s="17"/>
      <c r="Y117" s="322"/>
      <c r="Z117" s="318" t="str">
        <f>B47</f>
        <v>NS</v>
      </c>
      <c r="AA117" s="336">
        <v>22</v>
      </c>
      <c r="AB117" s="337">
        <v>18</v>
      </c>
      <c r="AC117" s="318" t="str">
        <f>C47</f>
        <v>NS</v>
      </c>
      <c r="AD117" s="336">
        <v>17</v>
      </c>
      <c r="AE117" s="337">
        <v>18</v>
      </c>
      <c r="AF117" s="318" t="str">
        <f>D47</f>
        <v xml:space="preserve"> </v>
      </c>
      <c r="AG117" s="336">
        <v>22</v>
      </c>
      <c r="AH117" s="337">
        <v>18</v>
      </c>
      <c r="AI117" s="318" t="str">
        <f>E47</f>
        <v xml:space="preserve"> </v>
      </c>
      <c r="AJ117" s="336">
        <v>22</v>
      </c>
      <c r="AK117" s="337">
        <v>18</v>
      </c>
      <c r="AL117" s="318" t="str">
        <f>F47</f>
        <v xml:space="preserve"> </v>
      </c>
      <c r="AM117" s="336">
        <v>22</v>
      </c>
      <c r="AN117" s="337">
        <v>18</v>
      </c>
      <c r="AO117" s="318" t="str">
        <f>G47</f>
        <v xml:space="preserve"> </v>
      </c>
      <c r="AP117" s="336">
        <v>22</v>
      </c>
      <c r="AQ117" s="337">
        <v>18</v>
      </c>
      <c r="AR117" s="318" t="str">
        <f>H47</f>
        <v xml:space="preserve"> </v>
      </c>
      <c r="AS117" s="336">
        <v>22</v>
      </c>
      <c r="AT117" s="337">
        <v>18</v>
      </c>
      <c r="AU117" s="17"/>
    </row>
    <row r="118" spans="12:47" ht="18" customHeight="1" x14ac:dyDescent="0.2">
      <c r="L118" s="781" t="str">
        <f>IF(Y118=" "," ",".")</f>
        <v>.</v>
      </c>
      <c r="P118" s="17"/>
      <c r="T118" s="17"/>
      <c r="U118" s="17" t="s">
        <v>56</v>
      </c>
      <c r="V118" s="17"/>
      <c r="W118" s="17"/>
      <c r="X118" s="17"/>
      <c r="Y118" s="319" t="str">
        <f>'Master List'!C75</f>
        <v>P. DEWAN</v>
      </c>
      <c r="Z118" s="368" t="str">
        <f>IF(OR(Z117="H",Z117="COP",Z117="TRVL",Z117="SL",Z117="CL",Z117="TRNG",Z117="NS",Z117="AL",Z117="204B",INDEX($Q$89:$Q$110,AA117)=0)," ",INDEX($Q$89:$Q$110,AA117))</f>
        <v xml:space="preserve"> </v>
      </c>
      <c r="AA118" s="369"/>
      <c r="AB118" s="370"/>
      <c r="AC118" s="368" t="str">
        <f>IF(OR(AC117="H",AC117="COP",AC117="TRVL",AC117="SL",AC117="CL",AC117="TRNG",AC117="NS",AC117="AL",AC117="204B",INDEX($Q$89:$Q$110,AD117)=0)," ",INDEX($Q$89:$Q$110,AD117))</f>
        <v xml:space="preserve"> </v>
      </c>
      <c r="AD118" s="369"/>
      <c r="AE118" s="370"/>
      <c r="AF118" s="368" t="str">
        <f>IF(OR(AF117="H",AF117="COP",AF117="TRVL",AF117="SL",AF117="CL",AF117="TRNG",AF117="NS",AF117="AL",AF117="204B",INDEX($Q$89:$Q$110,AG117)=0)," ",INDEX($Q$89:$Q$110,AG117))</f>
        <v>.</v>
      </c>
      <c r="AG118" s="369"/>
      <c r="AH118" s="370"/>
      <c r="AI118" s="368" t="str">
        <f>IF(OR(AI117="H",AI117="COP",AI117="TRVL",AI117="SL",AI117="CL",AI117="TRNG",AI117="NS",AI117="AL",AI117="204B",INDEX($Q$89:$Q$110,AJ117)=0)," ",INDEX($Q$89:$Q$110,AJ117))</f>
        <v>.</v>
      </c>
      <c r="AJ118" s="369"/>
      <c r="AK118" s="370"/>
      <c r="AL118" s="368" t="str">
        <f>IF(OR(AL117="H",AL117="COP",AL117="TRVL",AL117="SL",AL117="CL",AL117="TRNG",AL117="NS",AL117="AL",AL117="204B",INDEX($Q$89:$Q$110,AM117)=0)," ",INDEX($Q$89:$Q$110,AM117))</f>
        <v>.</v>
      </c>
      <c r="AM118" s="369"/>
      <c r="AN118" s="370"/>
      <c r="AO118" s="368" t="str">
        <f>IF(OR(AO117="H",AO117="COP",AO117="TRVL",AO117="SL",AO117="CL",AO117="TRNG",AO117="NS",AO117="AL",AO117="204B",INDEX($Q$89:$Q$110,AP117)=0)," ",INDEX($Q$89:$Q$110,AP117))</f>
        <v>.</v>
      </c>
      <c r="AP118" s="369"/>
      <c r="AQ118" s="370"/>
      <c r="AR118" s="368" t="str">
        <f>IF(OR(AR117="H",AR117="COP",AR117="TRVL",AR117="SL",AR117="CL",AR117="TRNG",AR117="NS",AR117="AL",AR117="204B",INDEX($Q$89:$Q$110,AS117)=0)," ",INDEX($Q$89:$Q$110,AS117))</f>
        <v>.</v>
      </c>
      <c r="AS118" s="369"/>
      <c r="AT118" s="370"/>
      <c r="AU118" s="17"/>
    </row>
    <row r="119" spans="12:47" ht="18" customHeight="1" x14ac:dyDescent="0.2">
      <c r="L119" s="781" t="str">
        <f>IF(Y118=" "," ",".")</f>
        <v>.</v>
      </c>
      <c r="P119" s="17"/>
      <c r="T119" s="17"/>
      <c r="U119" s="17" t="s">
        <v>56</v>
      </c>
      <c r="V119" s="17"/>
      <c r="W119" s="17"/>
      <c r="X119" s="17"/>
      <c r="Y119" s="314"/>
      <c r="Z119" s="407" t="str">
        <f>IF(OR(AA117=19,Z118=" ",INDEX($U$89:$U143,AB117)=0)," ",INDEX($U$89:$U$110,AB117))</f>
        <v xml:space="preserve"> </v>
      </c>
      <c r="AA119" s="407"/>
      <c r="AB119" s="367"/>
      <c r="AC119" s="407" t="str">
        <f>IF(OR(AD117=19,AC118=" ",INDEX($U$89:$U143,AE117)=0)," ",INDEX($U$89:$U$110,AE117))</f>
        <v xml:space="preserve"> </v>
      </c>
      <c r="AD119" s="366"/>
      <c r="AE119" s="367"/>
      <c r="AF119" s="407" t="str">
        <f>IF(OR(AG117=19,AF118=" ",INDEX($U$89:$U143,AH117)=0)," ",INDEX($U$89:$U$110,AH117))</f>
        <v>DBCS</v>
      </c>
      <c r="AG119" s="366"/>
      <c r="AH119" s="367"/>
      <c r="AI119" s="407" t="str">
        <f>IF(OR(AJ117=19,AI118=" ",INDEX($U$89:$U143,AK117)=0)," ",INDEX($U$89:$U$110,AK117))</f>
        <v>DBCS</v>
      </c>
      <c r="AJ119" s="366"/>
      <c r="AK119" s="367"/>
      <c r="AL119" s="407" t="str">
        <f>IF(OR(AM117=19,AL118=" ",INDEX($U$89:$U143,AN117)=0)," ",INDEX($U$89:$U$110,AN117))</f>
        <v>DBCS</v>
      </c>
      <c r="AM119" s="366"/>
      <c r="AN119" s="367"/>
      <c r="AO119" s="407" t="str">
        <f>IF(OR(AP117=19,AO118=" ",INDEX($U$89:$U143,AQ117)=0)," ",INDEX($U$89:$U$110,AQ117))</f>
        <v>DBCS</v>
      </c>
      <c r="AP119" s="366"/>
      <c r="AQ119" s="367"/>
      <c r="AR119" s="407" t="str">
        <f>IF(OR(AS117=19,AR118=" ",INDEX($U$89:$U143,AT117)=0)," ",INDEX($U$89:$U$110,AT117))</f>
        <v>DBCS</v>
      </c>
      <c r="AS119" s="366"/>
      <c r="AT119" s="367"/>
      <c r="AU119" s="17"/>
    </row>
    <row r="120" spans="12:47" ht="18" customHeight="1" x14ac:dyDescent="0.2">
      <c r="L120" s="781" t="str">
        <f>IF(Y121=" "," ",".")</f>
        <v>.</v>
      </c>
      <c r="P120" s="17"/>
      <c r="T120" s="17"/>
      <c r="U120" s="17" t="s">
        <v>56</v>
      </c>
      <c r="V120" s="17"/>
      <c r="W120" s="17"/>
      <c r="X120" s="17"/>
      <c r="Y120" s="322"/>
      <c r="Z120" s="318" t="str">
        <f>B51</f>
        <v xml:space="preserve"> </v>
      </c>
      <c r="AA120" s="336">
        <v>17</v>
      </c>
      <c r="AB120" s="337">
        <v>1</v>
      </c>
      <c r="AC120" s="318" t="str">
        <f>C51</f>
        <v xml:space="preserve"> </v>
      </c>
      <c r="AD120" s="406">
        <v>17</v>
      </c>
      <c r="AE120" s="337">
        <v>1</v>
      </c>
      <c r="AF120" s="318" t="str">
        <f>D51</f>
        <v xml:space="preserve"> </v>
      </c>
      <c r="AG120" s="336">
        <v>17</v>
      </c>
      <c r="AH120" s="337">
        <v>1</v>
      </c>
      <c r="AI120" s="318" t="str">
        <f>E51</f>
        <v>NS</v>
      </c>
      <c r="AJ120" s="336">
        <v>20</v>
      </c>
      <c r="AK120" s="337">
        <v>1</v>
      </c>
      <c r="AL120" s="318" t="str">
        <f>F51</f>
        <v>NS</v>
      </c>
      <c r="AM120" s="336">
        <v>3</v>
      </c>
      <c r="AN120" s="337">
        <v>1</v>
      </c>
      <c r="AO120" s="318" t="str">
        <f>G51</f>
        <v xml:space="preserve"> </v>
      </c>
      <c r="AP120" s="336">
        <v>17</v>
      </c>
      <c r="AQ120" s="337">
        <v>1</v>
      </c>
      <c r="AR120" s="318" t="str">
        <f>H51</f>
        <v xml:space="preserve"> </v>
      </c>
      <c r="AS120" s="336">
        <v>18</v>
      </c>
      <c r="AT120" s="337">
        <v>1</v>
      </c>
      <c r="AU120" s="17"/>
    </row>
    <row r="121" spans="12:47" ht="18" customHeight="1" x14ac:dyDescent="0.2">
      <c r="L121" s="781" t="str">
        <f>IF(Y121=" "," ",".")</f>
        <v>.</v>
      </c>
      <c r="P121" s="17"/>
      <c r="T121" s="17"/>
      <c r="U121" s="17" t="s">
        <v>56</v>
      </c>
      <c r="V121" s="17"/>
      <c r="W121" s="17"/>
      <c r="X121" s="17"/>
      <c r="Y121" s="319" t="str">
        <f>'Master List'!C76</f>
        <v>C. TO</v>
      </c>
      <c r="Z121" s="408">
        <f>IF(OR(Z120="H",Z120="COP",Z120="TRVL",Z120="SL",Z120="CL",Z120="TRNG",Z120="NS",Z120="AL",Z120="204B",INDEX($Q$89:$Q$110,AA120)=0)," ",INDEX($Q$89:$Q$110,AA120))</f>
        <v>3001</v>
      </c>
      <c r="AA121" s="409"/>
      <c r="AB121" s="410"/>
      <c r="AC121" s="408">
        <f>IF(OR(AC120="H",AC120="COP",AC120="TRVL",AC120="SL",AC120="CL",AC120="TRNG",AC120="NS",AC120="AL",AC120="204B",INDEX($Q$89:$Q$110,AD120)=0)," ",INDEX($Q$89:$Q$110,AD120))</f>
        <v>3001</v>
      </c>
      <c r="AD121" s="409"/>
      <c r="AE121" s="410"/>
      <c r="AF121" s="408">
        <f>IF(OR(AF120="H",AF120="COP",AF120="TRVL",AF120="SL",AF120="CL",AF120="TRNG",AF120="NS",AF120="AL",AF120="204B",INDEX($Q$89:$Q$110,AG120)=0)," ",INDEX($Q$89:$Q$110,AG120))</f>
        <v>3001</v>
      </c>
      <c r="AG121" s="409"/>
      <c r="AH121" s="410"/>
      <c r="AI121" s="408" t="str">
        <f>IF(OR(AI120="H",AI120="COP",AI120="TRVL",AI120="SL",AI120="CL",AI120="TRNG",AI120="NS",AI120="AL",AI120="204B",INDEX($Q$89:$Q$110,AJ120)=0)," ",INDEX($Q$89:$Q$110,AJ120))</f>
        <v xml:space="preserve"> </v>
      </c>
      <c r="AJ121" s="409"/>
      <c r="AK121" s="410"/>
      <c r="AL121" s="408" t="str">
        <f>IF(OR(AL120="H",AL120="COP",AL120="TRVL",AL120="SL",AL120="CL",AL120="TRNG",AL120="NS",AL120="AL",AL120="204B",INDEX($Q$89:$Q$110,AM120)=0)," ",INDEX($Q$89:$Q$110,AM120))</f>
        <v xml:space="preserve"> </v>
      </c>
      <c r="AM121" s="409"/>
      <c r="AN121" s="410"/>
      <c r="AO121" s="408">
        <f>IF(OR(AO120="H",AO120="COP",AO120="TRVL",AO120="SL",AO120="CL",AO120="TRNG",AO120="NS",AO120="AL",AO120="204B",INDEX($Q$89:$Q$110,AP120)=0)," ",INDEX($Q$89:$Q$110,AP120))</f>
        <v>3001</v>
      </c>
      <c r="AP121" s="409"/>
      <c r="AQ121" s="410"/>
      <c r="AR121" s="408">
        <f>IF(OR(AR120="H",AR120="COP",AR120="TRVL",AR120="SL",AR120="CL",AR120="TRNG",AR120="NS",AR120="AL",AR120="204B",INDEX($Q$89:$Q$110,AS120)=0)," ",INDEX($Q$89:$Q$110,AS120))</f>
        <v>3002</v>
      </c>
      <c r="AS121" s="409"/>
      <c r="AT121" s="410"/>
      <c r="AU121" s="17"/>
    </row>
    <row r="122" spans="12:47" ht="18" customHeight="1" x14ac:dyDescent="0.2">
      <c r="L122" s="781" t="str">
        <f>IF(Y121=" "," ",".")</f>
        <v>.</v>
      </c>
      <c r="P122" s="17"/>
      <c r="T122" s="17"/>
      <c r="U122" s="17" t="s">
        <v>56</v>
      </c>
      <c r="V122" s="17"/>
      <c r="W122" s="17"/>
      <c r="X122" s="17"/>
      <c r="Y122" s="314"/>
      <c r="Z122" s="407" t="str">
        <f>IF(OR(AA120=19,Z121=" ",INDEX($U$89:$U146,AB120)=0)," ",INDEX($U$89:$U$110,AB120))</f>
        <v xml:space="preserve"> &amp; RECYCLE</v>
      </c>
      <c r="AA122" s="411"/>
      <c r="AB122" s="412"/>
      <c r="AC122" s="407" t="str">
        <f>IF(OR(AD120=19,AC121=" ",INDEX($U$89:$U146,AE120)=0)," ",INDEX($U$89:$U$110,AE120))</f>
        <v xml:space="preserve"> &amp; RECYCLE</v>
      </c>
      <c r="AD122" s="411"/>
      <c r="AE122" s="412"/>
      <c r="AF122" s="407" t="str">
        <f>IF(OR(AG120=19,AF121=" ",INDEX($U$89:$U146,AH120)=0)," ",INDEX($U$89:$U$110,AH120))</f>
        <v xml:space="preserve"> &amp; RECYCLE</v>
      </c>
      <c r="AG122" s="413"/>
      <c r="AH122" s="412"/>
      <c r="AI122" s="407" t="str">
        <f>IF(OR(AJ120=19,AI121=" ",INDEX($U$89:$U146,AK120)=0)," ",INDEX($U$89:$U$110,AK120))</f>
        <v xml:space="preserve"> </v>
      </c>
      <c r="AJ122" s="413"/>
      <c r="AK122" s="412"/>
      <c r="AL122" s="407" t="str">
        <f>IF(OR(AM120=19,AL121=" ",INDEX($U$89:$U146,AN120)=0)," ",INDEX($U$89:$U$110,AN120))</f>
        <v xml:space="preserve"> </v>
      </c>
      <c r="AM122" s="413"/>
      <c r="AN122" s="412"/>
      <c r="AO122" s="407" t="str">
        <f>IF(OR(AP120=19,AO121=" ",INDEX($U$89:$U146,AQ120)=0)," ",INDEX($U$89:$U$110,AQ120))</f>
        <v xml:space="preserve"> &amp; RECYCLE</v>
      </c>
      <c r="AP122" s="413"/>
      <c r="AQ122" s="412"/>
      <c r="AR122" s="407" t="str">
        <f>IF(OR(AS120=19,AR121=" ",INDEX($U$89:$U146,AT120)=0)," ",INDEX($U$89:$U$110,AT120))</f>
        <v xml:space="preserve"> &amp; RECYCLE</v>
      </c>
      <c r="AS122" s="413"/>
      <c r="AT122" s="412"/>
      <c r="AU122" s="17"/>
    </row>
    <row r="123" spans="12:47" ht="18" customHeight="1" x14ac:dyDescent="0.2">
      <c r="L123" s="781" t="str">
        <f>IF(Y124=" "," ",".")</f>
        <v>.</v>
      </c>
      <c r="P123" s="17"/>
      <c r="T123" s="17"/>
      <c r="U123" s="17" t="s">
        <v>56</v>
      </c>
      <c r="V123" s="17"/>
      <c r="W123" s="17"/>
      <c r="X123" s="17"/>
      <c r="Y123" s="322"/>
      <c r="Z123" s="318" t="str">
        <f>B55</f>
        <v>SL</v>
      </c>
      <c r="AA123" s="336">
        <v>21</v>
      </c>
      <c r="AB123" s="337">
        <v>1</v>
      </c>
      <c r="AC123" s="360" t="str">
        <f>C55</f>
        <v xml:space="preserve"> </v>
      </c>
      <c r="AD123" s="336">
        <v>22</v>
      </c>
      <c r="AE123" s="337">
        <v>13</v>
      </c>
      <c r="AF123" s="360" t="str">
        <f>D55</f>
        <v xml:space="preserve"> </v>
      </c>
      <c r="AG123" s="336">
        <v>21</v>
      </c>
      <c r="AH123" s="337">
        <v>1</v>
      </c>
      <c r="AI123" s="360" t="str">
        <f>E55</f>
        <v>NS</v>
      </c>
      <c r="AJ123" s="336">
        <v>20</v>
      </c>
      <c r="AK123" s="337">
        <v>1</v>
      </c>
      <c r="AL123" s="360" t="str">
        <f>F55</f>
        <v>NS</v>
      </c>
      <c r="AM123" s="336">
        <v>21</v>
      </c>
      <c r="AN123" s="337">
        <v>20</v>
      </c>
      <c r="AO123" s="360" t="str">
        <f>G55</f>
        <v xml:space="preserve"> </v>
      </c>
      <c r="AP123" s="336">
        <v>22</v>
      </c>
      <c r="AQ123" s="337">
        <v>13</v>
      </c>
      <c r="AR123" s="360" t="str">
        <f>H55</f>
        <v xml:space="preserve"> </v>
      </c>
      <c r="AS123" s="336">
        <v>22</v>
      </c>
      <c r="AT123" s="337">
        <v>13</v>
      </c>
      <c r="AU123" s="17"/>
    </row>
    <row r="124" spans="12:47" ht="18" customHeight="1" x14ac:dyDescent="0.2">
      <c r="L124" s="781" t="str">
        <f>IF(Y124=" "," ",".")</f>
        <v>.</v>
      </c>
      <c r="P124" s="17"/>
      <c r="T124" s="17"/>
      <c r="U124" s="17" t="s">
        <v>56</v>
      </c>
      <c r="V124" s="17"/>
      <c r="W124" s="17"/>
      <c r="X124" s="17"/>
      <c r="Y124" s="319" t="str">
        <f>'Master List'!C77</f>
        <v>C. CHENG</v>
      </c>
      <c r="Z124" s="368" t="str">
        <f>IF(OR(Z123="H",Z123="COP",Z123="TRVL",Z123="SL",Z123="CL",Z123="TRNG",Z123="NS",Z123="AL",Z123="204B",INDEX($Q$89:$Q$110,AA123)=0)," ",INDEX($Q$89:$Q$110,AA123))</f>
        <v xml:space="preserve"> </v>
      </c>
      <c r="AA124" s="369"/>
      <c r="AB124" s="370"/>
      <c r="AC124" s="368" t="str">
        <f>IF(OR(AC123="H",AC123="COP",AC123="TRVL",AC123="SL",AC123="CL",AC123="TRNG",AC123="NS",AC123="AL",AC123="204B",INDEX($Q$89:$Q$110,AD123)=0)," ",INDEX($Q$89:$Q$110,AD123))</f>
        <v>.</v>
      </c>
      <c r="AD124" s="369"/>
      <c r="AE124" s="370"/>
      <c r="AF124" s="368">
        <f>IF(OR(AF123="H",AF123="COP",AF123="TRVL",AF123="SL",AF123="CL",AF123="TRNG",AF123="NS",AF123="AL",AF123="204B",INDEX($Q$89:$Q$110,AG123)=0)," ",INDEX($Q$89:$Q$110,AG123))</f>
        <v>3005</v>
      </c>
      <c r="AG124" s="369"/>
      <c r="AH124" s="370"/>
      <c r="AI124" s="368" t="str">
        <f>IF(OR(AI123="H",AI123="COP",AI123="TRVL",AI123="SL",AI123="CL",AI123="TRNG",AI123="NS",AI123="AL",AI123="204B",INDEX($Q$89:$Q$110,AJ123)=0)," ",INDEX($Q$89:$Q$110,AJ123))</f>
        <v xml:space="preserve"> </v>
      </c>
      <c r="AJ124" s="369"/>
      <c r="AK124" s="370"/>
      <c r="AL124" s="368" t="str">
        <f>IF(OR(AL123="H",AL123="COP",AL123="TRVL",AL123="SL",AL123="CL",AL123="TRNG",AL123="NS",AL123="AL",AL123="204B",INDEX($Q$89:$Q$110,AM123)=0)," ",INDEX($Q$89:$Q$110,AM123))</f>
        <v xml:space="preserve"> </v>
      </c>
      <c r="AM124" s="369"/>
      <c r="AN124" s="370"/>
      <c r="AO124" s="368" t="str">
        <f>IF(OR(AO123="H",AO123="COP",AO123="TRVL",AO123="SL",AO123="CL",AO123="TRNG",AO123="NS",AO123="AL",AO123="204B",INDEX($Q$89:$Q$110,AP123)=0)," ",INDEX($Q$89:$Q$110,AP123))</f>
        <v>.</v>
      </c>
      <c r="AP124" s="369"/>
      <c r="AQ124" s="370"/>
      <c r="AR124" s="368" t="str">
        <f>IF(OR(AR123="H",AR123="COP",AR123="TRVL",AR123="SL",AR123="CL",AR123="TRNG",AR123="NS",AR123="AL",AR123="204B",INDEX($Q$89:$Q$110,AS123)=0)," ",INDEX($Q$89:$Q$110,AS123))</f>
        <v>.</v>
      </c>
      <c r="AS124" s="369"/>
      <c r="AT124" s="370"/>
      <c r="AU124" s="17"/>
    </row>
    <row r="125" spans="12:47" ht="18.75" customHeight="1" x14ac:dyDescent="0.2">
      <c r="L125" s="781" t="str">
        <f>IF(Y124=" "," ",".")</f>
        <v>.</v>
      </c>
      <c r="P125" s="17"/>
      <c r="T125" s="17"/>
      <c r="U125" s="17" t="s">
        <v>56</v>
      </c>
      <c r="V125" s="17"/>
      <c r="W125" s="17"/>
      <c r="X125" s="17"/>
      <c r="Y125" s="314"/>
      <c r="Z125" s="597" t="str">
        <f>IF(OR(AA123=19,Z124=" ",INDEX($U$89:$U$149,AB123)=0)," ",INDEX($U$89:$U$110,AB123))</f>
        <v xml:space="preserve"> </v>
      </c>
      <c r="AA125" s="418"/>
      <c r="AB125" s="419"/>
      <c r="AC125" s="407" t="str">
        <f>IF(OR(AD123=19,AC124=" ",INDEX($U$89:$U$149,AE123)=0)," ",INDEX($U$89:$U$110,AE123))</f>
        <v>RECYCLE</v>
      </c>
      <c r="AD125" s="366"/>
      <c r="AE125" s="367"/>
      <c r="AF125" s="407" t="str">
        <f>IF(OR(AG123=19,AF124=" ",INDEX($U$89:$U$149,AH123)=0)," ",INDEX($U$89:$U$110,AH123))</f>
        <v xml:space="preserve"> &amp; RECYCLE</v>
      </c>
      <c r="AG125" s="366"/>
      <c r="AH125" s="367"/>
      <c r="AI125" s="407" t="str">
        <f>IF(OR(AJ123=19,AI124=" ",INDEX($U$89:$U$149,AK123)=0)," ",INDEX($U$89:$U$110,AK123))</f>
        <v xml:space="preserve"> </v>
      </c>
      <c r="AJ125" s="366"/>
      <c r="AK125" s="367"/>
      <c r="AL125" s="407" t="str">
        <f>IF(OR(AM123=19,AL124=" ",INDEX($U$89:$U$149,AN123)=0)," ",INDEX($U$89:$U$110,AN123))</f>
        <v xml:space="preserve"> </v>
      </c>
      <c r="AM125" s="366"/>
      <c r="AN125" s="367"/>
      <c r="AO125" s="407" t="str">
        <f>IF(OR(AP123=19,AO124=" ",INDEX($U$89:$U$149,AQ123)=0)," ",INDEX($U$89:$U$110,AQ123))</f>
        <v>RECYCLE</v>
      </c>
      <c r="AP125" s="366"/>
      <c r="AQ125" s="367"/>
      <c r="AR125" s="407" t="str">
        <f>IF(OR(AS123=19,AR124=" ",INDEX($U$89:$U$149,AT123)=0)," ",INDEX($U$89:$U$110,AT123))</f>
        <v>RECYCLE</v>
      </c>
      <c r="AS125" s="366"/>
      <c r="AT125" s="367"/>
      <c r="AU125" s="17"/>
    </row>
    <row r="126" spans="12:47" ht="18" customHeight="1" x14ac:dyDescent="0.2">
      <c r="L126" s="781" t="str">
        <f>IF(Y127=" "," ",".")</f>
        <v>.</v>
      </c>
      <c r="P126" s="17"/>
      <c r="T126" s="17"/>
      <c r="U126" s="2" t="s">
        <v>56</v>
      </c>
      <c r="Y126" s="322"/>
      <c r="Z126" s="318" t="str">
        <f>B59</f>
        <v>*</v>
      </c>
      <c r="AA126" s="336">
        <v>22</v>
      </c>
      <c r="AB126" s="337">
        <v>20</v>
      </c>
      <c r="AC126" s="318" t="str">
        <f>C59</f>
        <v>*</v>
      </c>
      <c r="AD126" s="336">
        <v>22</v>
      </c>
      <c r="AE126" s="337">
        <v>20</v>
      </c>
      <c r="AF126" s="318" t="str">
        <f>D59</f>
        <v>*</v>
      </c>
      <c r="AG126" s="336">
        <v>22</v>
      </c>
      <c r="AH126" s="337">
        <v>20</v>
      </c>
      <c r="AI126" s="318" t="str">
        <f>E59</f>
        <v>*</v>
      </c>
      <c r="AJ126" s="336">
        <v>22</v>
      </c>
      <c r="AK126" s="337">
        <v>20</v>
      </c>
      <c r="AL126" s="318" t="str">
        <f>F59</f>
        <v>*</v>
      </c>
      <c r="AM126" s="336">
        <v>22</v>
      </c>
      <c r="AN126" s="337">
        <v>20</v>
      </c>
      <c r="AO126" s="318" t="str">
        <f>G59</f>
        <v>*</v>
      </c>
      <c r="AP126" s="336">
        <v>22</v>
      </c>
      <c r="AQ126" s="337">
        <v>20</v>
      </c>
      <c r="AR126" s="318" t="str">
        <f>H59</f>
        <v>*</v>
      </c>
      <c r="AS126" s="336">
        <v>22</v>
      </c>
      <c r="AT126" s="337">
        <v>20</v>
      </c>
    </row>
    <row r="127" spans="12:47" ht="18" customHeight="1" x14ac:dyDescent="0.2">
      <c r="L127" s="781" t="str">
        <f>IF(Y127=" "," ",".")</f>
        <v>.</v>
      </c>
      <c r="P127" s="17"/>
      <c r="T127" s="17"/>
      <c r="U127" s="2" t="s">
        <v>56</v>
      </c>
      <c r="Y127" s="319" t="str">
        <f>'Master List'!C78</f>
        <v>G. HINES</v>
      </c>
      <c r="Z127" s="368" t="str">
        <f>IF(OR(Z126="H",Z126="COP",Z126="TRVL",Z126="SL",Z126="CL",Z126="TRNG",Z126="NS",Z126="AL",Z126="204B",INDEX($Q$89:$Q$110,AA126)=0)," ",INDEX($Q$89:$Q$110,AA126))</f>
        <v>.</v>
      </c>
      <c r="AA127" s="369"/>
      <c r="AB127" s="370"/>
      <c r="AC127" s="368" t="str">
        <f>IF(OR(AC126="H",AC126="COP",AC126="TRVL",AC126="SL",AC126="CL",AC126="TRNG",AC126="NS",AC126="AL",AC126="204B",INDEX($Q$89:$Q$110,AD126)=0)," ",INDEX($Q$89:$Q$110,AD126))</f>
        <v>.</v>
      </c>
      <c r="AD127" s="369"/>
      <c r="AE127" s="370"/>
      <c r="AF127" s="368" t="str">
        <f>IF(OR(AF126="H",AF126="COP",AF126="TRVL",AF126="SL",AF126="CL",AF126="TRNG",AF126="NS",AF126="AL",AF126="204B",INDEX($Q$89:$Q$110,AG126)=0)," ",INDEX($Q$89:$Q$110,AG126))</f>
        <v>.</v>
      </c>
      <c r="AG127" s="369"/>
      <c r="AH127" s="370"/>
      <c r="AI127" s="368" t="str">
        <f>IF(OR(AI126="H",AI126="COP",AI126="TRVL",AI126="SL",AI126="CL",AI126="TRNG",AI126="NS",AI126="AL",AI126="204B",INDEX($Q$89:$Q$110,AJ126)=0)," ",INDEX($Q$89:$Q$110,AJ126))</f>
        <v>.</v>
      </c>
      <c r="AJ127" s="369"/>
      <c r="AK127" s="370"/>
      <c r="AL127" s="368" t="str">
        <f>IF(OR(AL126="H",AL126="COP",AL126="TRVL",AL126="SL",AL126="CL",AL126="TRNG",AL126="NS",AL126="AL",AL126="204B",INDEX($Q$89:$Q$110,AM126)=0)," ",INDEX($Q$89:$Q$110,AM126))</f>
        <v>.</v>
      </c>
      <c r="AM127" s="369"/>
      <c r="AN127" s="370"/>
      <c r="AO127" s="368" t="str">
        <f>IF(OR(AO126="H",AO126="COP",AO126="TRVL",AO126="SL",AO126="CL",AO126="TRNG",AO126="NS",AO126="AL",AO126="204B",INDEX($Q$89:$Q$110,AP126)=0)," ",INDEX($Q$89:$Q$110,AP126))</f>
        <v>.</v>
      </c>
      <c r="AP127" s="369"/>
      <c r="AQ127" s="370"/>
      <c r="AR127" s="368" t="str">
        <f>IF(OR(AR126="H",AR126="COP",AR126="TRVL",AR126="SL",AR126="CL",AR126="TRNG",AR126="NS",AR126="AL",AR126="204B",INDEX($Q$89:$Q$110,AS126)=0)," ",INDEX($Q$89:$Q$110,AS126))</f>
        <v>.</v>
      </c>
      <c r="AS127" s="369"/>
      <c r="AT127" s="370"/>
    </row>
    <row r="128" spans="12:47" ht="18" customHeight="1" x14ac:dyDescent="0.2">
      <c r="L128" s="781" t="str">
        <f>IF(Y127=" "," ",".")</f>
        <v>.</v>
      </c>
      <c r="P128" s="17"/>
      <c r="T128" s="17"/>
      <c r="U128" s="2" t="s">
        <v>56</v>
      </c>
      <c r="Y128" s="314"/>
      <c r="Z128" s="597" t="str">
        <f>IF(OR(AA126=19,Z127=" ",INDEX($U$89:$U$149,AB126)=0)," ",INDEX($U$89:$U$110,AB126))</f>
        <v xml:space="preserve"> </v>
      </c>
      <c r="AA128" s="418"/>
      <c r="AB128" s="419"/>
      <c r="AC128" s="407" t="str">
        <f>IF(OR(AD126=19,AC127=" ",INDEX($U$89:$U$149,AE126)=0)," ",INDEX($U$89:$U$110,AE126))</f>
        <v xml:space="preserve"> </v>
      </c>
      <c r="AD128" s="366"/>
      <c r="AE128" s="367"/>
      <c r="AF128" s="407" t="str">
        <f>IF(OR(AG126=19,AF127=" ",INDEX($U$89:$U$149,AH126)=0)," ",INDEX($U$89:$U$110,AH126))</f>
        <v xml:space="preserve"> </v>
      </c>
      <c r="AG128" s="366"/>
      <c r="AH128" s="367"/>
      <c r="AI128" s="407" t="str">
        <f>IF(OR(AJ126=19,AI127=" ",INDEX($U$89:$U$149,AK126)=0)," ",INDEX($U$89:$U$110,AK126))</f>
        <v xml:space="preserve"> </v>
      </c>
      <c r="AJ128" s="366"/>
      <c r="AK128" s="367"/>
      <c r="AL128" s="407" t="str">
        <f>IF(OR(AM126=19,AL127=" ",INDEX($U$89:$U$149,AN126)=0)," ",INDEX($U$89:$U$110,AN126))</f>
        <v xml:space="preserve"> </v>
      </c>
      <c r="AM128" s="366"/>
      <c r="AN128" s="367"/>
      <c r="AO128" s="407" t="str">
        <f>IF(OR(AP126=19,AO127=" ",INDEX($U$89:$U$149,AQ126)=0)," ",INDEX($U$89:$U$110,AQ126))</f>
        <v xml:space="preserve"> </v>
      </c>
      <c r="AP128" s="366"/>
      <c r="AQ128" s="367"/>
      <c r="AR128" s="407" t="str">
        <f>IF(OR(AS126=19,AR127=" ",INDEX($U$89:$U$149,AT126)=0)," ",INDEX($U$89:$U$110,AT126))</f>
        <v xml:space="preserve"> </v>
      </c>
      <c r="AS128" s="366"/>
      <c r="AT128" s="367"/>
    </row>
    <row r="129" spans="12:46" ht="18" customHeight="1" x14ac:dyDescent="0.2">
      <c r="L129" s="781" t="str">
        <f>IF(Y130=" "," ",".")</f>
        <v>.</v>
      </c>
      <c r="P129" s="17"/>
      <c r="T129" s="17"/>
      <c r="U129" s="2" t="s">
        <v>56</v>
      </c>
      <c r="Y129" s="322"/>
      <c r="Z129" s="318" t="str">
        <f>B63</f>
        <v xml:space="preserve"> </v>
      </c>
      <c r="AA129" s="336">
        <v>20</v>
      </c>
      <c r="AB129" s="337">
        <v>1</v>
      </c>
      <c r="AC129" s="318" t="str">
        <f>C63</f>
        <v>NS</v>
      </c>
      <c r="AD129" s="336">
        <v>20</v>
      </c>
      <c r="AE129" s="337">
        <v>8</v>
      </c>
      <c r="AF129" s="318" t="str">
        <f>D63</f>
        <v>NS</v>
      </c>
      <c r="AG129" s="336">
        <v>17</v>
      </c>
      <c r="AH129" s="337">
        <v>1</v>
      </c>
      <c r="AI129" s="318" t="str">
        <f>E63</f>
        <v xml:space="preserve"> </v>
      </c>
      <c r="AJ129" s="336">
        <v>18</v>
      </c>
      <c r="AK129" s="337">
        <v>1</v>
      </c>
      <c r="AL129" s="318" t="str">
        <f>F63</f>
        <v xml:space="preserve"> </v>
      </c>
      <c r="AM129" s="336">
        <v>19</v>
      </c>
      <c r="AN129" s="337">
        <v>1</v>
      </c>
      <c r="AO129" s="318" t="str">
        <f>G63</f>
        <v xml:space="preserve"> </v>
      </c>
      <c r="AP129" s="336">
        <v>20</v>
      </c>
      <c r="AQ129" s="337">
        <v>1</v>
      </c>
      <c r="AR129" s="318" t="str">
        <f>H63</f>
        <v xml:space="preserve"> </v>
      </c>
      <c r="AS129" s="336">
        <v>20</v>
      </c>
      <c r="AT129" s="337">
        <v>1</v>
      </c>
    </row>
    <row r="130" spans="12:46" ht="18" customHeight="1" x14ac:dyDescent="0.2">
      <c r="L130" s="781" t="str">
        <f>IF(Y130=" "," ",".")</f>
        <v>.</v>
      </c>
      <c r="P130" s="17"/>
      <c r="T130" s="17"/>
      <c r="U130" s="2" t="s">
        <v>56</v>
      </c>
      <c r="Y130" s="319" t="str">
        <f>'Master List'!C79</f>
        <v>B. LILLY</v>
      </c>
      <c r="Z130" s="368">
        <f>IF(OR(Z129="H",Z129="COP",Z129="TRVL",Z129="SL",Z129="CL",Z129="TRNG",Z129="NS",Z129="AL",Z129="204B",INDEX($Q$89:$Q$110,AA129)=0)," ",INDEX($Q$89:$Q$110,AA129))</f>
        <v>3004</v>
      </c>
      <c r="AA130" s="369"/>
      <c r="AB130" s="370"/>
      <c r="AC130" s="368" t="str">
        <f>IF(OR(AC129="H",AC129="COP",AC129="TRVL",AC129="SL",AC129="CL",AC129="TRNG",AC129="NS",AC129="AL",AC129="204B",INDEX($Q$89:$Q$110,AD129)=0)," ",INDEX($Q$89:$Q$110,AD129))</f>
        <v xml:space="preserve"> </v>
      </c>
      <c r="AD130" s="369"/>
      <c r="AE130" s="370"/>
      <c r="AF130" s="368" t="str">
        <f>IF(OR(AF129="H",AF129="COP",AF129="TRVL",AF129="SL",AF129="CL",AF129="TRNG",AF129="NS",AF129="AL",AF129="204B",INDEX($Q$89:$Q$110,AG129)=0)," ",INDEX($Q$89:$Q$110,AG129))</f>
        <v xml:space="preserve"> </v>
      </c>
      <c r="AG130" s="369"/>
      <c r="AH130" s="370"/>
      <c r="AI130" s="368">
        <f>IF(OR(AI129="H",AI129="COP",AI129="TRVL",AI129="SL",AI129="CL",AI129="TRNG",AI129="NS",AI129="AL",AI129="204B",INDEX($Q$89:$Q$110,AJ129)=0)," ",INDEX($Q$89:$Q$110,AJ129))</f>
        <v>3002</v>
      </c>
      <c r="AJ130" s="369"/>
      <c r="AK130" s="370"/>
      <c r="AL130" s="368">
        <f>IF(OR(AL129="H",AL129="COP",AL129="TRVL",AL129="SL",AL129="CL",AL129="TRNG",AL129="NS",AL129="AL",AL129="204B",INDEX($Q$89:$Q$110,AM129)=0)," ",INDEX($Q$89:$Q$110,AM129))</f>
        <v>3003</v>
      </c>
      <c r="AM130" s="369"/>
      <c r="AN130" s="370"/>
      <c r="AO130" s="368">
        <f>IF(OR(AO129="H",AO129="COP",AO129="TRVL",AO129="SL",AO129="CL",AO129="TRNG",AO129="NS",AO129="AL",AO129="204B",INDEX($Q$89:$Q$110,AP129)=0)," ",INDEX($Q$89:$Q$110,AP129))</f>
        <v>3004</v>
      </c>
      <c r="AP130" s="369"/>
      <c r="AQ130" s="370"/>
      <c r="AR130" s="368">
        <f>IF(OR(AR129="H",AR129="COP",AR129="TRVL",AR129="SL",AR129="CL",AR129="TRNG",AR129="NS",AR129="AL",AR129="204B",INDEX($Q$89:$Q$110,AS129)=0)," ",INDEX($Q$89:$Q$110,AS129))</f>
        <v>3004</v>
      </c>
      <c r="AS130" s="369"/>
      <c r="AT130" s="370"/>
    </row>
    <row r="131" spans="12:46" ht="18" customHeight="1" x14ac:dyDescent="0.2">
      <c r="L131" s="781" t="str">
        <f>IF(Y130=" "," ",".")</f>
        <v>.</v>
      </c>
      <c r="P131" s="17"/>
      <c r="T131" s="17"/>
      <c r="U131" s="2" t="s">
        <v>56</v>
      </c>
      <c r="Y131" s="314"/>
      <c r="Z131" s="597" t="str">
        <f>IF(OR(AA129=19,Z130=" ",INDEX($U$89:$U$149,AB129)=0)," ",INDEX($U$89:$U$110,AB129))</f>
        <v xml:space="preserve"> &amp; RECYCLE</v>
      </c>
      <c r="AA131" s="418"/>
      <c r="AB131" s="419"/>
      <c r="AC131" s="407" t="str">
        <f>IF(OR(AD129=19,AC130=" ",INDEX($U$89:$U$149,AE129)=0)," ",INDEX($U$89:$U$110,AE129))</f>
        <v xml:space="preserve"> </v>
      </c>
      <c r="AD131" s="366"/>
      <c r="AE131" s="367"/>
      <c r="AF131" s="407" t="str">
        <f>IF(OR(AG129=19,AF130=" ",INDEX($U$89:$U$149,AH129)=0)," ",INDEX($U$89:$U$110,AH129))</f>
        <v xml:space="preserve"> </v>
      </c>
      <c r="AG131" s="366"/>
      <c r="AH131" s="367"/>
      <c r="AI131" s="407" t="str">
        <f>IF(OR(AJ129=19,AI130=" ",INDEX($U$89:$U$149,AK129)=0)," ",INDEX($U$89:$U$110,AK129))</f>
        <v xml:space="preserve"> &amp; RECYCLE</v>
      </c>
      <c r="AJ131" s="366"/>
      <c r="AK131" s="367"/>
      <c r="AL131" s="407" t="s">
        <v>169</v>
      </c>
      <c r="AM131" s="366"/>
      <c r="AN131" s="367"/>
      <c r="AO131" s="407" t="str">
        <f>IF(OR(AP129=19,AO130=" ",INDEX($U$89:$U$149,AQ129)=0)," ",INDEX($U$89:$U$110,AQ129))</f>
        <v xml:space="preserve"> &amp; RECYCLE</v>
      </c>
      <c r="AP131" s="366"/>
      <c r="AQ131" s="367"/>
      <c r="AR131" s="407" t="str">
        <f>IF(OR(AS129=19,AR130=" ",INDEX($U$89:$U$149,AT129)=0)," ",INDEX($U$89:$U$110,AT129))</f>
        <v xml:space="preserve"> &amp; RECYCLE</v>
      </c>
      <c r="AS131" s="366"/>
      <c r="AT131" s="367"/>
    </row>
    <row r="132" spans="12:46" ht="18" customHeight="1" x14ac:dyDescent="0.2">
      <c r="L132" s="781" t="str">
        <f>IF(Y133=" "," ",".")</f>
        <v>.</v>
      </c>
      <c r="P132" s="17"/>
      <c r="T132" s="17"/>
      <c r="U132" s="2" t="s">
        <v>56</v>
      </c>
      <c r="Y132" s="322"/>
      <c r="Z132" s="318" t="str">
        <f>B67</f>
        <v xml:space="preserve"> </v>
      </c>
      <c r="AA132" s="336">
        <v>19</v>
      </c>
      <c r="AB132" s="337">
        <v>1</v>
      </c>
      <c r="AC132" s="318" t="str">
        <f>C67</f>
        <v xml:space="preserve"> </v>
      </c>
      <c r="AD132" s="336">
        <v>20</v>
      </c>
      <c r="AE132" s="337">
        <v>1</v>
      </c>
      <c r="AF132" s="318" t="str">
        <f>D67</f>
        <v>NS</v>
      </c>
      <c r="AG132" s="336">
        <v>21</v>
      </c>
      <c r="AH132" s="337">
        <v>1</v>
      </c>
      <c r="AI132" s="318" t="str">
        <f>E67</f>
        <v>NS</v>
      </c>
      <c r="AJ132" s="336">
        <v>17</v>
      </c>
      <c r="AK132" s="337">
        <v>1</v>
      </c>
      <c r="AL132" s="318" t="str">
        <f>F67</f>
        <v xml:space="preserve"> </v>
      </c>
      <c r="AM132" s="336">
        <v>18</v>
      </c>
      <c r="AN132" s="337">
        <v>1</v>
      </c>
      <c r="AO132" s="318" t="str">
        <f>G67</f>
        <v xml:space="preserve"> </v>
      </c>
      <c r="AP132" s="336">
        <v>18</v>
      </c>
      <c r="AQ132" s="337">
        <v>1</v>
      </c>
      <c r="AR132" s="318" t="str">
        <f>H67</f>
        <v xml:space="preserve"> </v>
      </c>
      <c r="AS132" s="336">
        <v>21</v>
      </c>
      <c r="AT132" s="337">
        <v>1</v>
      </c>
    </row>
    <row r="133" spans="12:46" ht="17.25" customHeight="1" x14ac:dyDescent="0.2">
      <c r="L133" s="781" t="str">
        <f>IF(Y133=" "," ",".")</f>
        <v>.</v>
      </c>
      <c r="P133" s="17"/>
      <c r="T133" s="17"/>
      <c r="U133" s="2" t="s">
        <v>56</v>
      </c>
      <c r="Y133" s="319" t="str">
        <f>'Master List'!C80</f>
        <v>K. HUFFMAN</v>
      </c>
      <c r="Z133" s="368">
        <f>IF(OR(Z132="H",Z132="COP",Z132="TRVL",Z132="SL",Z132="CL",Z132="TRNG",Z132="NS",Z132="AL",Z132="204B",INDEX($Q$89:$Q$110,AA132)=0)," ",INDEX($Q$89:$Q$110,AA132))</f>
        <v>3003</v>
      </c>
      <c r="AA133" s="369"/>
      <c r="AB133" s="370"/>
      <c r="AC133" s="368">
        <f>IF(OR(AC132="H",AC132="COP",AC132="TRVL",AC132="SL",AC132="CL",AC132="TRNG",AC132="NS",AC132="AL",AC132="204B",INDEX($Q$89:$Q$110,AD132)=0)," ",INDEX($Q$89:$Q$110,AD132))</f>
        <v>3004</v>
      </c>
      <c r="AD133" s="369"/>
      <c r="AE133" s="370"/>
      <c r="AF133" s="368" t="str">
        <f>IF(OR(AF132="H",AF132="COP",AF132="TRVL",AF132="SL",AF132="CL",AF132="TRNG",AF132="NS",AF132="AL",AF132="204B",INDEX($Q$89:$Q$110,AG132)=0)," ",INDEX($Q$89:$Q$110,AG132))</f>
        <v xml:space="preserve"> </v>
      </c>
      <c r="AG133" s="369"/>
      <c r="AH133" s="370"/>
      <c r="AI133" s="368" t="str">
        <f>IF(OR(AI132="H",AI132="COP",AI132="TRVL",AI132="SL",AI132="CL",AI132="TRNG",AI132="NS",AI132="AL",AI132="204B",INDEX($Q$89:$Q$110,AJ132)=0)," ",INDEX($Q$89:$Q$110,AJ132))</f>
        <v xml:space="preserve"> </v>
      </c>
      <c r="AJ133" s="369"/>
      <c r="AK133" s="370"/>
      <c r="AL133" s="368">
        <f>IF(OR(AL132="H",AL132="COP",AL132="TRVL",AL132="SL",AL132="CL",AL132="TRNG",AL132="NS",AL132="AL",AL132="204B",INDEX($Q$89:$Q$110,AM132)=0)," ",INDEX($Q$89:$Q$110,AM132))</f>
        <v>3002</v>
      </c>
      <c r="AM133" s="369"/>
      <c r="AN133" s="370"/>
      <c r="AO133" s="368">
        <f>IF(OR(AO132="H",AO132="COP",AO132="TRVL",AO132="SL",AO132="CL",AO132="TRNG",AO132="NS",AO132="AL",AO132="204B",INDEX($Q$89:$Q$110,AP132)=0)," ",INDEX($Q$89:$Q$110,AP132))</f>
        <v>3002</v>
      </c>
      <c r="AP133" s="369"/>
      <c r="AQ133" s="370"/>
      <c r="AR133" s="368">
        <f>IF(OR(AR132="H",AR132="COP",AR132="TRVL",AR132="SL",AR132="CL",AR132="TRNG",AR132="NS",AR132="AL",AR132="204B",INDEX($Q$89:$Q$110,AS132)=0)," ",INDEX($Q$89:$Q$110,AS132))</f>
        <v>3005</v>
      </c>
      <c r="AS133" s="369"/>
      <c r="AT133" s="370"/>
    </row>
    <row r="134" spans="12:46" ht="18" customHeight="1" x14ac:dyDescent="0.2">
      <c r="L134" s="781" t="str">
        <f>IF(Y133=" "," ",".")</f>
        <v>.</v>
      </c>
      <c r="P134" s="17"/>
      <c r="T134" s="17"/>
      <c r="U134" s="2" t="s">
        <v>56</v>
      </c>
      <c r="Y134" s="314"/>
      <c r="Z134" s="597" t="s">
        <v>169</v>
      </c>
      <c r="AA134" s="418"/>
      <c r="AB134" s="419"/>
      <c r="AC134" s="407" t="str">
        <f>IF(OR(AD132=19,AC133=" ",INDEX($U$89:$U$149,AE132)=0)," ",INDEX($U$89:$U$110,AE132))</f>
        <v xml:space="preserve"> &amp; RECYCLE</v>
      </c>
      <c r="AD134" s="366"/>
      <c r="AE134" s="367"/>
      <c r="AF134" s="407" t="str">
        <f>IF(OR(AG132=19,AF133=" ",INDEX($U$89:$U$149,AH132)=0)," ",INDEX($U$89:$U$110,AH132))</f>
        <v xml:space="preserve"> </v>
      </c>
      <c r="AG134" s="366"/>
      <c r="AH134" s="367"/>
      <c r="AI134" s="407" t="str">
        <f>IF(OR(AJ132=19,AI133=" ",INDEX($U$89:$U$149,AK132)=0)," ",INDEX($U$89:$U$110,AK132))</f>
        <v xml:space="preserve"> </v>
      </c>
      <c r="AJ134" s="366"/>
      <c r="AK134" s="367"/>
      <c r="AL134" s="407" t="str">
        <f>IF(OR(AM132=19,AL133=" ",INDEX($U$89:$U$149,AN132)=0)," ",INDEX($U$89:$U$110,AN132))</f>
        <v xml:space="preserve"> &amp; RECYCLE</v>
      </c>
      <c r="AM134" s="366"/>
      <c r="AN134" s="367"/>
      <c r="AO134" s="407" t="str">
        <f>IF(OR(AP132=19,AO133=" ",INDEX($U$89:$U$149,AQ132)=0)," ",INDEX($U$89:$U$110,AQ132))</f>
        <v xml:space="preserve"> &amp; RECYCLE</v>
      </c>
      <c r="AP134" s="366"/>
      <c r="AQ134" s="367"/>
      <c r="AR134" s="407" t="str">
        <f>IF(OR(AS132=19,AR133=" ",INDEX($U$89:$U$149,AT132)=0)," ",INDEX($U$89:$U$110,AT132))</f>
        <v xml:space="preserve"> &amp; RECYCLE</v>
      </c>
      <c r="AS134" s="366"/>
      <c r="AT134" s="367"/>
    </row>
    <row r="135" spans="12:46" ht="18" customHeight="1" x14ac:dyDescent="0.2">
      <c r="L135" s="781" t="str">
        <f>IF(Y136=" "," ",".")</f>
        <v>.</v>
      </c>
      <c r="P135" s="17"/>
      <c r="T135" s="17"/>
      <c r="U135" s="2" t="s">
        <v>56</v>
      </c>
      <c r="Y135" s="322"/>
      <c r="Z135" s="318" t="str">
        <f>B71</f>
        <v>AL</v>
      </c>
      <c r="AA135" s="336">
        <v>18</v>
      </c>
      <c r="AB135" s="337">
        <v>1</v>
      </c>
      <c r="AC135" s="318" t="str">
        <f>C71</f>
        <v xml:space="preserve"> </v>
      </c>
      <c r="AD135" s="336">
        <v>19</v>
      </c>
      <c r="AE135" s="337">
        <v>8</v>
      </c>
      <c r="AF135" s="318" t="str">
        <f>D71</f>
        <v xml:space="preserve"> </v>
      </c>
      <c r="AG135" s="336">
        <v>20</v>
      </c>
      <c r="AH135" s="337">
        <v>1</v>
      </c>
      <c r="AI135" s="318" t="str">
        <f>E71</f>
        <v xml:space="preserve"> </v>
      </c>
      <c r="AJ135" s="336">
        <v>20</v>
      </c>
      <c r="AK135" s="337">
        <v>1</v>
      </c>
      <c r="AL135" s="318" t="str">
        <f>F71</f>
        <v>NS</v>
      </c>
      <c r="AM135" s="336">
        <v>15</v>
      </c>
      <c r="AN135" s="337">
        <v>1</v>
      </c>
      <c r="AO135" s="318" t="str">
        <f>G71</f>
        <v>NS</v>
      </c>
      <c r="AP135" s="336">
        <v>11</v>
      </c>
      <c r="AQ135" s="337">
        <v>1</v>
      </c>
      <c r="AR135" s="318" t="str">
        <f>H71</f>
        <v xml:space="preserve"> </v>
      </c>
      <c r="AS135" s="336">
        <v>17</v>
      </c>
      <c r="AT135" s="337">
        <v>1</v>
      </c>
    </row>
    <row r="136" spans="12:46" ht="18" customHeight="1" x14ac:dyDescent="0.2">
      <c r="L136" s="781" t="str">
        <f>IF(Y136=" "," ",".")</f>
        <v>.</v>
      </c>
      <c r="P136" s="17"/>
      <c r="T136" s="17"/>
      <c r="U136" s="2" t="s">
        <v>56</v>
      </c>
      <c r="Y136" s="319" t="str">
        <f>'Master List'!C81</f>
        <v>R. MALVO</v>
      </c>
      <c r="Z136" s="368" t="str">
        <f>IF(OR(Z135="H",Z135="COP",Z135="TRVL",Z135="SL",Z135="CL",Z135="TRNG",Z135="NS",Z135="AL",Z135="204B",INDEX($Q$89:$Q$110,AA135)=0)," ",INDEX($Q$89:$Q$110,AA135))</f>
        <v xml:space="preserve"> </v>
      </c>
      <c r="AA136" s="369"/>
      <c r="AB136" s="370"/>
      <c r="AC136" s="368">
        <f>IF(OR(AC135="H",AC135="COP",AC135="TRVL",AC135="SL",AC135="CL",AC135="TRNG",AC135="NS",AC135="AL",AC135="204B",INDEX($Q$89:$Q$110,AD135)=0)," ",INDEX($Q$89:$Q$110,AD135))</f>
        <v>3003</v>
      </c>
      <c r="AD136" s="369"/>
      <c r="AE136" s="370"/>
      <c r="AF136" s="368">
        <f>IF(OR(AF135="H",AF135="COP",AF135="TRVL",AF135="SL",AF135="CL",AF135="TRNG",AF135="NS",AF135="AL",AF135="204B",INDEX($Q$89:$Q$110,AG135)=0)," ",INDEX($Q$89:$Q$110,AG135))</f>
        <v>3004</v>
      </c>
      <c r="AG136" s="369"/>
      <c r="AH136" s="370"/>
      <c r="AI136" s="368">
        <f>IF(OR(AI135="H",AI135="COP",AI135="TRVL",AI135="SL",AI135="CL",AI135="TRNG",AI135="NS",AI135="AL",AI135="204B",INDEX($Q$89:$Q$110,AJ135)=0)," ",INDEX($Q$89:$Q$110,AJ135))</f>
        <v>3004</v>
      </c>
      <c r="AJ136" s="369"/>
      <c r="AK136" s="370"/>
      <c r="AL136" s="368" t="str">
        <f>IF(OR(AL135="H",AL135="COP",AL135="TRVL",AL135="SL",AL135="CL",AL135="TRNG",AL135="NS",AL135="AL",AL135="204B",INDEX($Q$89:$Q$110,AM135)=0)," ",INDEX($Q$89:$Q$110,AM135))</f>
        <v xml:space="preserve"> </v>
      </c>
      <c r="AM136" s="369"/>
      <c r="AN136" s="370"/>
      <c r="AO136" s="368" t="str">
        <f>IF(OR(AO135="H",AO135="COP",AO135="TRVL",AO135="SL",AO135="CL",AO135="TRNG",AO135="NS",AO135="AL",AO135="204B",INDEX($Q$89:$Q$110,AP135)=0)," ",INDEX($Q$89:$Q$110,AP135))</f>
        <v xml:space="preserve"> </v>
      </c>
      <c r="AP136" s="369"/>
      <c r="AQ136" s="370"/>
      <c r="AR136" s="368">
        <f>IF(OR(AR135="H",AR135="COP",AR135="TRVL",AR135="SL",AR135="CL",AR135="TRNG",AR135="NS",AR135="AL",AR135="204B",INDEX($Q$89:$Q$110,AS135)=0)," ",INDEX($Q$89:$Q$110,AS135))</f>
        <v>3001</v>
      </c>
      <c r="AS136" s="369"/>
      <c r="AT136" s="370"/>
    </row>
    <row r="137" spans="12:46" ht="18" customHeight="1" x14ac:dyDescent="0.2">
      <c r="L137" s="781" t="str">
        <f>IF(Y136=" "," ",".")</f>
        <v>.</v>
      </c>
      <c r="P137" s="17"/>
      <c r="T137" s="17"/>
      <c r="U137" s="2" t="s">
        <v>56</v>
      </c>
      <c r="Y137" s="314"/>
      <c r="Z137" s="597" t="str">
        <f>IF(OR(AA135=19,Z136=" ",INDEX($U$89:$U$149,AB135)=0)," ",INDEX($U$89:$U$110,AB135))</f>
        <v xml:space="preserve"> </v>
      </c>
      <c r="AA137" s="418"/>
      <c r="AB137" s="419"/>
      <c r="AC137" s="407" t="s">
        <v>169</v>
      </c>
      <c r="AD137" s="366"/>
      <c r="AE137" s="367"/>
      <c r="AF137" s="407" t="str">
        <f>IF(OR(AG135=19,AF136=" ",INDEX($U$89:$U$149,AH135)=0)," ",INDEX($U$89:$U$110,AH135))</f>
        <v xml:space="preserve"> &amp; RECYCLE</v>
      </c>
      <c r="AG137" s="366"/>
      <c r="AH137" s="367"/>
      <c r="AI137" s="407" t="str">
        <f>IF(OR(AJ135=19,AI136=" ",INDEX($U$89:$U$149,AK135)=0)," ",INDEX($U$89:$U$110,AK135))</f>
        <v xml:space="preserve"> &amp; RECYCLE</v>
      </c>
      <c r="AJ137" s="366"/>
      <c r="AK137" s="367"/>
      <c r="AL137" s="407" t="str">
        <f>IF(OR(AM135=19,AL136=" ",INDEX($U$89:$U$149,AN135)=0)," ",INDEX($U$89:$U$110,AN135))</f>
        <v xml:space="preserve"> </v>
      </c>
      <c r="AM137" s="366"/>
      <c r="AN137" s="367"/>
      <c r="AO137" s="407" t="str">
        <f>IF(OR(AP135=19,AO136=" ",INDEX($U$89:$U$149,AQ135)=0)," ",INDEX($U$89:$U$110,AQ135))</f>
        <v xml:space="preserve"> </v>
      </c>
      <c r="AP137" s="366"/>
      <c r="AQ137" s="367"/>
      <c r="AR137" s="407" t="str">
        <f>IF(OR(AS135=19,AR136=" ",INDEX($U$89:$U$149,AT135)=0)," ",INDEX($U$89:$U$110,AT135))</f>
        <v xml:space="preserve"> &amp; RECYCLE</v>
      </c>
      <c r="AS137" s="366"/>
      <c r="AT137" s="367"/>
    </row>
    <row r="138" spans="12:46" ht="18" customHeight="1" x14ac:dyDescent="0.2">
      <c r="L138" s="781" t="str">
        <f>IF(Y139=" "," ",".")</f>
        <v>.</v>
      </c>
      <c r="P138" s="17"/>
      <c r="T138" s="17"/>
      <c r="U138" s="2" t="s">
        <v>56</v>
      </c>
      <c r="Y138" s="322"/>
      <c r="Z138" s="318" t="str">
        <f>B75</f>
        <v xml:space="preserve"> </v>
      </c>
      <c r="AA138" s="336">
        <v>21</v>
      </c>
      <c r="AB138" s="337">
        <v>1</v>
      </c>
      <c r="AC138" s="318" t="str">
        <f>C75</f>
        <v xml:space="preserve"> </v>
      </c>
      <c r="AD138" s="336">
        <v>21</v>
      </c>
      <c r="AE138" s="337">
        <v>1</v>
      </c>
      <c r="AF138" s="318" t="str">
        <f>D75</f>
        <v xml:space="preserve"> </v>
      </c>
      <c r="AG138" s="336">
        <v>19</v>
      </c>
      <c r="AH138" s="337">
        <v>1</v>
      </c>
      <c r="AI138" s="318" t="str">
        <f>E75</f>
        <v>NS</v>
      </c>
      <c r="AJ138" s="336">
        <v>20</v>
      </c>
      <c r="AK138" s="337">
        <v>1</v>
      </c>
      <c r="AL138" s="318" t="str">
        <f>F75</f>
        <v>NS</v>
      </c>
      <c r="AM138" s="336">
        <v>21</v>
      </c>
      <c r="AN138" s="337">
        <v>1</v>
      </c>
      <c r="AO138" s="318" t="str">
        <f>G75</f>
        <v xml:space="preserve"> </v>
      </c>
      <c r="AP138" s="336">
        <v>21</v>
      </c>
      <c r="AQ138" s="337">
        <v>1</v>
      </c>
      <c r="AR138" s="318" t="str">
        <f>H75</f>
        <v xml:space="preserve"> </v>
      </c>
      <c r="AS138" s="336">
        <v>19</v>
      </c>
      <c r="AT138" s="337">
        <v>1</v>
      </c>
    </row>
    <row r="139" spans="12:46" ht="18" customHeight="1" x14ac:dyDescent="0.2">
      <c r="L139" s="781" t="str">
        <f>IF(Y139=" "," ",".")</f>
        <v>.</v>
      </c>
      <c r="P139" s="17"/>
      <c r="T139" s="17"/>
      <c r="U139" s="2" t="s">
        <v>56</v>
      </c>
      <c r="Y139" s="319" t="str">
        <f>'Master List'!C82</f>
        <v>J. ESTER</v>
      </c>
      <c r="Z139" s="368">
        <f>IF(OR(Z138="H",Z138="COP",Z138="TRVL",Z138="SL",Z138="CL",Z138="TRNG",Z138="NS",Z138="AL",Z138="204B",INDEX($Q$89:$Q$110,AA138)=0)," ",INDEX($Q$89:$Q$110,AA138))</f>
        <v>3005</v>
      </c>
      <c r="AA139" s="369"/>
      <c r="AB139" s="370"/>
      <c r="AC139" s="368">
        <f>IF(OR(AC138="H",AC138="COP",AC138="TRVL",AC138="SL",AC138="CL",AC138="TRNG",AC138="NS",AC138="AL",AC138="204B",INDEX($Q$89:$Q$110,AD138)=0)," ",INDEX($Q$89:$Q$110,AD138))</f>
        <v>3005</v>
      </c>
      <c r="AD139" s="369"/>
      <c r="AE139" s="370"/>
      <c r="AF139" s="368">
        <f>IF(OR(AF138="H",AF138="COP",AF138="TRVL",AF138="SL",AF138="CL",AF138="TRNG",AF138="NS",AF138="AL",AF138="204B",INDEX($Q$89:$Q$110,AG138)=0)," ",INDEX($Q$89:$Q$110,AG138))</f>
        <v>3003</v>
      </c>
      <c r="AG139" s="369"/>
      <c r="AH139" s="370"/>
      <c r="AI139" s="368" t="str">
        <f>IF(OR(AI138="H",AI138="COP",AI138="TRVL",AI138="SL",AI138="CL",AI138="TRNG",AI138="NS",AI138="AL",AI138="204B",INDEX($Q$89:$Q$110,AJ138)=0)," ",INDEX($Q$89:$Q$110,AJ138))</f>
        <v xml:space="preserve"> </v>
      </c>
      <c r="AJ139" s="369"/>
      <c r="AK139" s="370"/>
      <c r="AL139" s="368" t="str">
        <f>IF(OR(AL138="H",AL138="COP",AL138="TRVL",AL138="SL",AL138="CL",AL138="TRNG",AL138="NS",AL138="AL",AL138="204B",INDEX($Q$89:$Q$110,AM138)=0)," ",INDEX($Q$89:$Q$110,AM138))</f>
        <v xml:space="preserve"> </v>
      </c>
      <c r="AM139" s="369"/>
      <c r="AN139" s="370"/>
      <c r="AO139" s="368">
        <f>IF(OR(AO138="H",AO138="COP",AO138="TRVL",AO138="SL",AO138="CL",AO138="TRNG",AO138="NS",AO138="AL",AO138="204B",INDEX($Q$89:$Q$110,AP138)=0)," ",INDEX($Q$89:$Q$110,AP138))</f>
        <v>3005</v>
      </c>
      <c r="AP139" s="369"/>
      <c r="AQ139" s="370"/>
      <c r="AR139" s="368">
        <f>IF(OR(AR138="H",AR138="COP",AR138="TRVL",AR138="SL",AR138="CL",AR138="TRNG",AR138="NS",AR138="AL",AR138="204B",INDEX($Q$89:$Q$110,AS138)=0)," ",INDEX($Q$89:$Q$110,AS138))</f>
        <v>3003</v>
      </c>
      <c r="AS139" s="369"/>
      <c r="AT139" s="370"/>
    </row>
    <row r="140" spans="12:46" ht="18" customHeight="1" x14ac:dyDescent="0.2">
      <c r="L140" s="781" t="str">
        <f>IF(Y139=" "," ",".")</f>
        <v>.</v>
      </c>
      <c r="P140" s="17"/>
      <c r="T140" s="17"/>
      <c r="U140" s="2" t="s">
        <v>56</v>
      </c>
      <c r="Y140" s="314"/>
      <c r="Z140" s="597" t="str">
        <f>IF(OR(AA138=19,Z139=" ",INDEX($U$89:$U$149,AB138)=0)," ",INDEX($U$89:$U$110,AB138))</f>
        <v xml:space="preserve"> &amp; RECYCLE</v>
      </c>
      <c r="AA140" s="418"/>
      <c r="AB140" s="419"/>
      <c r="AC140" s="407" t="str">
        <f>IF(OR(AD138=19,AC139=" ",INDEX($U$89:$U$149,AE138)=0)," ",INDEX($U$89:$U$110,AE138))</f>
        <v xml:space="preserve"> &amp; RECYCLE</v>
      </c>
      <c r="AD140" s="366"/>
      <c r="AE140" s="367"/>
      <c r="AF140" s="407" t="s">
        <v>169</v>
      </c>
      <c r="AG140" s="366"/>
      <c r="AH140" s="367"/>
      <c r="AI140" s="407" t="str">
        <f>IF(OR(AJ138=19,AI139=" ",INDEX($U$89:$U$149,AK138)=0)," ",INDEX($U$89:$U$110,AK138))</f>
        <v xml:space="preserve"> </v>
      </c>
      <c r="AJ140" s="366"/>
      <c r="AK140" s="367"/>
      <c r="AL140" s="407" t="str">
        <f>IF(OR(AM138=19,AL139=" ",INDEX($U$89:$U$149,AN138)=0)," ",INDEX($U$89:$U$110,AN138))</f>
        <v xml:space="preserve"> </v>
      </c>
      <c r="AM140" s="366"/>
      <c r="AN140" s="367"/>
      <c r="AO140" s="407" t="str">
        <f>IF(OR(AP138=19,AO139=" ",INDEX($U$89:$U$149,AQ138)=0)," ",INDEX($U$89:$U$110,AQ138))</f>
        <v xml:space="preserve"> &amp; RECYCLE</v>
      </c>
      <c r="AP140" s="366"/>
      <c r="AQ140" s="367"/>
      <c r="AR140" s="407" t="s">
        <v>169</v>
      </c>
      <c r="AS140" s="366"/>
      <c r="AT140" s="367"/>
    </row>
    <row r="141" spans="12:46" x14ac:dyDescent="0.2">
      <c r="P141" s="17"/>
      <c r="T141" s="17"/>
      <c r="U141" s="2" t="s">
        <v>56</v>
      </c>
      <c r="Y141" s="779"/>
      <c r="Z141" s="760"/>
      <c r="AA141" s="760"/>
      <c r="AB141" s="760"/>
      <c r="AC141" s="760"/>
      <c r="AD141" s="760"/>
      <c r="AE141" s="760"/>
      <c r="AF141" s="760"/>
      <c r="AG141" s="760"/>
      <c r="AH141" s="760"/>
      <c r="AI141" s="761"/>
      <c r="AJ141" s="761"/>
      <c r="AK141" s="761"/>
      <c r="AL141" s="760"/>
      <c r="AM141" s="760"/>
      <c r="AN141" s="760"/>
      <c r="AO141" s="760"/>
      <c r="AP141" s="760"/>
      <c r="AQ141" s="760"/>
      <c r="AR141" s="760"/>
      <c r="AS141" s="760"/>
      <c r="AT141" s="760"/>
    </row>
    <row r="142" spans="12:46" x14ac:dyDescent="0.2">
      <c r="P142" s="17"/>
      <c r="T142" s="17"/>
      <c r="U142" s="2" t="s">
        <v>56</v>
      </c>
      <c r="Y142" s="779"/>
      <c r="Z142" s="760"/>
      <c r="AA142" s="760"/>
      <c r="AB142" s="760"/>
      <c r="AC142" s="760"/>
      <c r="AD142" s="760"/>
      <c r="AE142" s="760"/>
      <c r="AF142" s="760"/>
      <c r="AG142" s="760"/>
      <c r="AH142" s="760"/>
      <c r="AI142" s="761"/>
      <c r="AJ142" s="761"/>
      <c r="AK142" s="761"/>
      <c r="AL142" s="760"/>
      <c r="AM142" s="760"/>
      <c r="AN142" s="760"/>
      <c r="AO142" s="760"/>
      <c r="AP142" s="760"/>
      <c r="AQ142" s="760"/>
      <c r="AR142" s="760"/>
      <c r="AS142" s="760"/>
      <c r="AT142" s="760"/>
    </row>
    <row r="143" spans="12:46" x14ac:dyDescent="0.2">
      <c r="P143" s="17"/>
      <c r="T143" s="17"/>
      <c r="U143" s="2" t="s">
        <v>56</v>
      </c>
      <c r="Y143" s="798"/>
      <c r="Z143" s="760"/>
      <c r="AA143" s="760"/>
      <c r="AB143" s="760"/>
      <c r="AC143" s="760"/>
      <c r="AD143" s="760"/>
      <c r="AE143" s="760"/>
      <c r="AF143" s="760"/>
      <c r="AG143" s="760"/>
      <c r="AH143" s="760"/>
      <c r="AI143" s="761"/>
      <c r="AJ143" s="761"/>
      <c r="AK143" s="761"/>
      <c r="AL143" s="760"/>
      <c r="AM143" s="760"/>
      <c r="AN143" s="760"/>
      <c r="AO143" s="760"/>
      <c r="AP143" s="760"/>
      <c r="AQ143" s="760"/>
      <c r="AR143" s="760"/>
      <c r="AS143" s="760"/>
      <c r="AT143" s="760"/>
    </row>
    <row r="144" spans="12:46" x14ac:dyDescent="0.2">
      <c r="P144" s="17"/>
      <c r="T144" s="17"/>
      <c r="U144" s="2" t="s">
        <v>56</v>
      </c>
      <c r="Y144" s="798"/>
      <c r="Z144" s="760"/>
      <c r="AA144" s="760"/>
      <c r="AB144" s="760"/>
      <c r="AC144" s="760"/>
      <c r="AD144" s="760"/>
      <c r="AE144" s="760"/>
      <c r="AF144" s="760"/>
      <c r="AG144" s="760"/>
      <c r="AH144" s="760"/>
      <c r="AI144" s="761"/>
      <c r="AJ144" s="761"/>
      <c r="AK144" s="761"/>
      <c r="AL144" s="760"/>
      <c r="AM144" s="760"/>
      <c r="AN144" s="760"/>
      <c r="AO144" s="760"/>
      <c r="AP144" s="760"/>
      <c r="AQ144" s="760"/>
      <c r="AR144" s="760"/>
      <c r="AS144" s="760"/>
      <c r="AT144" s="760"/>
    </row>
    <row r="145" spans="16:46" x14ac:dyDescent="0.2">
      <c r="P145" s="17"/>
      <c r="T145" s="17"/>
      <c r="U145" s="2" t="s">
        <v>56</v>
      </c>
      <c r="Y145" s="798"/>
      <c r="Z145" s="760"/>
      <c r="AA145" s="760"/>
      <c r="AB145" s="760"/>
      <c r="AC145" s="760"/>
      <c r="AD145" s="760"/>
      <c r="AE145" s="760"/>
      <c r="AF145" s="760"/>
      <c r="AG145" s="760"/>
      <c r="AH145" s="760"/>
      <c r="AI145" s="761"/>
      <c r="AJ145" s="761"/>
      <c r="AK145" s="761"/>
      <c r="AL145" s="760"/>
      <c r="AM145" s="760"/>
      <c r="AN145" s="760"/>
      <c r="AO145" s="760"/>
      <c r="AP145" s="760"/>
      <c r="AQ145" s="760"/>
      <c r="AR145" s="760"/>
      <c r="AS145" s="760"/>
      <c r="AT145" s="760"/>
    </row>
    <row r="146" spans="16:46" x14ac:dyDescent="0.2">
      <c r="P146" s="17"/>
      <c r="T146" s="17"/>
      <c r="U146" s="2" t="s">
        <v>56</v>
      </c>
      <c r="Y146" s="798"/>
      <c r="Z146" s="760"/>
      <c r="AA146" s="760"/>
      <c r="AB146" s="760"/>
      <c r="AC146" s="760"/>
      <c r="AD146" s="760"/>
      <c r="AE146" s="760"/>
      <c r="AF146" s="760"/>
      <c r="AG146" s="760"/>
      <c r="AH146" s="760"/>
      <c r="AI146" s="761"/>
      <c r="AJ146" s="761"/>
      <c r="AK146" s="761"/>
      <c r="AL146" s="760"/>
      <c r="AM146" s="760"/>
      <c r="AN146" s="760"/>
      <c r="AO146" s="760"/>
      <c r="AP146" s="760"/>
      <c r="AQ146" s="760"/>
      <c r="AR146" s="760"/>
      <c r="AS146" s="760"/>
      <c r="AT146" s="760"/>
    </row>
    <row r="147" spans="16:46" x14ac:dyDescent="0.2">
      <c r="P147" s="17"/>
      <c r="T147" s="17"/>
      <c r="U147" s="2" t="s">
        <v>56</v>
      </c>
    </row>
    <row r="148" spans="16:46" x14ac:dyDescent="0.2">
      <c r="P148" s="17"/>
      <c r="T148" s="17"/>
      <c r="U148" s="2" t="s">
        <v>56</v>
      </c>
    </row>
    <row r="149" spans="16:46" x14ac:dyDescent="0.2">
      <c r="P149" s="17"/>
      <c r="T149" s="17"/>
      <c r="U149" s="2" t="s">
        <v>56</v>
      </c>
    </row>
    <row r="150" spans="16:46" x14ac:dyDescent="0.2">
      <c r="P150" s="17"/>
      <c r="T150" s="17"/>
      <c r="U150" s="2" t="s">
        <v>56</v>
      </c>
    </row>
    <row r="151" spans="16:46" x14ac:dyDescent="0.2">
      <c r="P151" s="17"/>
      <c r="T151" s="17"/>
      <c r="U151" s="2" t="s">
        <v>56</v>
      </c>
    </row>
    <row r="152" spans="16:46" x14ac:dyDescent="0.2">
      <c r="P152" s="17"/>
      <c r="T152" s="17"/>
      <c r="U152" s="2" t="s">
        <v>56</v>
      </c>
    </row>
    <row r="153" spans="16:46" x14ac:dyDescent="0.2">
      <c r="P153" s="17"/>
      <c r="T153" s="17"/>
      <c r="U153" s="2" t="s">
        <v>56</v>
      </c>
    </row>
    <row r="154" spans="16:46" x14ac:dyDescent="0.2">
      <c r="P154" s="17"/>
      <c r="T154" s="17"/>
      <c r="U154" s="2" t="s">
        <v>56</v>
      </c>
    </row>
    <row r="155" spans="16:46" x14ac:dyDescent="0.2">
      <c r="P155" s="17"/>
      <c r="T155" s="17"/>
      <c r="U155" s="2" t="s">
        <v>56</v>
      </c>
    </row>
    <row r="156" spans="16:46" x14ac:dyDescent="0.2">
      <c r="P156" s="17"/>
      <c r="T156" s="17"/>
      <c r="U156" s="2" t="s">
        <v>56</v>
      </c>
    </row>
    <row r="157" spans="16:46" x14ac:dyDescent="0.2">
      <c r="P157" s="17"/>
      <c r="T157" s="17"/>
      <c r="U157" s="2" t="s">
        <v>56</v>
      </c>
    </row>
    <row r="158" spans="16:46" x14ac:dyDescent="0.2">
      <c r="P158" s="17"/>
      <c r="T158" s="17"/>
      <c r="U158" s="2" t="s">
        <v>56</v>
      </c>
    </row>
    <row r="159" spans="16:46" x14ac:dyDescent="0.2">
      <c r="P159" s="17"/>
      <c r="T159" s="17"/>
      <c r="U159" s="2" t="s">
        <v>56</v>
      </c>
    </row>
    <row r="160" spans="16:46" x14ac:dyDescent="0.2">
      <c r="U160" s="2" t="s">
        <v>56</v>
      </c>
    </row>
    <row r="161" spans="21:21" x14ac:dyDescent="0.2">
      <c r="U161" s="2" t="s">
        <v>56</v>
      </c>
    </row>
    <row r="162" spans="21:21" x14ac:dyDescent="0.2">
      <c r="U162" s="2" t="s">
        <v>56</v>
      </c>
    </row>
  </sheetData>
  <autoFilter ref="L3:L140">
    <filterColumn colId="0">
      <customFilters and="1">
        <customFilter operator="notEqual" val=" "/>
      </customFilters>
    </filterColumn>
  </autoFilter>
  <phoneticPr fontId="40" type="noConversion"/>
  <conditionalFormatting sqref="AC97:AE98">
    <cfRule type="expression" dxfId="1216" priority="240" stopIfTrue="1">
      <formula>$AC$96&gt;" "</formula>
    </cfRule>
  </conditionalFormatting>
  <conditionalFormatting sqref="AF97:AH98">
    <cfRule type="expression" dxfId="1215" priority="241" stopIfTrue="1">
      <formula>$AF$96&gt;" "</formula>
    </cfRule>
  </conditionalFormatting>
  <conditionalFormatting sqref="Z85:AB86">
    <cfRule type="expression" dxfId="1214" priority="242" stopIfTrue="1">
      <formula>$Z$84&gt;" "</formula>
    </cfRule>
  </conditionalFormatting>
  <conditionalFormatting sqref="AC85:AE86">
    <cfRule type="expression" dxfId="1213" priority="243" stopIfTrue="1">
      <formula>$AC$84&gt;" "</formula>
    </cfRule>
  </conditionalFormatting>
  <conditionalFormatting sqref="AF85:AH86">
    <cfRule type="expression" dxfId="1212" priority="244" stopIfTrue="1">
      <formula>$AF$84&gt;" "</formula>
    </cfRule>
  </conditionalFormatting>
  <conditionalFormatting sqref="AI85:AK86">
    <cfRule type="expression" dxfId="1211" priority="245" stopIfTrue="1">
      <formula>$AI$84&gt;" "</formula>
    </cfRule>
  </conditionalFormatting>
  <conditionalFormatting sqref="AL85:AN86">
    <cfRule type="expression" dxfId="1210" priority="246" stopIfTrue="1">
      <formula>$AL$84&gt;" "</formula>
    </cfRule>
  </conditionalFormatting>
  <conditionalFormatting sqref="AO85:AQ86">
    <cfRule type="expression" dxfId="1209" priority="247" stopIfTrue="1">
      <formula>$AO$84&gt;" "</formula>
    </cfRule>
  </conditionalFormatting>
  <conditionalFormatting sqref="AR85:AT86">
    <cfRule type="expression" dxfId="1208" priority="248" stopIfTrue="1">
      <formula>$AR$84&gt;" "</formula>
    </cfRule>
  </conditionalFormatting>
  <conditionalFormatting sqref="Z88:AB89">
    <cfRule type="expression" dxfId="1207" priority="249" stopIfTrue="1">
      <formula>$Z$87&gt;" "</formula>
    </cfRule>
  </conditionalFormatting>
  <conditionalFormatting sqref="AC88:AE89">
    <cfRule type="expression" dxfId="1206" priority="250" stopIfTrue="1">
      <formula>$AC$87&gt;" "</formula>
    </cfRule>
  </conditionalFormatting>
  <conditionalFormatting sqref="AF88:AH89">
    <cfRule type="expression" dxfId="1205" priority="251" stopIfTrue="1">
      <formula>$AF$87&gt;" "</formula>
    </cfRule>
  </conditionalFormatting>
  <conditionalFormatting sqref="AI88:AK89">
    <cfRule type="expression" dxfId="1204" priority="252" stopIfTrue="1">
      <formula>$AI$87&gt;" "</formula>
    </cfRule>
  </conditionalFormatting>
  <conditionalFormatting sqref="AL88:AN89 AO89:AQ89">
    <cfRule type="expression" dxfId="1203" priority="253" stopIfTrue="1">
      <formula>$AL$87&gt;" "</formula>
    </cfRule>
  </conditionalFormatting>
  <conditionalFormatting sqref="AO88:AQ88">
    <cfRule type="expression" dxfId="1202" priority="254" stopIfTrue="1">
      <formula>$AO$87&gt;" "</formula>
    </cfRule>
  </conditionalFormatting>
  <conditionalFormatting sqref="AR88:AT89">
    <cfRule type="expression" dxfId="1201" priority="255" stopIfTrue="1">
      <formula>$AR$87&gt;" "</formula>
    </cfRule>
  </conditionalFormatting>
  <conditionalFormatting sqref="Z91:AB92">
    <cfRule type="expression" dxfId="1200" priority="256" stopIfTrue="1">
      <formula>$Z$90&gt;" "</formula>
    </cfRule>
  </conditionalFormatting>
  <conditionalFormatting sqref="AC91:AE92">
    <cfRule type="expression" dxfId="1199" priority="257" stopIfTrue="1">
      <formula>$AC$90&gt;" "</formula>
    </cfRule>
  </conditionalFormatting>
  <conditionalFormatting sqref="AF91:AH92">
    <cfRule type="expression" dxfId="1198" priority="258" stopIfTrue="1">
      <formula>$AF$90&gt;" "</formula>
    </cfRule>
  </conditionalFormatting>
  <conditionalFormatting sqref="AI91:AK92">
    <cfRule type="expression" dxfId="1197" priority="259" stopIfTrue="1">
      <formula>$AI$90&gt;" "</formula>
    </cfRule>
  </conditionalFormatting>
  <conditionalFormatting sqref="AL91:AN92">
    <cfRule type="expression" dxfId="1196" priority="260" stopIfTrue="1">
      <formula>$AL$90&gt;" "</formula>
    </cfRule>
  </conditionalFormatting>
  <conditionalFormatting sqref="AO91:AQ92">
    <cfRule type="expression" dxfId="1195" priority="261" stopIfTrue="1">
      <formula>$AO$90&gt;" "</formula>
    </cfRule>
  </conditionalFormatting>
  <conditionalFormatting sqref="AR91:AT92">
    <cfRule type="expression" dxfId="1194" priority="262" stopIfTrue="1">
      <formula>$AR$90&gt;" "</formula>
    </cfRule>
  </conditionalFormatting>
  <conditionalFormatting sqref="Z94:AB95">
    <cfRule type="expression" dxfId="1193" priority="263" stopIfTrue="1">
      <formula>$Z$93&gt;" "</formula>
    </cfRule>
  </conditionalFormatting>
  <conditionalFormatting sqref="AC94:AE95">
    <cfRule type="expression" dxfId="1192" priority="264" stopIfTrue="1">
      <formula>$AC$93&gt;" "</formula>
    </cfRule>
  </conditionalFormatting>
  <conditionalFormatting sqref="AF94:AH95">
    <cfRule type="expression" dxfId="1191" priority="265" stopIfTrue="1">
      <formula>$AF$93&gt;" "</formula>
    </cfRule>
  </conditionalFormatting>
  <conditionalFormatting sqref="AI94:AK95">
    <cfRule type="expression" dxfId="1190" priority="266" stopIfTrue="1">
      <formula>$AI$93&gt;" "</formula>
    </cfRule>
  </conditionalFormatting>
  <conditionalFormatting sqref="AL94:AN95">
    <cfRule type="expression" dxfId="1189" priority="267" stopIfTrue="1">
      <formula>$AL$93&gt;" "</formula>
    </cfRule>
  </conditionalFormatting>
  <conditionalFormatting sqref="AO94:AQ95">
    <cfRule type="expression" dxfId="1188" priority="268" stopIfTrue="1">
      <formula>$AO$93&gt;" "</formula>
    </cfRule>
  </conditionalFormatting>
  <conditionalFormatting sqref="AR94:AT95">
    <cfRule type="expression" dxfId="1187" priority="269" stopIfTrue="1">
      <formula>$AR$93&gt;" "</formula>
    </cfRule>
  </conditionalFormatting>
  <conditionalFormatting sqref="Z97:AB98">
    <cfRule type="expression" dxfId="1186" priority="270" stopIfTrue="1">
      <formula>$Z$96&gt;" "</formula>
    </cfRule>
  </conditionalFormatting>
  <conditionalFormatting sqref="AI97:AK98">
    <cfRule type="expression" dxfId="1185" priority="271" stopIfTrue="1">
      <formula>$AI$96&gt;" "</formula>
    </cfRule>
  </conditionalFormatting>
  <conditionalFormatting sqref="AL97:AN98">
    <cfRule type="expression" dxfId="1184" priority="272" stopIfTrue="1">
      <formula>$AL$96&gt;" "</formula>
    </cfRule>
  </conditionalFormatting>
  <conditionalFormatting sqref="AO97:AQ98">
    <cfRule type="expression" dxfId="1183" priority="273" stopIfTrue="1">
      <formula>$AO$96&gt;" "</formula>
    </cfRule>
  </conditionalFormatting>
  <conditionalFormatting sqref="AR97:AT98">
    <cfRule type="expression" dxfId="1182" priority="274" stopIfTrue="1">
      <formula>$AR$96&gt;" "</formula>
    </cfRule>
  </conditionalFormatting>
  <conditionalFormatting sqref="AA118:AB119">
    <cfRule type="expression" dxfId="1181" priority="308" stopIfTrue="1">
      <formula>$Z$117&gt;" "</formula>
    </cfRule>
  </conditionalFormatting>
  <conditionalFormatting sqref="AD118:AE119 AC118">
    <cfRule type="expression" dxfId="1180" priority="309" stopIfTrue="1">
      <formula>$AC$117&gt;" "</formula>
    </cfRule>
  </conditionalFormatting>
  <conditionalFormatting sqref="AG118:AH119 AF118">
    <cfRule type="expression" dxfId="1179" priority="310" stopIfTrue="1">
      <formula>$AF$117&gt;" "</formula>
    </cfRule>
  </conditionalFormatting>
  <conditionalFormatting sqref="AJ118:AK119 AI118">
    <cfRule type="expression" dxfId="1178" priority="311" stopIfTrue="1">
      <formula>$AI$117&gt;" "</formula>
    </cfRule>
  </conditionalFormatting>
  <conditionalFormatting sqref="AM118:AN119 AL118">
    <cfRule type="expression" dxfId="1177" priority="312" stopIfTrue="1">
      <formula>$AL$117&gt;" "</formula>
    </cfRule>
  </conditionalFormatting>
  <conditionalFormatting sqref="AO118:AQ119">
    <cfRule type="expression" dxfId="1176" priority="313" stopIfTrue="1">
      <formula>$AO$117&gt;" "</formula>
    </cfRule>
  </conditionalFormatting>
  <conditionalFormatting sqref="AR118:AT119">
    <cfRule type="expression" dxfId="1175" priority="314" stopIfTrue="1">
      <formula>$AR$117&gt;" "</formula>
    </cfRule>
  </conditionalFormatting>
  <conditionalFormatting sqref="Z124:AB125">
    <cfRule type="expression" dxfId="1174" priority="315" stopIfTrue="1">
      <formula>$Z$123&gt;" "</formula>
    </cfRule>
  </conditionalFormatting>
  <conditionalFormatting sqref="AD124:AE125 AC124">
    <cfRule type="expression" dxfId="1173" priority="316" stopIfTrue="1">
      <formula>$AC$123&gt;" "</formula>
    </cfRule>
  </conditionalFormatting>
  <conditionalFormatting sqref="AG124:AH125 AF124">
    <cfRule type="expression" dxfId="1172" priority="317" stopIfTrue="1">
      <formula>$AF$123&gt;" "</formula>
    </cfRule>
  </conditionalFormatting>
  <conditionalFormatting sqref="AI124:AK125">
    <cfRule type="expression" dxfId="1171" priority="318" stopIfTrue="1">
      <formula>$AI$123&gt;" "</formula>
    </cfRule>
  </conditionalFormatting>
  <conditionalFormatting sqref="AL124:AN125">
    <cfRule type="expression" dxfId="1170" priority="319" stopIfTrue="1">
      <formula>$AL$123&gt;" "</formula>
    </cfRule>
  </conditionalFormatting>
  <conditionalFormatting sqref="AP124:AQ125 AO124">
    <cfRule type="expression" dxfId="1169" priority="320" stopIfTrue="1">
      <formula>$AO$123&gt;" "</formula>
    </cfRule>
  </conditionalFormatting>
  <conditionalFormatting sqref="AS124:AT125 AR124">
    <cfRule type="expression" dxfId="1168" priority="321" stopIfTrue="1">
      <formula>$AR$123&gt;" "</formula>
    </cfRule>
  </conditionalFormatting>
  <conditionalFormatting sqref="Z127:AB127">
    <cfRule type="expression" dxfId="1167" priority="322" stopIfTrue="1">
      <formula>$Z$126&gt;" "</formula>
    </cfRule>
  </conditionalFormatting>
  <conditionalFormatting sqref="AC127:AE127">
    <cfRule type="expression" dxfId="1166" priority="323" stopIfTrue="1">
      <formula>$AC$126&gt;" "</formula>
    </cfRule>
  </conditionalFormatting>
  <conditionalFormatting sqref="AF127:AH127">
    <cfRule type="expression" dxfId="1165" priority="324" stopIfTrue="1">
      <formula>$AF$126&gt;" "</formula>
    </cfRule>
  </conditionalFormatting>
  <conditionalFormatting sqref="AI127:AK127">
    <cfRule type="expression" dxfId="1164" priority="325" stopIfTrue="1">
      <formula>$AI$126&gt;" "</formula>
    </cfRule>
  </conditionalFormatting>
  <conditionalFormatting sqref="AL127:AN127">
    <cfRule type="expression" dxfId="1163" priority="326" stopIfTrue="1">
      <formula>$AL$126&gt;" "</formula>
    </cfRule>
  </conditionalFormatting>
  <conditionalFormatting sqref="AO127:AQ127">
    <cfRule type="expression" dxfId="1162" priority="327" stopIfTrue="1">
      <formula>$AO$126&gt;" "</formula>
    </cfRule>
  </conditionalFormatting>
  <conditionalFormatting sqref="AR127:AT127">
    <cfRule type="expression" dxfId="1161" priority="328" stopIfTrue="1">
      <formula>$AR$126&gt;" "</formula>
    </cfRule>
  </conditionalFormatting>
  <conditionalFormatting sqref="Z118">
    <cfRule type="expression" dxfId="1160" priority="329" stopIfTrue="1">
      <formula>$Z$117&gt;" "</formula>
    </cfRule>
  </conditionalFormatting>
  <conditionalFormatting sqref="AA121:AB122 Z121">
    <cfRule type="expression" dxfId="1159" priority="330" stopIfTrue="1">
      <formula>$Z$120&gt;" "</formula>
    </cfRule>
  </conditionalFormatting>
  <conditionalFormatting sqref="AD121:AE122 AC121">
    <cfRule type="expression" dxfId="1158" priority="331" stopIfTrue="1">
      <formula>$AC$120&gt;" "</formula>
    </cfRule>
  </conditionalFormatting>
  <conditionalFormatting sqref="AG121:AH122 AF121">
    <cfRule type="expression" dxfId="1157" priority="332" stopIfTrue="1">
      <formula>$AF$120&gt;" "</formula>
    </cfRule>
  </conditionalFormatting>
  <conditionalFormatting sqref="AJ121:AK122 AI121">
    <cfRule type="expression" dxfId="1156" priority="333" stopIfTrue="1">
      <formula>$AI$120&gt;" "</formula>
    </cfRule>
  </conditionalFormatting>
  <conditionalFormatting sqref="AL121:AN122">
    <cfRule type="expression" dxfId="1155" priority="334" stopIfTrue="1">
      <formula>$AL$120&gt;" "</formula>
    </cfRule>
  </conditionalFormatting>
  <conditionalFormatting sqref="AO121:AQ122">
    <cfRule type="expression" dxfId="1154" priority="335" stopIfTrue="1">
      <formula>$AO$120&gt;" "</formula>
    </cfRule>
  </conditionalFormatting>
  <conditionalFormatting sqref="AS121:AT122 AR121">
    <cfRule type="expression" dxfId="1153" priority="336" stopIfTrue="1">
      <formula>$AR$120&gt;" "</formula>
    </cfRule>
  </conditionalFormatting>
  <conditionalFormatting sqref="Z100:AB101">
    <cfRule type="expression" dxfId="1152" priority="213" stopIfTrue="1">
      <formula>$Z$99&gt;" "</formula>
    </cfRule>
  </conditionalFormatting>
  <conditionalFormatting sqref="AF100:AH101">
    <cfRule type="expression" dxfId="1151" priority="159" stopIfTrue="1">
      <formula>$AF$99&gt;" "</formula>
    </cfRule>
  </conditionalFormatting>
  <conditionalFormatting sqref="AI100:AK101">
    <cfRule type="expression" dxfId="1150" priority="158" stopIfTrue="1">
      <formula>$AI$99&gt;" "</formula>
    </cfRule>
  </conditionalFormatting>
  <conditionalFormatting sqref="AL100:AN101">
    <cfRule type="expression" dxfId="1149" priority="157" stopIfTrue="1">
      <formula>$AL$99&gt;" "</formula>
    </cfRule>
  </conditionalFormatting>
  <conditionalFormatting sqref="AO100:AQ101">
    <cfRule type="expression" dxfId="1148" priority="156" stopIfTrue="1">
      <formula>$AO$99&gt;" "</formula>
    </cfRule>
  </conditionalFormatting>
  <conditionalFormatting sqref="AR100:AT101">
    <cfRule type="expression" dxfId="1147" priority="155" stopIfTrue="1">
      <formula>$AR$99&gt;" "</formula>
    </cfRule>
  </conditionalFormatting>
  <conditionalFormatting sqref="Z103:AB104">
    <cfRule type="expression" dxfId="1146" priority="154" stopIfTrue="1">
      <formula>$Z$102&gt;" "</formula>
    </cfRule>
  </conditionalFormatting>
  <conditionalFormatting sqref="AC103:AE104">
    <cfRule type="expression" dxfId="1145" priority="153" stopIfTrue="1">
      <formula>$AC$102&gt;" "</formula>
    </cfRule>
  </conditionalFormatting>
  <conditionalFormatting sqref="AF103:AH104">
    <cfRule type="expression" dxfId="1144" priority="152" stopIfTrue="1">
      <formula>$AF$102&gt;" "</formula>
    </cfRule>
  </conditionalFormatting>
  <conditionalFormatting sqref="AI103:AK104">
    <cfRule type="expression" dxfId="1143" priority="151" stopIfTrue="1">
      <formula>$AI$102&gt;" "</formula>
    </cfRule>
  </conditionalFormatting>
  <conditionalFormatting sqref="AL103:AN104">
    <cfRule type="expression" dxfId="1142" priority="150" stopIfTrue="1">
      <formula>$AL$102&gt;" "</formula>
    </cfRule>
  </conditionalFormatting>
  <conditionalFormatting sqref="AO103:AQ104">
    <cfRule type="expression" dxfId="1141" priority="149" stopIfTrue="1">
      <formula>$AO$102&gt;" "</formula>
    </cfRule>
  </conditionalFormatting>
  <conditionalFormatting sqref="AR103:AT104">
    <cfRule type="expression" dxfId="1140" priority="148" stopIfTrue="1">
      <formula>$AR$102&gt;" "</formula>
    </cfRule>
  </conditionalFormatting>
  <conditionalFormatting sqref="Z106:AB107">
    <cfRule type="expression" dxfId="1139" priority="147" stopIfTrue="1">
      <formula>$Z$105&gt;" "</formula>
    </cfRule>
  </conditionalFormatting>
  <conditionalFormatting sqref="Z109:AB110">
    <cfRule type="expression" dxfId="1138" priority="146" stopIfTrue="1">
      <formula>$Z$108&gt;" "</formula>
    </cfRule>
  </conditionalFormatting>
  <conditionalFormatting sqref="AC106:AE107">
    <cfRule type="expression" dxfId="1137" priority="145" stopIfTrue="1">
      <formula>$AC$105&gt;" "</formula>
    </cfRule>
  </conditionalFormatting>
  <conditionalFormatting sqref="AC109:AE110">
    <cfRule type="expression" dxfId="1136" priority="144" stopIfTrue="1">
      <formula>$AC$108&gt;" "</formula>
    </cfRule>
  </conditionalFormatting>
  <conditionalFormatting sqref="AF106:AH107">
    <cfRule type="expression" dxfId="1135" priority="143" stopIfTrue="1">
      <formula>$AF$105&gt;" "</formula>
    </cfRule>
  </conditionalFormatting>
  <conditionalFormatting sqref="AF109:AH110">
    <cfRule type="expression" dxfId="1134" priority="142" stopIfTrue="1">
      <formula>$AF$108&gt;" "</formula>
    </cfRule>
  </conditionalFormatting>
  <conditionalFormatting sqref="AI106:AK107">
    <cfRule type="expression" dxfId="1133" priority="141" stopIfTrue="1">
      <formula>$AI$105&gt;" "</formula>
    </cfRule>
  </conditionalFormatting>
  <conditionalFormatting sqref="AI109:AK110">
    <cfRule type="expression" dxfId="1132" priority="140" stopIfTrue="1">
      <formula>$AI$108&gt;" "</formula>
    </cfRule>
  </conditionalFormatting>
  <conditionalFormatting sqref="AL106:AN107">
    <cfRule type="expression" dxfId="1131" priority="139" stopIfTrue="1">
      <formula>$AL$105&gt;" "</formula>
    </cfRule>
  </conditionalFormatting>
  <conditionalFormatting sqref="AL109:AN110">
    <cfRule type="expression" dxfId="1130" priority="138" stopIfTrue="1">
      <formula>$AL$108&gt;" "</formula>
    </cfRule>
  </conditionalFormatting>
  <conditionalFormatting sqref="AO106:AQ107">
    <cfRule type="expression" dxfId="1129" priority="137" stopIfTrue="1">
      <formula>$AO$105&gt;" "</formula>
    </cfRule>
  </conditionalFormatting>
  <conditionalFormatting sqref="AO109:AQ109">
    <cfRule type="expression" dxfId="1128" priority="136" stopIfTrue="1">
      <formula>$AO$108&gt;" "</formula>
    </cfRule>
  </conditionalFormatting>
  <conditionalFormatting sqref="AR106:AT107">
    <cfRule type="expression" dxfId="1127" priority="135" stopIfTrue="1">
      <formula>$AR$105&gt;" "</formula>
    </cfRule>
  </conditionalFormatting>
  <conditionalFormatting sqref="AR109:AT110 AO110:AQ110">
    <cfRule type="expression" dxfId="1126" priority="133" stopIfTrue="1">
      <formula>$AR$108&gt;" "</formula>
    </cfRule>
  </conditionalFormatting>
  <conditionalFormatting sqref="AC100:AE101">
    <cfRule type="expression" dxfId="1125" priority="132" stopIfTrue="1">
      <formula>$AC$99&gt;" "</formula>
    </cfRule>
  </conditionalFormatting>
  <conditionalFormatting sqref="Z112:AB113">
    <cfRule type="expression" dxfId="1124" priority="117" stopIfTrue="1">
      <formula>$Z$108&gt;" "</formula>
    </cfRule>
  </conditionalFormatting>
  <conditionalFormatting sqref="AC112:AE113">
    <cfRule type="expression" dxfId="1123" priority="116" stopIfTrue="1">
      <formula>$AC$108&gt;" "</formula>
    </cfRule>
  </conditionalFormatting>
  <conditionalFormatting sqref="AF112:AH113">
    <cfRule type="expression" dxfId="1122" priority="115" stopIfTrue="1">
      <formula>$AF$108&gt;" "</formula>
    </cfRule>
  </conditionalFormatting>
  <conditionalFormatting sqref="AO112:AQ113">
    <cfRule type="expression" dxfId="1121" priority="112" stopIfTrue="1">
      <formula>$AO$108&gt;" "</formula>
    </cfRule>
  </conditionalFormatting>
  <conditionalFormatting sqref="AR112:AT113">
    <cfRule type="expression" dxfId="1120" priority="111" stopIfTrue="1">
      <formula>$AR$108&gt;" "</formula>
    </cfRule>
  </conditionalFormatting>
  <conditionalFormatting sqref="Z115:AB116">
    <cfRule type="expression" dxfId="1119" priority="110" stopIfTrue="1">
      <formula>$Z$108&gt;" "</formula>
    </cfRule>
  </conditionalFormatting>
  <conditionalFormatting sqref="AC115:AE116">
    <cfRule type="expression" dxfId="1118" priority="109" stopIfTrue="1">
      <formula>$AC$108&gt;" "</formula>
    </cfRule>
  </conditionalFormatting>
  <conditionalFormatting sqref="AF115:AH116">
    <cfRule type="expression" dxfId="1117" priority="108" stopIfTrue="1">
      <formula>$AF$108&gt;" "</formula>
    </cfRule>
  </conditionalFormatting>
  <conditionalFormatting sqref="AI115:AK116">
    <cfRule type="expression" dxfId="1116" priority="107" stopIfTrue="1">
      <formula>$AI$108&gt;" "</formula>
    </cfRule>
  </conditionalFormatting>
  <conditionalFormatting sqref="AL115:AN116">
    <cfRule type="expression" dxfId="1115" priority="106" stopIfTrue="1">
      <formula>$AL$108&gt;" "</formula>
    </cfRule>
  </conditionalFormatting>
  <conditionalFormatting sqref="AO115:AQ116">
    <cfRule type="expression" dxfId="1114" priority="105" stopIfTrue="1">
      <formula>$AO$108&gt;" "</formula>
    </cfRule>
  </conditionalFormatting>
  <conditionalFormatting sqref="AR115:AT116">
    <cfRule type="expression" dxfId="1113" priority="104" stopIfTrue="1">
      <formula>$AR$108&gt;" "</formula>
    </cfRule>
  </conditionalFormatting>
  <conditionalFormatting sqref="Z130:AB130">
    <cfRule type="expression" dxfId="1112" priority="71" stopIfTrue="1">
      <formula>$Z$126&gt;" "</formula>
    </cfRule>
  </conditionalFormatting>
  <conditionalFormatting sqref="AC130:AE130">
    <cfRule type="expression" dxfId="1111" priority="72" stopIfTrue="1">
      <formula>$AC$126&gt;" "</formula>
    </cfRule>
  </conditionalFormatting>
  <conditionalFormatting sqref="AF130:AH130">
    <cfRule type="expression" dxfId="1110" priority="73" stopIfTrue="1">
      <formula>$AF$126&gt;" "</formula>
    </cfRule>
  </conditionalFormatting>
  <conditionalFormatting sqref="AR130:AT130">
    <cfRule type="expression" dxfId="1109" priority="77" stopIfTrue="1">
      <formula>$AR$126&gt;" "</formula>
    </cfRule>
  </conditionalFormatting>
  <conditionalFormatting sqref="Z133:AB133">
    <cfRule type="expression" dxfId="1108" priority="64" stopIfTrue="1">
      <formula>$Z$126&gt;" "</formula>
    </cfRule>
  </conditionalFormatting>
  <conditionalFormatting sqref="AC133:AE133">
    <cfRule type="expression" dxfId="1107" priority="65" stopIfTrue="1">
      <formula>$AC$126&gt;" "</formula>
    </cfRule>
  </conditionalFormatting>
  <conditionalFormatting sqref="AF133:AH133">
    <cfRule type="expression" dxfId="1106" priority="66" stopIfTrue="1">
      <formula>$AF$126&gt;" "</formula>
    </cfRule>
  </conditionalFormatting>
  <conditionalFormatting sqref="AR133:AT133">
    <cfRule type="expression" dxfId="1105" priority="70" stopIfTrue="1">
      <formula>$AR$126&gt;" "</formula>
    </cfRule>
  </conditionalFormatting>
  <conditionalFormatting sqref="Z136:AB136">
    <cfRule type="expression" dxfId="1104" priority="57" stopIfTrue="1">
      <formula>$Z$126&gt;" "</formula>
    </cfRule>
  </conditionalFormatting>
  <conditionalFormatting sqref="AC136:AE136">
    <cfRule type="expression" dxfId="1103" priority="58" stopIfTrue="1">
      <formula>$AC$126&gt;" "</formula>
    </cfRule>
  </conditionalFormatting>
  <conditionalFormatting sqref="AF136:AH136">
    <cfRule type="expression" dxfId="1102" priority="59" stopIfTrue="1">
      <formula>$AF$126&gt;" "</formula>
    </cfRule>
  </conditionalFormatting>
  <conditionalFormatting sqref="AR136:AT136">
    <cfRule type="expression" dxfId="1101" priority="63" stopIfTrue="1">
      <formula>$AR$126&gt;" "</formula>
    </cfRule>
  </conditionalFormatting>
  <conditionalFormatting sqref="Z139:AB139">
    <cfRule type="expression" dxfId="1100" priority="43" stopIfTrue="1">
      <formula>$Z$126&gt;" "</formula>
    </cfRule>
  </conditionalFormatting>
  <conditionalFormatting sqref="AC139:AE139">
    <cfRule type="expression" dxfId="1099" priority="44" stopIfTrue="1">
      <formula>$AC$126&gt;" "</formula>
    </cfRule>
  </conditionalFormatting>
  <conditionalFormatting sqref="AF139:AH139">
    <cfRule type="expression" dxfId="1098" priority="45" stopIfTrue="1">
      <formula>$AF$126&gt;" "</formula>
    </cfRule>
  </conditionalFormatting>
  <conditionalFormatting sqref="AR139:AT139">
    <cfRule type="expression" dxfId="1097" priority="49" stopIfTrue="1">
      <formula>$AR$126&gt;" "</formula>
    </cfRule>
  </conditionalFormatting>
  <conditionalFormatting sqref="Z128:AB128">
    <cfRule type="expression" dxfId="1096" priority="36" stopIfTrue="1">
      <formula>$Z$123&gt;" "</formula>
    </cfRule>
  </conditionalFormatting>
  <conditionalFormatting sqref="AD128:AE128">
    <cfRule type="expression" dxfId="1095" priority="37" stopIfTrue="1">
      <formula>$AC$123&gt;" "</formula>
    </cfRule>
  </conditionalFormatting>
  <conditionalFormatting sqref="AG128:AH128">
    <cfRule type="expression" dxfId="1094" priority="38" stopIfTrue="1">
      <formula>$AF$123&gt;" "</formula>
    </cfRule>
  </conditionalFormatting>
  <conditionalFormatting sqref="AI128:AK128">
    <cfRule type="expression" dxfId="1093" priority="39" stopIfTrue="1">
      <formula>$AI$123&gt;" "</formula>
    </cfRule>
  </conditionalFormatting>
  <conditionalFormatting sqref="AL128:AN128">
    <cfRule type="expression" dxfId="1092" priority="40" stopIfTrue="1">
      <formula>$AL$123&gt;" "</formula>
    </cfRule>
  </conditionalFormatting>
  <conditionalFormatting sqref="AS128:AT128">
    <cfRule type="expression" dxfId="1091" priority="42" stopIfTrue="1">
      <formula>$AR$123&gt;" "</formula>
    </cfRule>
  </conditionalFormatting>
  <conditionalFormatting sqref="Z131:AB131">
    <cfRule type="expression" dxfId="1090" priority="29" stopIfTrue="1">
      <formula>$Z$123&gt;" "</formula>
    </cfRule>
  </conditionalFormatting>
  <conditionalFormatting sqref="AD131:AE131">
    <cfRule type="expression" dxfId="1089" priority="30" stopIfTrue="1">
      <formula>$AC$123&gt;" "</formula>
    </cfRule>
  </conditionalFormatting>
  <conditionalFormatting sqref="AG131:AH131">
    <cfRule type="expression" dxfId="1088" priority="31" stopIfTrue="1">
      <formula>$AF$123&gt;" "</formula>
    </cfRule>
  </conditionalFormatting>
  <conditionalFormatting sqref="AS131:AT131">
    <cfRule type="expression" dxfId="1087" priority="35" stopIfTrue="1">
      <formula>$AR$123&gt;" "</formula>
    </cfRule>
  </conditionalFormatting>
  <conditionalFormatting sqref="Z134:AB134">
    <cfRule type="expression" dxfId="1086" priority="22" stopIfTrue="1">
      <formula>$Z$123&gt;" "</formula>
    </cfRule>
  </conditionalFormatting>
  <conditionalFormatting sqref="AD134:AE134">
    <cfRule type="expression" dxfId="1085" priority="23" stopIfTrue="1">
      <formula>$AC$123&gt;" "</formula>
    </cfRule>
  </conditionalFormatting>
  <conditionalFormatting sqref="AG134:AH134">
    <cfRule type="expression" dxfId="1084" priority="24" stopIfTrue="1">
      <formula>$AF$123&gt;" "</formula>
    </cfRule>
  </conditionalFormatting>
  <conditionalFormatting sqref="AS134:AT134">
    <cfRule type="expression" dxfId="1083" priority="28" stopIfTrue="1">
      <formula>$AR$123&gt;" "</formula>
    </cfRule>
  </conditionalFormatting>
  <conditionalFormatting sqref="Z137:AB137">
    <cfRule type="expression" dxfId="1082" priority="15" stopIfTrue="1">
      <formula>$Z$123&gt;" "</formula>
    </cfRule>
  </conditionalFormatting>
  <conditionalFormatting sqref="AD137:AE137">
    <cfRule type="expression" dxfId="1081" priority="16" stopIfTrue="1">
      <formula>$AC$123&gt;" "</formula>
    </cfRule>
  </conditionalFormatting>
  <conditionalFormatting sqref="AG137:AH137">
    <cfRule type="expression" dxfId="1080" priority="17" stopIfTrue="1">
      <formula>$AF$123&gt;" "</formula>
    </cfRule>
  </conditionalFormatting>
  <conditionalFormatting sqref="AS137:AT137">
    <cfRule type="expression" dxfId="1079" priority="21" stopIfTrue="1">
      <formula>$AR$123&gt;" "</formula>
    </cfRule>
  </conditionalFormatting>
  <conditionalFormatting sqref="Z140:AB140">
    <cfRule type="expression" dxfId="1078" priority="1" stopIfTrue="1">
      <formula>$Z$123&gt;" "</formula>
    </cfRule>
  </conditionalFormatting>
  <conditionalFormatting sqref="AD140:AE140">
    <cfRule type="expression" dxfId="1077" priority="2" stopIfTrue="1">
      <formula>$AC$123&gt;" "</formula>
    </cfRule>
  </conditionalFormatting>
  <conditionalFormatting sqref="AG140:AH140">
    <cfRule type="expression" dxfId="1076" priority="3" stopIfTrue="1">
      <formula>$AF$123&gt;" "</formula>
    </cfRule>
  </conditionalFormatting>
  <conditionalFormatting sqref="AS140:AT140">
    <cfRule type="expression" dxfId="1075" priority="7" stopIfTrue="1">
      <formula>$AR$123&gt;" "</formula>
    </cfRule>
  </conditionalFormatting>
  <pageMargins left="0.25" right="0.25" top="0.5" bottom="0.5" header="0.5" footer="0.5"/>
  <pageSetup scale="47" orientation="landscape"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filterMode="1"/>
  <dimension ref="A6:AS84"/>
  <sheetViews>
    <sheetView topLeftCell="V1" zoomScale="60" zoomScaleNormal="60" workbookViewId="0">
      <selection activeCell="W53" sqref="W53"/>
    </sheetView>
  </sheetViews>
  <sheetFormatPr defaultColWidth="11.42578125" defaultRowHeight="15" x14ac:dyDescent="0.2"/>
  <cols>
    <col min="1" max="1" width="17.85546875" style="3" customWidth="1"/>
    <col min="2" max="8" width="20.7109375" style="3" customWidth="1"/>
    <col min="9" max="9" width="8.28515625" style="3" customWidth="1"/>
    <col min="10" max="10" width="16.42578125" style="3" customWidth="1"/>
    <col min="11" max="11" width="13.140625" style="3" customWidth="1"/>
    <col min="12" max="23" width="11.42578125" style="3" customWidth="1"/>
    <col min="24" max="24" width="20.85546875" style="3" customWidth="1"/>
    <col min="25" max="45" width="9.7109375" style="3" customWidth="1"/>
    <col min="46" max="16384" width="11.42578125" style="3"/>
  </cols>
  <sheetData>
    <row r="6" spans="1:19" ht="15.75" thickBot="1" x14ac:dyDescent="0.25"/>
    <row r="7" spans="1:19" ht="20.100000000000001" customHeight="1" x14ac:dyDescent="0.2">
      <c r="A7" s="129"/>
      <c r="B7" s="130">
        <f>Schedule!G8</f>
        <v>0</v>
      </c>
      <c r="C7" s="45">
        <f t="shared" ref="C7:H8" si="0">B7+1</f>
        <v>1</v>
      </c>
      <c r="D7" s="45">
        <f t="shared" si="0"/>
        <v>2</v>
      </c>
      <c r="E7" s="45">
        <f t="shared" si="0"/>
        <v>3</v>
      </c>
      <c r="F7" s="45">
        <f t="shared" si="0"/>
        <v>4</v>
      </c>
      <c r="G7" s="45">
        <f t="shared" si="0"/>
        <v>5</v>
      </c>
      <c r="H7" s="45">
        <f t="shared" si="0"/>
        <v>6</v>
      </c>
      <c r="I7" s="53"/>
      <c r="J7" s="53"/>
      <c r="K7" s="53"/>
      <c r="L7" s="53"/>
      <c r="M7" s="53"/>
      <c r="N7" s="53"/>
      <c r="O7" s="53"/>
      <c r="P7" s="53"/>
      <c r="Q7" s="53"/>
      <c r="R7" s="53"/>
      <c r="S7" s="53"/>
    </row>
    <row r="8" spans="1:19" ht="20.100000000000001" customHeight="1" thickBot="1" x14ac:dyDescent="0.25">
      <c r="A8" s="131"/>
      <c r="B8" s="150">
        <f>Schedule!G9</f>
        <v>42427</v>
      </c>
      <c r="C8" s="150">
        <f t="shared" si="0"/>
        <v>42428</v>
      </c>
      <c r="D8" s="150">
        <f t="shared" si="0"/>
        <v>42429</v>
      </c>
      <c r="E8" s="150">
        <f t="shared" si="0"/>
        <v>42430</v>
      </c>
      <c r="F8" s="150">
        <f t="shared" si="0"/>
        <v>42431</v>
      </c>
      <c r="G8" s="150">
        <f t="shared" si="0"/>
        <v>42432</v>
      </c>
      <c r="H8" s="150">
        <f t="shared" si="0"/>
        <v>42433</v>
      </c>
      <c r="I8" s="53"/>
      <c r="J8" s="53"/>
      <c r="K8" s="53"/>
      <c r="L8" s="53"/>
      <c r="M8" s="53"/>
      <c r="N8" s="53"/>
      <c r="O8" s="53"/>
      <c r="P8" s="53"/>
      <c r="Q8" s="53"/>
      <c r="R8" s="53"/>
      <c r="S8" s="53"/>
    </row>
    <row r="9" spans="1:19" ht="20.100000000000001" customHeight="1" x14ac:dyDescent="0.2">
      <c r="A9" s="43"/>
      <c r="B9" s="128" t="str">
        <f>IF(OR(Schedule!F87=3,Schedule!F87="OT",Schedule!F87="3V",Schedule!F87="OTNV",Schedule!F87="OTV",Schedule!F87="3NV",Schedule!F87="3*",Schedule!F87="2OTBT",Schedule!F87="4OTBT",Schedule!F87="2OTET",Schedule!F87="4OTET",Schedule!F87="*OTBT",Schedule!F87="*OTET")," ",Schedule!F87)</f>
        <v>AL</v>
      </c>
      <c r="C9" s="128" t="str">
        <f>IF(OR(Schedule!G87=3,Schedule!G87="OT",Schedule!G87="3V",Schedule!G87="OTNV",Schedule!G87="OTV",Schedule!G87="3NV",Schedule!G87="3*",Schedule!G87="2OTBT",Schedule!G87="4OTBT",Schedule!G87="2OTET",Schedule!G87="4OTET",Schedule!G87="*OTBT",Schedule!G87="*OTET")," ",Schedule!G87)</f>
        <v>NS</v>
      </c>
      <c r="D9" s="128" t="str">
        <f>IF(OR(Schedule!H87=3,Schedule!H87="OT",Schedule!H87="3V",Schedule!H87="OTNV",Schedule!H87="OTV",Schedule!H87="3NV",Schedule!H87="3*",Schedule!H87="2OTBT",Schedule!H87="4OTBT",Schedule!H87="2OTET",Schedule!H87="4OTET",Schedule!H87="*OTBT",Schedule!H87="*OTET")," ",Schedule!H87)</f>
        <v>NS</v>
      </c>
      <c r="E9" s="128" t="str">
        <f>IF(OR(Schedule!I87=3,Schedule!I87="OT",Schedule!I87="3V",Schedule!I87="OTNV",Schedule!I87="OTV",Schedule!I87="3NV",Schedule!I87="3*",Schedule!I87="2OTBT",Schedule!I87="4OTBT",Schedule!I87="2OTET",Schedule!I87="4OTET",Schedule!I87="*OTBT",Schedule!I87="*OTET")," ",Schedule!I87)</f>
        <v xml:space="preserve"> </v>
      </c>
      <c r="F9" s="128" t="str">
        <f>IF(OR(Schedule!J87=3,Schedule!J87="OT",Schedule!J87="3V",Schedule!J87="OTNV",Schedule!J87="OTV",Schedule!J87="3NV",Schedule!J87="3*",Schedule!J87="2OTBT",Schedule!J87="4OTBT",Schedule!J87="2OTET",Schedule!J87="4OTET",Schedule!J87="*OTBT",Schedule!J87="*OTET")," ",Schedule!J87)</f>
        <v xml:space="preserve"> </v>
      </c>
      <c r="G9" s="128" t="str">
        <f>IF(OR(Schedule!K87=3,Schedule!K87="OT",Schedule!K87="3V",Schedule!K87="OTNV",Schedule!K87="OTV",Schedule!K87="3NV",Schedule!K87="3*",Schedule!K87="2OTBT",Schedule!K87="4OTBT",Schedule!K87="2OTET",Schedule!K87="4OTET",Schedule!K87="*OTBT",Schedule!K87="*OTET")," ",Schedule!K87)</f>
        <v xml:space="preserve"> </v>
      </c>
      <c r="H9" s="128" t="str">
        <f>IF(OR(Schedule!L87=3,Schedule!L87="OT",Schedule!L87="3V",Schedule!L87="OTNV",Schedule!L87="OTV",Schedule!L87="3NV",Schedule!L87="3*",Schedule!L87="2OTBT",Schedule!L87="4OTBT",Schedule!L87="2OTET",Schedule!L87="4OTET",Schedule!L87="*OTBT",Schedule!L87="*OTET")," ",Schedule!L87)</f>
        <v xml:space="preserve"> </v>
      </c>
      <c r="I9" s="53"/>
      <c r="J9" s="53"/>
      <c r="K9" s="781" t="str">
        <f>IF(A10=" "," ",".")</f>
        <v>.</v>
      </c>
      <c r="L9" s="53"/>
      <c r="M9" s="53"/>
      <c r="N9" s="53"/>
      <c r="O9" s="53"/>
      <c r="P9" s="53"/>
      <c r="Q9" s="53"/>
      <c r="R9" s="53"/>
      <c r="S9" s="53"/>
    </row>
    <row r="10" spans="1:19" ht="20.100000000000001" customHeight="1" x14ac:dyDescent="0.25">
      <c r="A10" s="44" t="str">
        <f>'Master List'!C57</f>
        <v>A. CLIMACO</v>
      </c>
      <c r="B10" s="4" t="str">
        <f>Y51</f>
        <v xml:space="preserve"> </v>
      </c>
      <c r="C10" s="4" t="str">
        <f>AB51</f>
        <v xml:space="preserve"> </v>
      </c>
      <c r="D10" s="4" t="str">
        <f>AE51</f>
        <v xml:space="preserve"> </v>
      </c>
      <c r="E10" s="4" t="str">
        <f>AH51</f>
        <v>ENGINE ROOM</v>
      </c>
      <c r="F10" s="4" t="str">
        <f>AK51</f>
        <v>ENGINE ROOM</v>
      </c>
      <c r="G10" s="4" t="str">
        <f>AN51</f>
        <v>ENGINE ROOM</v>
      </c>
      <c r="H10" s="4" t="str">
        <f>AQ51</f>
        <v>ENGINE ROOM</v>
      </c>
      <c r="I10" s="53"/>
      <c r="J10" s="53"/>
      <c r="K10" s="781" t="str">
        <f>IF(A10=" "," ",".")</f>
        <v>.</v>
      </c>
      <c r="L10" s="53"/>
      <c r="M10" s="53"/>
      <c r="N10" s="53"/>
      <c r="O10" s="53"/>
      <c r="P10" s="53"/>
      <c r="Q10" s="53"/>
      <c r="R10" s="53"/>
      <c r="S10" s="53"/>
    </row>
    <row r="11" spans="1:19" ht="20.100000000000001" customHeight="1" x14ac:dyDescent="0.25">
      <c r="A11" s="44"/>
      <c r="B11" s="4" t="str">
        <f>Y52</f>
        <v/>
      </c>
      <c r="C11" s="4" t="str">
        <f>AB52</f>
        <v/>
      </c>
      <c r="D11" s="4" t="str">
        <f>AE52</f>
        <v/>
      </c>
      <c r="E11" s="4" t="str">
        <f>AH52</f>
        <v>ROUTES</v>
      </c>
      <c r="F11" s="4" t="str">
        <f>AK52</f>
        <v>ROUTES</v>
      </c>
      <c r="G11" s="4" t="str">
        <f>AN52</f>
        <v>ROUTES</v>
      </c>
      <c r="H11" s="4" t="str">
        <f>AQ52</f>
        <v>ROUTES</v>
      </c>
      <c r="I11" s="53"/>
      <c r="J11" s="53"/>
      <c r="K11" s="781" t="str">
        <f>IF(A10=" "," ",".")</f>
        <v>.</v>
      </c>
      <c r="L11" s="53"/>
      <c r="M11" s="53"/>
      <c r="N11" s="53"/>
      <c r="O11" s="53"/>
      <c r="P11" s="53"/>
      <c r="Q11" s="53"/>
      <c r="R11" s="53"/>
      <c r="S11" s="53"/>
    </row>
    <row r="12" spans="1:19" ht="12.75" customHeight="1" thickBot="1" x14ac:dyDescent="0.25">
      <c r="A12" s="46"/>
      <c r="B12" s="56"/>
      <c r="C12" s="56"/>
      <c r="D12" s="56"/>
      <c r="E12" s="56"/>
      <c r="F12" s="56"/>
      <c r="G12" s="56"/>
      <c r="H12" s="56"/>
      <c r="I12"/>
      <c r="J12"/>
      <c r="K12" s="781" t="str">
        <f>IF(A10=" "," ",".")</f>
        <v>.</v>
      </c>
      <c r="L12" s="53"/>
      <c r="M12" s="53"/>
      <c r="N12" s="53"/>
      <c r="O12" s="53"/>
      <c r="P12" s="53"/>
      <c r="Q12" s="53"/>
      <c r="R12" s="53"/>
      <c r="S12" s="53"/>
    </row>
    <row r="13" spans="1:19" ht="19.5" hidden="1" customHeight="1" x14ac:dyDescent="0.2">
      <c r="A13" s="47"/>
      <c r="B13" s="128">
        <f>IF(OR(Schedule!F88=3,Schedule!F88="OT",Schedule!F88="3V",Schedule!F88="OTNV",Schedule!F88="OTV",Schedule!F88="3NV",Schedule!F88="3*",Schedule!F88="2OTBT",Schedule!F88="4OTBT",Schedule!F88="2OTET",Schedule!F88="4OTET",Schedule!F88="*OTBT",Schedule!F88="*OTET")," ",Schedule!F88)</f>
        <v>0</v>
      </c>
      <c r="C13" s="128">
        <f>IF(OR(Schedule!G88=3,Schedule!G88="OT",Schedule!G88="3V",Schedule!G88="OTNV",Schedule!G88="OTV",Schedule!G88="3NV",Schedule!G88="3*",Schedule!G88="2OTBT",Schedule!G88="4OTBT",Schedule!G88="2OTET",Schedule!G88="4OTET",Schedule!G88="*OTBT",Schedule!G88="*OTET")," ",Schedule!G88)</f>
        <v>0</v>
      </c>
      <c r="D13" s="128">
        <f>IF(OR(Schedule!H88=3,Schedule!H88="OT",Schedule!H88="3V",Schedule!H88="OTNV",Schedule!H88="OTV",Schedule!H88="3NV",Schedule!H88="3*",Schedule!H88="2OTBT",Schedule!H88="4OTBT",Schedule!H88="2OTET",Schedule!H88="4OTET",Schedule!H88="*OTBT",Schedule!H88="*OTET")," ",Schedule!H88)</f>
        <v>0</v>
      </c>
      <c r="E13" s="128">
        <f>IF(OR(Schedule!I88=3,Schedule!I88="OT",Schedule!I88="3V",Schedule!I88="OTNV",Schedule!I88="OTV",Schedule!I88="3NV",Schedule!I88="3*",Schedule!I88="2OTBT",Schedule!I88="4OTBT",Schedule!I88="2OTET",Schedule!I88="4OTET",Schedule!I88="*OTBT",Schedule!I88="*OTET")," ",Schedule!I88)</f>
        <v>0</v>
      </c>
      <c r="F13" s="128">
        <f>IF(OR(Schedule!J88=3,Schedule!J88="OT",Schedule!J88="3V",Schedule!J88="OTNV",Schedule!J88="OTV",Schedule!J88="3NV",Schedule!J88="3*",Schedule!J88="2OTBT",Schedule!J88="4OTBT",Schedule!J88="2OTET",Schedule!J88="4OTET",Schedule!J88="*OTBT",Schedule!J88="*OTET")," ",Schedule!J88)</f>
        <v>0</v>
      </c>
      <c r="G13" s="128">
        <f>IF(OR(Schedule!K88=3,Schedule!K88="OT",Schedule!K88="3V",Schedule!K88="OTNV",Schedule!K88="OTV",Schedule!K88="3NV",Schedule!K88="3*",Schedule!K88="2OTBT",Schedule!K88="4OTBT",Schedule!K88="2OTET",Schedule!K88="4OTET",Schedule!K88="*OTBT",Schedule!K88="*OTET")," ",Schedule!K88)</f>
        <v>0</v>
      </c>
      <c r="H13" s="128">
        <f>IF(OR(Schedule!L88=3,Schedule!L88="OT",Schedule!L88="3V",Schedule!L88="OTNV",Schedule!L88="OTV",Schedule!L88="3NV",Schedule!L88="3*",Schedule!L88="2OTBT",Schedule!L88="4OTBT",Schedule!L88="2OTET",Schedule!L88="4OTET",Schedule!L88="*OTBT",Schedule!L88="*OTET")," ",Schedule!L88)</f>
        <v>0</v>
      </c>
      <c r="I13"/>
      <c r="J13"/>
      <c r="K13" s="781" t="str">
        <f>IF(A14=" "," ",".")</f>
        <v>.</v>
      </c>
      <c r="L13" s="53"/>
      <c r="M13" s="53"/>
      <c r="N13" s="53"/>
      <c r="O13" s="53"/>
      <c r="P13" s="53"/>
      <c r="Q13" s="53"/>
      <c r="R13" s="53"/>
      <c r="S13" s="53"/>
    </row>
    <row r="14" spans="1:19" ht="19.5" hidden="1" customHeight="1" x14ac:dyDescent="0.25">
      <c r="A14" s="44">
        <f>'Master List'!C58</f>
        <v>0</v>
      </c>
      <c r="B14" s="4" t="str">
        <f>Y54</f>
        <v xml:space="preserve"> </v>
      </c>
      <c r="C14" s="4" t="str">
        <f>AB54</f>
        <v xml:space="preserve"> </v>
      </c>
      <c r="D14" s="4" t="str">
        <f>AE54</f>
        <v xml:space="preserve"> </v>
      </c>
      <c r="E14" s="4" t="str">
        <f>AH54</f>
        <v xml:space="preserve"> </v>
      </c>
      <c r="F14" s="4" t="str">
        <f>AK54</f>
        <v xml:space="preserve"> </v>
      </c>
      <c r="G14" s="4" t="str">
        <f>AN54</f>
        <v xml:space="preserve"> </v>
      </c>
      <c r="H14" s="4" t="str">
        <f>AQ54</f>
        <v xml:space="preserve"> </v>
      </c>
      <c r="I14"/>
      <c r="J14"/>
      <c r="K14" s="781" t="str">
        <f>IF(A14=" "," ",".")</f>
        <v>.</v>
      </c>
      <c r="L14" s="53"/>
      <c r="M14" s="53"/>
      <c r="N14" s="53"/>
      <c r="O14" s="53"/>
      <c r="P14" s="53"/>
      <c r="Q14" s="53"/>
      <c r="R14" s="53"/>
      <c r="S14" s="53"/>
    </row>
    <row r="15" spans="1:19" ht="19.5" hidden="1" customHeight="1" x14ac:dyDescent="0.25">
      <c r="A15" s="48"/>
      <c r="B15" s="4" t="str">
        <f>Y55</f>
        <v/>
      </c>
      <c r="C15" s="4" t="str">
        <f>AB55</f>
        <v/>
      </c>
      <c r="D15" s="4" t="str">
        <f>AE55</f>
        <v/>
      </c>
      <c r="E15" s="4" t="str">
        <f>AH55</f>
        <v/>
      </c>
      <c r="F15" s="4" t="str">
        <f>AK55</f>
        <v/>
      </c>
      <c r="G15" s="4" t="str">
        <f>AN55</f>
        <v/>
      </c>
      <c r="H15" s="4" t="str">
        <f>AQ55</f>
        <v/>
      </c>
      <c r="I15"/>
      <c r="J15" s="53"/>
      <c r="K15" s="781" t="str">
        <f>IF(A14=" "," ",".")</f>
        <v>.</v>
      </c>
      <c r="L15" s="53"/>
      <c r="M15" s="53"/>
      <c r="N15" s="53"/>
      <c r="O15" s="53"/>
      <c r="P15" s="53"/>
      <c r="Q15" s="53"/>
      <c r="R15" s="53"/>
      <c r="S15" s="53"/>
    </row>
    <row r="16" spans="1:19" ht="19.5" hidden="1" customHeight="1" thickBot="1" x14ac:dyDescent="0.25">
      <c r="A16" s="46"/>
      <c r="B16" s="56"/>
      <c r="C16" s="56"/>
      <c r="D16" s="56"/>
      <c r="E16" s="56"/>
      <c r="F16" s="56"/>
      <c r="G16" s="56"/>
      <c r="H16" s="56"/>
      <c r="I16"/>
      <c r="J16"/>
      <c r="K16" s="781" t="str">
        <f>IF(A14=" "," ",".")</f>
        <v>.</v>
      </c>
      <c r="L16" s="53"/>
      <c r="M16" s="53"/>
      <c r="N16" s="53"/>
      <c r="O16" s="53"/>
      <c r="P16" s="53"/>
      <c r="Q16" s="53"/>
      <c r="R16" s="53"/>
      <c r="S16" s="53"/>
    </row>
    <row r="17" spans="1:19" ht="19.5" hidden="1" customHeight="1" x14ac:dyDescent="0.25">
      <c r="A17" s="47"/>
      <c r="B17" s="128">
        <f>IF(OR(Schedule!F89=3,Schedule!F89="OT",Schedule!F89="3V",Schedule!F89="OTNV",Schedule!F89="OTV",Schedule!F89="3NV",Schedule!F89="3*",Schedule!F89="2OTBT",Schedule!F89="4OTBT",Schedule!F89="2OTET",Schedule!F89="4OTET",Schedule!F89="*OTBT",Schedule!F89="*OTET")," ",Schedule!F89)</f>
        <v>0</v>
      </c>
      <c r="C17" s="128">
        <f>IF(OR(Schedule!G89=3,Schedule!G89="OT",Schedule!G89="3V",Schedule!G89="OTNV",Schedule!G89="OTV",Schedule!G89="3NV",Schedule!G89="3*",Schedule!G89="2OTBT",Schedule!G89="4OTBT",Schedule!G89="2OTET",Schedule!G89="4OTET",Schedule!G89="*OTBT",Schedule!G89="*OTET")," ",Schedule!G89)</f>
        <v>0</v>
      </c>
      <c r="D17" s="128">
        <f>IF(OR(Schedule!H89=3,Schedule!H89="OT",Schedule!H89="3V",Schedule!H89="OTNV",Schedule!H89="OTV",Schedule!H89="3NV",Schedule!H89="3*",Schedule!H89="2OTBT",Schedule!H89="4OTBT",Schedule!H89="2OTET",Schedule!H89="4OTET",Schedule!H89="*OTBT",Schedule!H89="*OTET")," ",Schedule!H89)</f>
        <v>0</v>
      </c>
      <c r="E17" s="128">
        <f>IF(OR(Schedule!I89=3,Schedule!I89="OT",Schedule!I89="3V",Schedule!I89="OTNV",Schedule!I89="OTV",Schedule!I89="3NV",Schedule!I89="3*",Schedule!I89="2OTBT",Schedule!I89="4OTBT",Schedule!I89="2OTET",Schedule!I89="4OTET",Schedule!I89="*OTBT",Schedule!I89="*OTET")," ",Schedule!I89)</f>
        <v>0</v>
      </c>
      <c r="F17" s="128">
        <f>IF(OR(Schedule!J89=3,Schedule!J89="OT",Schedule!J89="3V",Schedule!J89="OTNV",Schedule!J89="OTV",Schedule!J89="3NV",Schedule!J89="3*",Schedule!J89="2OTBT",Schedule!J89="4OTBT",Schedule!J89="2OTET",Schedule!J89="4OTET",Schedule!J89="*OTBT",Schedule!J89="*OTET")," ",Schedule!J89)</f>
        <v>0</v>
      </c>
      <c r="G17" s="128">
        <f>IF(OR(Schedule!K89=3,Schedule!K89="OT",Schedule!K89="3V",Schedule!K89="OTNV",Schedule!K89="OTV",Schedule!K89="3NV",Schedule!K89="3*",Schedule!K89="2OTBT",Schedule!K89="4OTBT",Schedule!K89="2OTET",Schedule!K89="4OTET",Schedule!K89="*OTBT",Schedule!K89="*OTET")," ",Schedule!K89)</f>
        <v>0</v>
      </c>
      <c r="H17" s="128">
        <f>IF(OR(Schedule!L89=3,Schedule!L89="OT",Schedule!L89="3V",Schedule!L89="OTNV",Schedule!L89="OTV",Schedule!L89="3NV",Schedule!L89="3*",Schedule!L89="2OTBT",Schedule!L89="4OTBT",Schedule!L89="2OTET",Schedule!L89="4OTET",Schedule!L89="*OTBT",Schedule!L89="*OTET")," ",Schedule!L89)</f>
        <v>0</v>
      </c>
      <c r="I17" s="54"/>
      <c r="J17" s="55"/>
      <c r="K17" s="781" t="str">
        <f>IF(A18=" "," ",".")</f>
        <v>.</v>
      </c>
      <c r="L17" s="53"/>
      <c r="M17" s="53"/>
      <c r="N17" s="53"/>
      <c r="O17" s="53"/>
      <c r="P17" s="53"/>
      <c r="Q17" s="53"/>
      <c r="R17" s="53"/>
      <c r="S17" s="53"/>
    </row>
    <row r="18" spans="1:19" ht="19.5" hidden="1" customHeight="1" x14ac:dyDescent="0.25">
      <c r="A18" s="44">
        <f>'Master List'!C59</f>
        <v>0</v>
      </c>
      <c r="B18" s="358" t="str">
        <f>Y57</f>
        <v>ENGINE ROOM</v>
      </c>
      <c r="C18" s="358" t="str">
        <f>AB57</f>
        <v>ENGINE ROOM</v>
      </c>
      <c r="D18" s="358" t="str">
        <f>AE57</f>
        <v>ENGINE ROOM</v>
      </c>
      <c r="E18" s="358" t="str">
        <f>AH57</f>
        <v>ENGINE ROOM</v>
      </c>
      <c r="F18" s="358" t="str">
        <f>AK57</f>
        <v>ENGINE ROOM</v>
      </c>
      <c r="G18" s="358" t="str">
        <f>AN57</f>
        <v>ENGINE ROOM</v>
      </c>
      <c r="H18" s="358" t="str">
        <f>AQ57</f>
        <v>ENGINE ROOM</v>
      </c>
      <c r="I18" s="53"/>
      <c r="J18" s="53"/>
      <c r="K18" s="781" t="str">
        <f>IF(A18=" "," ",".")</f>
        <v>.</v>
      </c>
      <c r="L18" s="53"/>
      <c r="M18" s="53"/>
      <c r="N18" s="53"/>
      <c r="O18" s="53"/>
      <c r="P18" s="53"/>
      <c r="Q18" s="53"/>
      <c r="R18" s="53"/>
      <c r="S18" s="53"/>
    </row>
    <row r="19" spans="1:19" ht="19.5" hidden="1" customHeight="1" x14ac:dyDescent="0.25">
      <c r="A19" s="48"/>
      <c r="B19" s="357" t="str">
        <f>Y58</f>
        <v>ROUTES</v>
      </c>
      <c r="C19" s="357" t="str">
        <f>AB58</f>
        <v>ROUTES</v>
      </c>
      <c r="D19" s="357" t="str">
        <f>AE58</f>
        <v>ROUTES</v>
      </c>
      <c r="E19" s="357" t="str">
        <f>AH58</f>
        <v>ROUTES</v>
      </c>
      <c r="F19" s="357" t="str">
        <f>AK58</f>
        <v>ROUTES</v>
      </c>
      <c r="G19" s="357" t="str">
        <f>AN58</f>
        <v>ROUTES</v>
      </c>
      <c r="H19" s="357" t="str">
        <f>AQ58</f>
        <v>ROUTES</v>
      </c>
      <c r="I19" s="54"/>
      <c r="J19" s="55"/>
      <c r="K19" s="781" t="str">
        <f>IF(A18=" "," ",".")</f>
        <v>.</v>
      </c>
      <c r="L19" s="53"/>
      <c r="M19" s="53"/>
      <c r="N19" s="53"/>
      <c r="O19" s="53"/>
      <c r="P19" s="53"/>
      <c r="Q19" s="53"/>
      <c r="R19" s="53"/>
      <c r="S19" s="53"/>
    </row>
    <row r="20" spans="1:19" ht="19.5" hidden="1" customHeight="1" thickBot="1" x14ac:dyDescent="0.3">
      <c r="A20" s="49"/>
      <c r="B20" s="56"/>
      <c r="C20" s="56"/>
      <c r="D20" s="56"/>
      <c r="E20" s="56"/>
      <c r="F20" s="56"/>
      <c r="G20" s="56"/>
      <c r="H20" s="56"/>
      <c r="I20" s="54"/>
      <c r="J20" s="55"/>
      <c r="K20" s="781" t="str">
        <f>IF(A18=" "," ",".")</f>
        <v>.</v>
      </c>
      <c r="L20" s="53"/>
      <c r="M20" s="53"/>
      <c r="N20" s="53"/>
      <c r="O20" s="53"/>
      <c r="P20" s="53"/>
      <c r="Q20" s="53"/>
      <c r="R20" s="53"/>
      <c r="S20" s="53"/>
    </row>
    <row r="21" spans="1:19" ht="19.5" hidden="1" customHeight="1" x14ac:dyDescent="0.25">
      <c r="A21" s="50"/>
      <c r="B21" s="128">
        <f>IF(OR(Schedule!F90=3,Schedule!F90="OT",Schedule!F90="3V",Schedule!F90="OTNV",Schedule!F90="OTV",Schedule!F90="3NV",Schedule!F90="3*",Schedule!F90="2OTBT",Schedule!F90="4OTBT",Schedule!F90="2OTET",Schedule!F90="4OTET",Schedule!F90="*OTBT",Schedule!F90="*OTET")," ",Schedule!F90)</f>
        <v>0</v>
      </c>
      <c r="C21" s="128">
        <f>IF(OR(Schedule!G90=3,Schedule!G90="OT",Schedule!G90="3V",Schedule!G90="OTNV",Schedule!G90="OTV",Schedule!G90="3NV",Schedule!G90="3*",Schedule!G90="2OTBT",Schedule!G90="4OTBT",Schedule!G90="2OTET",Schedule!G90="4OTET",Schedule!G90="*OTBT",Schedule!G90="*OTET")," ",Schedule!G90)</f>
        <v>0</v>
      </c>
      <c r="D21" s="128">
        <f>IF(OR(Schedule!H90=3,Schedule!H90="OT",Schedule!H90="3V",Schedule!H90="OTNV",Schedule!H90="OTV",Schedule!H90="3NV",Schedule!H90="3*",Schedule!H90="2OTBT",Schedule!H90="4OTBT",Schedule!H90="2OTET",Schedule!H90="4OTET",Schedule!H90="*OTBT",Schedule!H90="*OTET")," ",Schedule!H90)</f>
        <v>0</v>
      </c>
      <c r="E21" s="128">
        <f>IF(OR(Schedule!I90=3,Schedule!I90="OT",Schedule!I90="3V",Schedule!I90="OTNV",Schedule!I90="OTV",Schedule!I90="3NV",Schedule!I90="3*",Schedule!I90="2OTBT",Schedule!I90="4OTBT",Schedule!I90="2OTET",Schedule!I90="4OTET",Schedule!I90="*OTBT",Schedule!I90="*OTET")," ",Schedule!I90)</f>
        <v>0</v>
      </c>
      <c r="F21" s="128">
        <f>IF(OR(Schedule!J90=3,Schedule!J90="OT",Schedule!J90="3V",Schedule!J90="OTNV",Schedule!J90="OTV",Schedule!J90="3NV",Schedule!J90="3*",Schedule!J90="2OTBT",Schedule!J90="4OTBT",Schedule!J90="2OTET",Schedule!J90="4OTET",Schedule!J90="*OTBT",Schedule!J90="*OTET")," ",Schedule!J90)</f>
        <v>0</v>
      </c>
      <c r="G21" s="128">
        <f>IF(OR(Schedule!K90=3,Schedule!K90="OT",Schedule!K90="3V",Schedule!K90="OTNV",Schedule!K90="OTV",Schedule!K90="3NV",Schedule!K90="3*",Schedule!K90="2OTBT",Schedule!K90="4OTBT",Schedule!K90="2OTET",Schedule!K90="4OTET",Schedule!K90="*OTBT",Schedule!K90="*OTET")," ",Schedule!K90)</f>
        <v>0</v>
      </c>
      <c r="H21" s="128">
        <f>IF(OR(Schedule!L90=3,Schedule!L90="OT",Schedule!L90="3V",Schedule!L90="OTNV",Schedule!L90="OTV",Schedule!L90="3NV",Schedule!L90="3*",Schedule!L90="2OTBT",Schedule!L90="4OTBT",Schedule!L90="2OTET",Schedule!L90="4OTET",Schedule!L90="*OTBT",Schedule!L90="*OTET")," ",Schedule!L90)</f>
        <v>0</v>
      </c>
      <c r="I21" s="54"/>
      <c r="J21" s="55"/>
      <c r="K21" s="781" t="str">
        <f>IF(A22=" "," ",".")</f>
        <v>.</v>
      </c>
      <c r="L21" s="53"/>
      <c r="M21" s="53"/>
      <c r="N21" s="53"/>
      <c r="O21" s="53"/>
      <c r="P21" s="53"/>
      <c r="Q21" s="53"/>
      <c r="R21" s="53"/>
      <c r="S21" s="53"/>
    </row>
    <row r="22" spans="1:19" ht="19.5" hidden="1" customHeight="1" x14ac:dyDescent="0.25">
      <c r="A22" s="44">
        <f>'Master List'!C60</f>
        <v>0</v>
      </c>
      <c r="B22" s="358" t="str">
        <f>Y60</f>
        <v>ENGINE ROOM</v>
      </c>
      <c r="C22" s="358" t="str">
        <f>AB60</f>
        <v>ENGINE ROOM</v>
      </c>
      <c r="D22" s="358" t="str">
        <f>AE60</f>
        <v>ENGINE ROOM</v>
      </c>
      <c r="E22" s="358" t="str">
        <f>AH60</f>
        <v>ENGINE ROOM</v>
      </c>
      <c r="F22" s="358" t="str">
        <f>AK60</f>
        <v>ENGINE ROOM</v>
      </c>
      <c r="G22" s="358" t="str">
        <f>AN60</f>
        <v>ENGINE ROOM</v>
      </c>
      <c r="H22" s="358" t="str">
        <f>AQ60</f>
        <v>ENGINE ROOM</v>
      </c>
      <c r="I22" s="54"/>
      <c r="J22" s="55"/>
      <c r="K22" s="781" t="str">
        <f>IF(A22=" "," ",".")</f>
        <v>.</v>
      </c>
      <c r="L22" s="53"/>
      <c r="M22" s="53"/>
      <c r="N22" s="53"/>
      <c r="O22" s="53"/>
      <c r="P22" s="53"/>
      <c r="Q22" s="53"/>
      <c r="R22" s="53"/>
      <c r="S22" s="53"/>
    </row>
    <row r="23" spans="1:19" ht="19.5" hidden="1" customHeight="1" x14ac:dyDescent="0.25">
      <c r="A23" s="51"/>
      <c r="B23" s="358" t="str">
        <f>Y61</f>
        <v>ROUTES</v>
      </c>
      <c r="C23" s="357" t="str">
        <f>AB61</f>
        <v>ROUTES</v>
      </c>
      <c r="D23" s="357" t="str">
        <f>AE61</f>
        <v>ROUTES</v>
      </c>
      <c r="E23" s="357" t="str">
        <f>AH61</f>
        <v>ROUTES</v>
      </c>
      <c r="F23" s="357" t="str">
        <f>AK61</f>
        <v>ROUTES</v>
      </c>
      <c r="G23" s="357" t="str">
        <f>AN61</f>
        <v>ROUTES</v>
      </c>
      <c r="H23" s="357" t="str">
        <f>AQ61</f>
        <v>ROUTES</v>
      </c>
      <c r="I23" s="54"/>
      <c r="J23" s="55"/>
      <c r="K23" s="781" t="str">
        <f>IF(A22=" "," ",".")</f>
        <v>.</v>
      </c>
      <c r="L23" s="53"/>
      <c r="M23" s="53"/>
      <c r="N23" s="53"/>
      <c r="O23" s="53"/>
      <c r="P23" s="53"/>
      <c r="Q23" s="53"/>
      <c r="R23" s="53"/>
      <c r="S23" s="53"/>
    </row>
    <row r="24" spans="1:19" ht="19.5" hidden="1" customHeight="1" thickBot="1" x14ac:dyDescent="0.3">
      <c r="A24" s="52"/>
      <c r="B24" s="57"/>
      <c r="C24" s="57"/>
      <c r="D24" s="57"/>
      <c r="E24" s="57"/>
      <c r="F24" s="57"/>
      <c r="G24" s="57"/>
      <c r="H24" s="57"/>
      <c r="I24" s="54"/>
      <c r="J24" s="55"/>
      <c r="K24" s="781" t="str">
        <f>IF(A22=" "," ",".")</f>
        <v>.</v>
      </c>
      <c r="L24" s="53"/>
      <c r="M24" s="53"/>
      <c r="N24" s="53"/>
      <c r="O24" s="53"/>
      <c r="P24" s="53"/>
      <c r="Q24" s="53"/>
      <c r="R24" s="53"/>
      <c r="S24" s="53"/>
    </row>
    <row r="25" spans="1:19" ht="20.100000000000001" hidden="1" customHeight="1" x14ac:dyDescent="0.25">
      <c r="A25" s="47"/>
      <c r="B25" s="128">
        <f>IF(OR(Schedule!F91=3,Schedule!F91="OT",Schedule!F91="3V",Schedule!F91="OTNV",Schedule!F91="OTV",Schedule!F91="3NV",Schedule!F91="3*",Schedule!F91="2OTBT",Schedule!F91="4OTBT",Schedule!F91="2OTET",Schedule!F91="4OTET",Schedule!F91="*OTBT",Schedule!F91="*OTET")," ",Schedule!F91)</f>
        <v>0</v>
      </c>
      <c r="C25" s="128">
        <f>IF(OR(Schedule!G91=3,Schedule!G91="OT",Schedule!G91="3V",Schedule!G91="OTNV",Schedule!G91="OTV",Schedule!G91="3NV",Schedule!G91="3*",Schedule!G91="2OTBT",Schedule!G91="4OTBT",Schedule!G91="2OTET",Schedule!G91="4OTET",Schedule!G91="*OTBT",Schedule!G91="*OTET")," ",Schedule!G91)</f>
        <v>0</v>
      </c>
      <c r="D25" s="128">
        <f>IF(OR(Schedule!H91=3,Schedule!H91="OT",Schedule!H91="3V",Schedule!H91="OTNV",Schedule!H91="OTV",Schedule!H91="3NV",Schedule!H91="3*",Schedule!H91="2OTBT",Schedule!H91="4OTBT",Schedule!H91="2OTET",Schedule!H91="4OTET",Schedule!H91="*OTBT",Schedule!H91="*OTET")," ",Schedule!H91)</f>
        <v>0</v>
      </c>
      <c r="E25" s="128">
        <f>IF(OR(Schedule!I91=3,Schedule!I91="OT",Schedule!I91="3V",Schedule!I91="OTNV",Schedule!I91="OTV",Schedule!I91="3NV",Schedule!I91="3*",Schedule!I91="2OTBT",Schedule!I91="4OTBT",Schedule!I91="2OTET",Schedule!I91="4OTET",Schedule!I91="*OTBT",Schedule!I91="*OTET")," ",Schedule!I91)</f>
        <v>0</v>
      </c>
      <c r="F25" s="128">
        <f>IF(OR(Schedule!J91=3,Schedule!J91="OT",Schedule!J91="3V",Schedule!J91="OTNV",Schedule!J91="OTV",Schedule!J91="3NV",Schedule!J91="3*",Schedule!J91="2OTBT",Schedule!J91="4OTBT",Schedule!J91="2OTET",Schedule!J91="4OTET",Schedule!J91="*OTBT",Schedule!J91="*OTET")," ",Schedule!J91)</f>
        <v>0</v>
      </c>
      <c r="G25" s="128">
        <f>IF(OR(Schedule!K91=3,Schedule!K91="OT",Schedule!K91="3V",Schedule!K91="OTNV",Schedule!K91="OTV",Schedule!K91="3NV",Schedule!K91="3*",Schedule!K91="2OTBT",Schedule!K91="4OTBT",Schedule!K91="2OTET",Schedule!K91="4OTET",Schedule!K91="*OTBT",Schedule!K91="*OTET")," ",Schedule!K91)</f>
        <v>0</v>
      </c>
      <c r="H25" s="128">
        <f>IF(OR(Schedule!L91=3,Schedule!L91="OT",Schedule!L91="3V",Schedule!L91="OTNV",Schedule!L91="OTV",Schedule!L91="3NV",Schedule!L91="3*",Schedule!L91="2OTBT",Schedule!L91="4OTBT",Schedule!L91="2OTET",Schedule!L91="4OTET",Schedule!L91="*OTBT",Schedule!L91="*OTET")," ",Schedule!L91)</f>
        <v>0</v>
      </c>
      <c r="I25" s="54"/>
      <c r="J25" s="55"/>
      <c r="K25" s="781" t="str">
        <f>IF(A26=" "," ",".")</f>
        <v xml:space="preserve"> </v>
      </c>
      <c r="L25" s="53"/>
      <c r="M25" s="53"/>
      <c r="N25" s="53"/>
      <c r="O25" s="53"/>
      <c r="P25" s="53"/>
      <c r="Q25" s="53"/>
      <c r="R25" s="53"/>
      <c r="S25" s="53"/>
    </row>
    <row r="26" spans="1:19" ht="20.100000000000001" hidden="1" customHeight="1" x14ac:dyDescent="0.25">
      <c r="A26" s="44" t="str">
        <f>'Master List'!C61</f>
        <v xml:space="preserve"> </v>
      </c>
      <c r="B26" s="358" t="str">
        <f>Y63</f>
        <v xml:space="preserve"> </v>
      </c>
      <c r="C26" s="358" t="str">
        <f>AB63</f>
        <v xml:space="preserve"> </v>
      </c>
      <c r="D26" s="358" t="str">
        <f>AE63</f>
        <v xml:space="preserve"> </v>
      </c>
      <c r="E26" s="358" t="str">
        <f>AH63</f>
        <v xml:space="preserve"> </v>
      </c>
      <c r="F26" s="358" t="str">
        <f>AK63</f>
        <v xml:space="preserve"> </v>
      </c>
      <c r="G26" s="358" t="str">
        <f>AN63</f>
        <v xml:space="preserve"> </v>
      </c>
      <c r="H26" s="358" t="str">
        <f>AQ63</f>
        <v xml:space="preserve"> </v>
      </c>
      <c r="I26" s="54"/>
      <c r="J26" s="55"/>
      <c r="K26" s="781" t="str">
        <f>IF(A26=" "," ",".")</f>
        <v xml:space="preserve"> </v>
      </c>
      <c r="L26" s="53"/>
      <c r="M26" s="53"/>
      <c r="N26" s="53"/>
      <c r="O26" s="53"/>
      <c r="P26" s="53"/>
      <c r="Q26" s="53"/>
      <c r="R26" s="53"/>
      <c r="S26" s="53"/>
    </row>
    <row r="27" spans="1:19" ht="20.100000000000001" hidden="1" customHeight="1" x14ac:dyDescent="0.25">
      <c r="A27" s="48"/>
      <c r="B27" s="358" t="str">
        <f>Y64</f>
        <v/>
      </c>
      <c r="C27" s="358" t="str">
        <f>AB64</f>
        <v/>
      </c>
      <c r="D27" s="358" t="str">
        <f>AE64</f>
        <v/>
      </c>
      <c r="E27" s="358" t="str">
        <f>AH64</f>
        <v/>
      </c>
      <c r="F27" s="358" t="str">
        <f>AK64</f>
        <v/>
      </c>
      <c r="G27" s="358" t="str">
        <f>AN64</f>
        <v/>
      </c>
      <c r="H27" s="358" t="str">
        <f>AQ64</f>
        <v/>
      </c>
      <c r="I27" s="54"/>
      <c r="J27" s="55"/>
      <c r="K27" s="781" t="str">
        <f>IF(A26=" "," ",".")</f>
        <v xml:space="preserve"> </v>
      </c>
      <c r="L27" s="55"/>
      <c r="M27" s="53"/>
      <c r="N27" s="53"/>
      <c r="O27" s="53"/>
      <c r="P27" s="53"/>
      <c r="Q27" s="53"/>
      <c r="R27" s="53"/>
      <c r="S27" s="53"/>
    </row>
    <row r="28" spans="1:19" ht="20.100000000000001" hidden="1" customHeight="1" thickBot="1" x14ac:dyDescent="0.25">
      <c r="A28" s="49"/>
      <c r="B28" s="58">
        <v>5</v>
      </c>
      <c r="C28" s="58">
        <v>5</v>
      </c>
      <c r="D28" s="58">
        <v>5</v>
      </c>
      <c r="E28" s="58">
        <v>5</v>
      </c>
      <c r="F28" s="58">
        <v>5</v>
      </c>
      <c r="G28" s="58">
        <v>5</v>
      </c>
      <c r="H28" s="58">
        <v>5</v>
      </c>
      <c r="I28" s="53"/>
      <c r="J28" s="53"/>
      <c r="K28" s="781" t="str">
        <f>IF(A26=" "," ",".")</f>
        <v xml:space="preserve"> </v>
      </c>
      <c r="L28" s="53"/>
      <c r="M28" s="53"/>
      <c r="N28" s="53"/>
      <c r="O28" s="53"/>
      <c r="P28" s="53"/>
      <c r="Q28" s="53"/>
      <c r="R28" s="53"/>
      <c r="S28" s="53"/>
    </row>
    <row r="29" spans="1:19" ht="20.100000000000001" hidden="1" customHeight="1" x14ac:dyDescent="0.25">
      <c r="A29" s="47"/>
      <c r="B29" s="128">
        <f>IF(OR(Schedule!F92=3,Schedule!F92="OT",Schedule!F92="3V",Schedule!F92="OTNV",Schedule!F92="OTV",Schedule!F92="3NV",Schedule!F92="3*",Schedule!F92="2OTBT",Schedule!F92="4OTBT",Schedule!F92="2OTET",Schedule!F92="4OTET",Schedule!F92="*OTBT",Schedule!F92="*OTET")," ",Schedule!F92)</f>
        <v>0</v>
      </c>
      <c r="C29" s="128">
        <f>IF(OR(Schedule!G92=3,Schedule!G92="OT",Schedule!G92="3V",Schedule!G92="OTNV",Schedule!G92="OTV",Schedule!G92="3NV",Schedule!G92="3*",Schedule!G92="2OTBT",Schedule!G92="4OTBT",Schedule!G92="2OTET",Schedule!G92="4OTET",Schedule!G92="*OTBT",Schedule!G92="*OTET")," ",Schedule!G92)</f>
        <v>0</v>
      </c>
      <c r="D29" s="128">
        <f>IF(OR(Schedule!H92=3,Schedule!H92="OT",Schedule!H92="3V",Schedule!H92="OTNV",Schedule!H92="OTV",Schedule!H92="3NV",Schedule!H92="3*",Schedule!H92="2OTBT",Schedule!H92="4OTBT",Schedule!H92="2OTET",Schedule!H92="4OTET",Schedule!H92="*OTBT",Schedule!H92="*OTET")," ",Schedule!H92)</f>
        <v>0</v>
      </c>
      <c r="E29" s="128">
        <f>IF(OR(Schedule!I92=3,Schedule!I92="OT",Schedule!I92="3V",Schedule!I92="OTNV",Schedule!I92="OTV",Schedule!I92="3NV",Schedule!I92="3*",Schedule!I92="2OTBT",Schedule!I92="4OTBT",Schedule!I92="2OTET",Schedule!I92="4OTET",Schedule!I92="*OTBT",Schedule!I92="*OTET")," ",Schedule!I92)</f>
        <v>0</v>
      </c>
      <c r="F29" s="128">
        <f>IF(OR(Schedule!J92=3,Schedule!J92="OT",Schedule!J92="3V",Schedule!J92="OTNV",Schedule!J92="OTV",Schedule!J92="3NV",Schedule!J92="3*",Schedule!J92="2OTBT",Schedule!J92="4OTBT",Schedule!J92="2OTET",Schedule!J92="4OTET",Schedule!J92="*OTBT",Schedule!J92="*OTET")," ",Schedule!J92)</f>
        <v>0</v>
      </c>
      <c r="G29" s="128">
        <f>IF(OR(Schedule!K92=3,Schedule!K92="OT",Schedule!K92="3V",Schedule!K92="OTNV",Schedule!K92="OTV",Schedule!K92="3NV",Schedule!K92="3*",Schedule!K92="2OTBT",Schedule!K92="4OTBT",Schedule!K92="2OTET",Schedule!K92="4OTET",Schedule!K92="*OTBT",Schedule!K92="*OTET")," ",Schedule!K92)</f>
        <v>0</v>
      </c>
      <c r="H29" s="128">
        <f>IF(OR(Schedule!L92=3,Schedule!L92="OT",Schedule!L92="3V",Schedule!L92="OTNV",Schedule!L92="OTV",Schedule!L92="3NV",Schedule!L92="3*",Schedule!L92="2OTBT",Schedule!L92="4OTBT",Schedule!L92="2OTET",Schedule!L92="4OTET",Schedule!L92="*OTBT",Schedule!L92="*OTET")," ",Schedule!L92)</f>
        <v>0</v>
      </c>
      <c r="I29" s="54"/>
      <c r="J29" s="55"/>
      <c r="K29" s="781" t="str">
        <f>IF(A30=" "," ",".")</f>
        <v xml:space="preserve"> </v>
      </c>
      <c r="L29" s="53"/>
      <c r="M29" s="53"/>
      <c r="N29" s="53"/>
      <c r="O29" s="53"/>
      <c r="P29" s="53"/>
      <c r="Q29" s="53"/>
    </row>
    <row r="30" spans="1:19" ht="20.100000000000001" hidden="1" customHeight="1" x14ac:dyDescent="0.25">
      <c r="A30" s="44" t="str">
        <f>'Master List'!C62</f>
        <v xml:space="preserve"> </v>
      </c>
      <c r="B30" s="358" t="str">
        <f>Y66</f>
        <v xml:space="preserve"> </v>
      </c>
      <c r="C30" s="358" t="str">
        <f>AB66</f>
        <v xml:space="preserve"> </v>
      </c>
      <c r="D30" s="358" t="str">
        <f>AE66</f>
        <v xml:space="preserve"> </v>
      </c>
      <c r="E30" s="358" t="str">
        <f>AH66</f>
        <v xml:space="preserve"> </v>
      </c>
      <c r="F30" s="358" t="str">
        <f>AK66</f>
        <v xml:space="preserve"> </v>
      </c>
      <c r="G30" s="358" t="str">
        <f>AN66</f>
        <v xml:space="preserve"> </v>
      </c>
      <c r="H30" s="358" t="str">
        <f>AQ66</f>
        <v xml:space="preserve"> </v>
      </c>
      <c r="I30" s="53"/>
      <c r="J30" s="53"/>
      <c r="K30" s="781" t="str">
        <f>IF(A30=" "," ",".")</f>
        <v xml:space="preserve"> </v>
      </c>
      <c r="L30" s="53"/>
      <c r="M30" s="53"/>
      <c r="N30" s="53"/>
      <c r="O30" s="53"/>
      <c r="P30" s="53"/>
      <c r="Q30" s="53"/>
    </row>
    <row r="31" spans="1:19" ht="20.100000000000001" hidden="1" customHeight="1" x14ac:dyDescent="0.25">
      <c r="A31" s="48"/>
      <c r="B31" s="358" t="str">
        <f>Y67</f>
        <v/>
      </c>
      <c r="C31" s="358" t="str">
        <f>AB67</f>
        <v/>
      </c>
      <c r="D31" s="358" t="str">
        <f>AE67</f>
        <v/>
      </c>
      <c r="E31" s="358" t="str">
        <f>AH67</f>
        <v/>
      </c>
      <c r="F31" s="358" t="str">
        <f>AK67</f>
        <v/>
      </c>
      <c r="G31" s="358" t="str">
        <f>AN67</f>
        <v/>
      </c>
      <c r="H31" s="358" t="str">
        <f>AQ67</f>
        <v/>
      </c>
      <c r="I31" s="54"/>
      <c r="J31" s="55"/>
      <c r="K31" s="781" t="str">
        <f>IF(A30=" "," ",".")</f>
        <v xml:space="preserve"> </v>
      </c>
      <c r="L31" s="53"/>
      <c r="M31" s="53"/>
      <c r="N31" s="53"/>
      <c r="O31" s="53"/>
      <c r="P31" s="53"/>
      <c r="Q31" s="53"/>
    </row>
    <row r="32" spans="1:19" ht="20.100000000000001" hidden="1" customHeight="1" thickBot="1" x14ac:dyDescent="0.25">
      <c r="A32" s="49"/>
      <c r="B32" s="58">
        <v>5</v>
      </c>
      <c r="C32" s="58">
        <v>5</v>
      </c>
      <c r="D32" s="58">
        <v>5</v>
      </c>
      <c r="E32" s="58">
        <v>5</v>
      </c>
      <c r="F32" s="58">
        <v>5</v>
      </c>
      <c r="G32" s="58">
        <v>5</v>
      </c>
      <c r="H32" s="58">
        <v>5</v>
      </c>
      <c r="I32" s="53"/>
      <c r="J32" s="53"/>
      <c r="K32" s="781" t="str">
        <f>IF(A30=" "," ",".")</f>
        <v xml:space="preserve"> </v>
      </c>
      <c r="L32" s="53"/>
      <c r="M32" s="53"/>
      <c r="N32" s="53"/>
      <c r="O32" s="53"/>
      <c r="P32" s="53"/>
      <c r="Q32" s="53"/>
    </row>
    <row r="33" spans="8:45" ht="20.100000000000001" customHeight="1" x14ac:dyDescent="0.25">
      <c r="H33" s="152" t="s">
        <v>56</v>
      </c>
      <c r="I33" s="5"/>
      <c r="J33" s="6"/>
      <c r="K33" s="783" t="s">
        <v>333</v>
      </c>
    </row>
    <row r="34" spans="8:45" ht="20.100000000000001" customHeight="1" x14ac:dyDescent="0.2">
      <c r="K34" s="784" t="s">
        <v>333</v>
      </c>
    </row>
    <row r="35" spans="8:45" ht="20.100000000000001" customHeight="1" x14ac:dyDescent="0.2">
      <c r="K35" s="784" t="s">
        <v>333</v>
      </c>
      <c r="N35" s="39"/>
      <c r="O35" s="39"/>
      <c r="P35" s="39"/>
      <c r="Q35" s="39"/>
      <c r="R35" s="39"/>
      <c r="S35" s="39"/>
      <c r="T35" s="39"/>
      <c r="U35" s="8"/>
      <c r="V35" s="8"/>
      <c r="W35" s="8"/>
      <c r="X35" s="8"/>
      <c r="Y35" s="8"/>
      <c r="Z35" s="8"/>
      <c r="AA35" s="8"/>
      <c r="AB35" s="8"/>
      <c r="AC35" s="8"/>
      <c r="AD35" s="8"/>
      <c r="AE35" s="8"/>
      <c r="AF35" s="8"/>
      <c r="AG35" s="8"/>
      <c r="AH35" s="8"/>
      <c r="AI35" s="8"/>
      <c r="AJ35" s="8"/>
      <c r="AK35" s="8"/>
      <c r="AL35" s="8"/>
      <c r="AM35" s="8"/>
      <c r="AN35" s="8"/>
      <c r="AO35" s="8"/>
      <c r="AP35" s="8"/>
      <c r="AQ35" s="8"/>
      <c r="AR35" s="8"/>
      <c r="AS35" s="8"/>
    </row>
    <row r="36" spans="8:45" ht="20.100000000000001" customHeight="1" x14ac:dyDescent="0.2">
      <c r="K36" s="784" t="s">
        <v>333</v>
      </c>
      <c r="N36" s="8"/>
      <c r="O36" s="8"/>
      <c r="P36" s="8"/>
      <c r="Q36" s="8"/>
      <c r="R36" s="8"/>
      <c r="S36" s="8"/>
      <c r="T36" s="8"/>
      <c r="U36" s="8"/>
      <c r="V36" s="8"/>
      <c r="W36" s="8"/>
      <c r="X36" s="8"/>
      <c r="Y36" s="8"/>
      <c r="Z36" s="8"/>
      <c r="AA36" s="8"/>
      <c r="AB36" s="8"/>
      <c r="AC36" s="8"/>
      <c r="AD36" s="8"/>
      <c r="AE36" s="8"/>
      <c r="AF36" s="8"/>
      <c r="AG36" s="8"/>
      <c r="AH36" s="8"/>
      <c r="AI36" s="8"/>
      <c r="AJ36" s="8"/>
      <c r="AK36" s="8"/>
      <c r="AL36" s="8"/>
      <c r="AM36" s="8"/>
      <c r="AN36" s="8"/>
      <c r="AO36" s="8"/>
      <c r="AP36" s="8"/>
      <c r="AQ36" s="8"/>
      <c r="AR36" s="8"/>
      <c r="AS36" s="8"/>
    </row>
    <row r="37" spans="8:45" ht="20.100000000000001" customHeight="1" x14ac:dyDescent="0.2">
      <c r="K37" s="784" t="s">
        <v>333</v>
      </c>
      <c r="N37" s="8"/>
      <c r="O37" s="8"/>
      <c r="P37" s="8"/>
      <c r="Q37" s="8"/>
      <c r="R37" s="8"/>
      <c r="S37" s="8"/>
      <c r="T37" s="8"/>
      <c r="U37" s="8"/>
      <c r="V37" s="8"/>
      <c r="W37" s="8"/>
      <c r="X37" s="8"/>
      <c r="Y37" s="8"/>
      <c r="Z37" s="8"/>
      <c r="AA37" s="8"/>
      <c r="AB37" s="8"/>
      <c r="AC37" s="8"/>
      <c r="AD37" s="8"/>
      <c r="AE37" s="8"/>
      <c r="AF37" s="8"/>
      <c r="AG37" s="8"/>
      <c r="AH37" s="8"/>
      <c r="AI37" s="8"/>
      <c r="AJ37" s="8"/>
      <c r="AK37" s="8"/>
      <c r="AL37" s="8"/>
      <c r="AM37" s="8"/>
      <c r="AN37" s="8"/>
      <c r="AO37" s="8"/>
      <c r="AP37" s="8"/>
      <c r="AQ37" s="8"/>
      <c r="AR37" s="8"/>
      <c r="AS37" s="8"/>
    </row>
    <row r="38" spans="8:45" ht="20.100000000000001" customHeight="1" x14ac:dyDescent="0.2">
      <c r="K38" s="784" t="s">
        <v>333</v>
      </c>
      <c r="N38" s="8"/>
      <c r="O38" s="8"/>
      <c r="P38" s="8"/>
      <c r="Q38" s="8"/>
      <c r="R38" s="8"/>
      <c r="S38" s="8"/>
      <c r="T38" s="8"/>
      <c r="U38" s="8"/>
      <c r="V38" s="8"/>
      <c r="W38" s="8"/>
      <c r="X38" s="8"/>
      <c r="Y38" s="8"/>
      <c r="Z38" s="8"/>
      <c r="AA38" s="8"/>
      <c r="AB38" s="8"/>
      <c r="AC38" s="8"/>
      <c r="AD38" s="8"/>
      <c r="AE38" s="8"/>
      <c r="AF38" s="8"/>
      <c r="AG38" s="8"/>
      <c r="AH38" s="8"/>
      <c r="AI38" s="8"/>
      <c r="AJ38" s="8"/>
      <c r="AK38" s="8"/>
      <c r="AL38" s="8"/>
      <c r="AM38" s="8"/>
      <c r="AN38" s="8"/>
      <c r="AO38" s="8"/>
      <c r="AP38" s="8"/>
      <c r="AQ38" s="8"/>
      <c r="AR38" s="8"/>
      <c r="AS38" s="8"/>
    </row>
    <row r="39" spans="8:45" ht="20.100000000000001" customHeight="1" x14ac:dyDescent="0.2">
      <c r="K39" s="784" t="s">
        <v>333</v>
      </c>
      <c r="N39" s="8"/>
      <c r="O39" s="8"/>
      <c r="P39" s="8"/>
      <c r="Q39" s="8"/>
      <c r="R39" s="8"/>
      <c r="S39" s="8"/>
      <c r="T39" s="8"/>
      <c r="U39" s="8"/>
      <c r="V39" s="8"/>
      <c r="W39" s="8"/>
      <c r="X39" s="8"/>
      <c r="Y39" s="8"/>
      <c r="Z39" s="8"/>
      <c r="AA39" s="8"/>
      <c r="AB39" s="8"/>
      <c r="AC39" s="8"/>
      <c r="AD39" s="8"/>
      <c r="AE39" s="8"/>
      <c r="AF39" s="8"/>
      <c r="AG39" s="8"/>
      <c r="AH39" s="8"/>
      <c r="AI39" s="8"/>
      <c r="AJ39" s="8"/>
      <c r="AK39" s="8"/>
      <c r="AL39" s="8"/>
      <c r="AM39" s="8"/>
      <c r="AN39" s="8"/>
      <c r="AO39" s="8"/>
      <c r="AP39" s="8"/>
      <c r="AQ39" s="8"/>
      <c r="AR39" s="8"/>
      <c r="AS39" s="8"/>
    </row>
    <row r="40" spans="8:45" ht="20.100000000000001" customHeight="1" x14ac:dyDescent="0.2">
      <c r="K40" s="784" t="s">
        <v>333</v>
      </c>
      <c r="N40" s="8"/>
      <c r="O40" s="8"/>
      <c r="P40" s="8"/>
      <c r="Q40" s="8"/>
      <c r="R40" s="8"/>
      <c r="S40" s="8"/>
      <c r="T40" s="8"/>
      <c r="U40" s="8"/>
      <c r="V40" s="8"/>
      <c r="W40" s="8"/>
      <c r="X40" s="8"/>
      <c r="Y40" s="8"/>
      <c r="Z40" s="8"/>
      <c r="AA40" s="8"/>
      <c r="AB40" s="8"/>
      <c r="AC40" s="8"/>
      <c r="AD40" s="8"/>
      <c r="AE40" s="8"/>
      <c r="AF40" s="8"/>
      <c r="AG40" s="8"/>
      <c r="AH40" s="8"/>
      <c r="AI40" s="8"/>
      <c r="AJ40" s="8"/>
      <c r="AK40" s="8"/>
      <c r="AL40" s="8"/>
      <c r="AM40" s="8"/>
      <c r="AN40" s="8"/>
      <c r="AO40" s="8"/>
      <c r="AP40" s="8"/>
      <c r="AQ40" s="8"/>
      <c r="AR40" s="8"/>
      <c r="AS40" s="8"/>
    </row>
    <row r="41" spans="8:45" ht="20.100000000000001" customHeight="1" x14ac:dyDescent="0.2">
      <c r="K41" s="784" t="s">
        <v>333</v>
      </c>
      <c r="N41" s="8"/>
      <c r="O41" s="8"/>
      <c r="P41" s="8"/>
      <c r="Q41" s="8"/>
      <c r="R41" s="8"/>
      <c r="S41" s="8"/>
      <c r="T41" s="8"/>
      <c r="U41" s="8"/>
      <c r="V41" s="8"/>
      <c r="W41" s="8"/>
      <c r="X41" s="8"/>
      <c r="Y41" s="8"/>
      <c r="Z41" s="8"/>
      <c r="AA41" s="8"/>
      <c r="AB41" s="8"/>
      <c r="AC41" s="8"/>
      <c r="AD41" s="8"/>
      <c r="AE41" s="8"/>
      <c r="AF41" s="8"/>
      <c r="AG41" s="8"/>
      <c r="AH41" s="8"/>
      <c r="AI41" s="8"/>
      <c r="AJ41" s="8"/>
      <c r="AK41" s="8"/>
      <c r="AL41" s="8"/>
      <c r="AM41" s="8"/>
      <c r="AN41" s="8"/>
      <c r="AO41" s="8"/>
      <c r="AP41" s="8"/>
      <c r="AQ41" s="8"/>
      <c r="AR41" s="8"/>
      <c r="AS41" s="8"/>
    </row>
    <row r="42" spans="8:45" ht="20.100000000000001" customHeight="1" x14ac:dyDescent="0.2">
      <c r="K42" s="784" t="s">
        <v>333</v>
      </c>
      <c r="N42" s="8"/>
      <c r="O42" s="8"/>
      <c r="P42" s="8"/>
      <c r="Q42" s="8"/>
      <c r="R42" s="8"/>
      <c r="S42" s="8"/>
      <c r="T42" s="8"/>
      <c r="U42" s="8"/>
      <c r="V42" s="8"/>
      <c r="W42" s="8"/>
      <c r="X42" s="8"/>
      <c r="Y42" s="8"/>
      <c r="Z42" s="8"/>
      <c r="AA42" s="8"/>
      <c r="AB42" s="8"/>
      <c r="AC42" s="8"/>
      <c r="AD42" s="8"/>
      <c r="AE42" s="8"/>
      <c r="AF42" s="8"/>
      <c r="AG42" s="8"/>
      <c r="AH42" s="8"/>
      <c r="AI42" s="8"/>
      <c r="AJ42" s="8"/>
      <c r="AK42" s="8"/>
      <c r="AL42" s="8"/>
      <c r="AM42" s="8"/>
      <c r="AN42" s="8"/>
      <c r="AO42" s="8"/>
      <c r="AP42" s="8"/>
      <c r="AQ42" s="8"/>
      <c r="AR42" s="8"/>
      <c r="AS42" s="8"/>
    </row>
    <row r="43" spans="8:45" ht="20.100000000000001" customHeight="1" x14ac:dyDescent="0.2">
      <c r="K43" s="784" t="s">
        <v>333</v>
      </c>
      <c r="N43" s="8"/>
      <c r="O43" s="8"/>
      <c r="P43" s="8"/>
      <c r="Q43" s="8"/>
      <c r="R43" s="8"/>
      <c r="S43" s="8"/>
      <c r="T43" s="8"/>
      <c r="U43" s="8"/>
      <c r="V43" s="8"/>
      <c r="W43" s="8"/>
      <c r="X43" s="8"/>
      <c r="Y43" s="8"/>
      <c r="Z43" s="8"/>
      <c r="AA43" s="8"/>
      <c r="AB43" s="8"/>
      <c r="AC43" s="8"/>
      <c r="AD43" s="8"/>
      <c r="AE43" s="8"/>
      <c r="AF43" s="8"/>
      <c r="AG43" s="8"/>
      <c r="AH43" s="8"/>
      <c r="AI43" s="8"/>
      <c r="AJ43" s="8"/>
      <c r="AK43" s="8"/>
      <c r="AL43" s="8"/>
      <c r="AM43" s="8"/>
      <c r="AN43" s="8"/>
      <c r="AO43" s="8"/>
      <c r="AP43" s="8"/>
      <c r="AQ43" s="8"/>
      <c r="AR43" s="8"/>
      <c r="AS43" s="8"/>
    </row>
    <row r="44" spans="8:45" ht="20.100000000000001" customHeight="1" x14ac:dyDescent="0.2">
      <c r="K44" s="784" t="s">
        <v>333</v>
      </c>
      <c r="N44" s="17"/>
      <c r="O44" s="17"/>
      <c r="P44" s="17"/>
      <c r="Q44" s="17"/>
      <c r="R44" s="17"/>
      <c r="S44" s="17"/>
      <c r="T44" s="17"/>
      <c r="U44" s="17"/>
      <c r="V44" s="17"/>
      <c r="W44" s="17"/>
      <c r="X44" s="17"/>
      <c r="Y44" s="17"/>
      <c r="Z44" s="17"/>
      <c r="AA44" s="17"/>
      <c r="AB44" s="17"/>
      <c r="AC44" s="17"/>
      <c r="AD44" s="17"/>
      <c r="AE44" s="17"/>
      <c r="AF44" s="17"/>
      <c r="AG44" s="17"/>
      <c r="AH44" s="17"/>
      <c r="AI44" s="17"/>
      <c r="AJ44" s="17"/>
      <c r="AK44" s="17"/>
      <c r="AL44" s="17"/>
      <c r="AM44" s="17"/>
      <c r="AN44" s="17"/>
      <c r="AO44" s="17"/>
      <c r="AP44" s="17"/>
      <c r="AQ44" s="17"/>
      <c r="AR44" s="17"/>
      <c r="AS44" s="17"/>
    </row>
    <row r="45" spans="8:45" ht="20.100000000000001" customHeight="1" x14ac:dyDescent="0.2">
      <c r="K45" s="784" t="s">
        <v>333</v>
      </c>
      <c r="N45" s="17"/>
      <c r="O45" s="17"/>
      <c r="P45" s="17"/>
      <c r="Q45" s="17"/>
      <c r="R45" s="17"/>
      <c r="S45" s="17"/>
      <c r="T45" s="17"/>
      <c r="U45" s="17"/>
      <c r="V45" s="17"/>
      <c r="W45" s="17"/>
      <c r="X45" s="17"/>
      <c r="Y45" s="17"/>
      <c r="Z45" s="17"/>
      <c r="AA45" s="17"/>
      <c r="AB45" s="17"/>
      <c r="AC45" s="17"/>
      <c r="AD45" s="17"/>
      <c r="AE45" s="17"/>
      <c r="AF45" s="17"/>
      <c r="AG45" s="17"/>
      <c r="AH45" s="17"/>
      <c r="AI45" s="17"/>
      <c r="AJ45" s="17"/>
      <c r="AK45" s="17"/>
      <c r="AL45" s="17"/>
      <c r="AM45" s="17"/>
      <c r="AN45" s="17"/>
      <c r="AO45" s="17"/>
      <c r="AP45" s="17"/>
      <c r="AQ45" s="17"/>
      <c r="AR45" s="17"/>
      <c r="AS45" s="17"/>
    </row>
    <row r="46" spans="8:45" ht="23.1" customHeight="1" x14ac:dyDescent="0.2">
      <c r="K46" s="784" t="s">
        <v>333</v>
      </c>
      <c r="N46" s="17"/>
      <c r="O46" s="17"/>
      <c r="P46" s="17"/>
      <c r="Q46" s="17"/>
      <c r="R46" s="17"/>
      <c r="S46" s="17"/>
      <c r="T46" s="17"/>
      <c r="U46" s="17"/>
      <c r="V46" s="17"/>
      <c r="W46" s="17"/>
      <c r="X46" s="17"/>
      <c r="Y46" s="17"/>
      <c r="Z46" s="17"/>
      <c r="AA46" s="17"/>
      <c r="AB46" s="17"/>
      <c r="AC46" s="17"/>
      <c r="AD46" s="17"/>
      <c r="AE46" s="17"/>
      <c r="AF46" s="17"/>
      <c r="AG46" s="17"/>
      <c r="AH46" s="17"/>
      <c r="AI46" s="17"/>
      <c r="AJ46" s="17"/>
      <c r="AK46" s="17"/>
      <c r="AL46" s="17"/>
      <c r="AM46" s="17"/>
      <c r="AN46" s="17"/>
      <c r="AO46" s="17"/>
      <c r="AP46" s="17"/>
      <c r="AQ46" s="17"/>
      <c r="AR46" s="17"/>
      <c r="AS46" s="17"/>
    </row>
    <row r="47" spans="8:45" ht="23.1" customHeight="1" x14ac:dyDescent="0.2">
      <c r="K47" s="784" t="s">
        <v>333</v>
      </c>
      <c r="N47" s="17"/>
      <c r="O47" s="17"/>
      <c r="P47" s="17"/>
      <c r="Q47" s="17"/>
      <c r="R47" s="17"/>
      <c r="S47" s="17"/>
      <c r="T47" s="17"/>
      <c r="U47" s="17"/>
      <c r="V47" s="17"/>
      <c r="W47" s="17"/>
      <c r="X47" s="17"/>
      <c r="Y47" s="849" t="s">
        <v>152</v>
      </c>
      <c r="Z47" s="849"/>
      <c r="AA47" s="848"/>
      <c r="AB47" s="849" t="s">
        <v>153</v>
      </c>
      <c r="AC47" s="849"/>
      <c r="AD47" s="848"/>
      <c r="AE47" s="849" t="s">
        <v>154</v>
      </c>
      <c r="AF47" s="849"/>
      <c r="AG47" s="848"/>
      <c r="AH47" s="849" t="s">
        <v>155</v>
      </c>
      <c r="AI47" s="849"/>
      <c r="AJ47" s="848"/>
      <c r="AK47" s="847" t="s">
        <v>156</v>
      </c>
      <c r="AL47" s="847"/>
      <c r="AM47" s="848"/>
      <c r="AN47" s="849" t="s">
        <v>157</v>
      </c>
      <c r="AO47" s="849"/>
      <c r="AP47" s="849"/>
      <c r="AQ47" s="849" t="s">
        <v>158</v>
      </c>
      <c r="AR47" s="849"/>
      <c r="AS47" s="848"/>
    </row>
    <row r="48" spans="8:45" ht="23.1" customHeight="1" x14ac:dyDescent="0.2">
      <c r="K48" s="784" t="s">
        <v>333</v>
      </c>
      <c r="N48" s="17"/>
      <c r="O48" s="17"/>
      <c r="P48" s="17"/>
      <c r="Q48" s="17"/>
      <c r="R48" s="17"/>
      <c r="S48" s="17"/>
      <c r="T48" s="17"/>
      <c r="U48" s="17"/>
      <c r="V48" s="17"/>
      <c r="W48" s="17"/>
      <c r="X48" s="17"/>
      <c r="Y48" s="307"/>
      <c r="Z48" s="307" t="s">
        <v>159</v>
      </c>
      <c r="AA48" s="307" t="s">
        <v>160</v>
      </c>
      <c r="AB48" s="308"/>
      <c r="AC48" s="307" t="s">
        <v>159</v>
      </c>
      <c r="AD48" s="307" t="s">
        <v>160</v>
      </c>
      <c r="AE48" s="308"/>
      <c r="AF48" s="307" t="s">
        <v>159</v>
      </c>
      <c r="AG48" s="307" t="s">
        <v>160</v>
      </c>
      <c r="AH48" s="147"/>
      <c r="AI48" s="307" t="s">
        <v>159</v>
      </c>
      <c r="AJ48" s="307" t="s">
        <v>160</v>
      </c>
      <c r="AK48" s="171"/>
      <c r="AL48" s="307" t="s">
        <v>159</v>
      </c>
      <c r="AM48" s="307" t="s">
        <v>160</v>
      </c>
      <c r="AN48" s="308"/>
      <c r="AO48" s="307" t="s">
        <v>159</v>
      </c>
      <c r="AP48" s="307" t="s">
        <v>160</v>
      </c>
      <c r="AQ48" s="308"/>
      <c r="AR48" s="307" t="s">
        <v>159</v>
      </c>
      <c r="AS48" s="307" t="s">
        <v>160</v>
      </c>
    </row>
    <row r="49" spans="11:45" ht="23.1" customHeight="1" x14ac:dyDescent="0.25">
      <c r="K49" s="784" t="s">
        <v>333</v>
      </c>
      <c r="N49" s="323"/>
      <c r="O49" s="335" t="s">
        <v>159</v>
      </c>
      <c r="P49" s="324"/>
      <c r="Q49" s="17"/>
      <c r="R49" s="17"/>
      <c r="S49" s="333"/>
      <c r="T49" s="335" t="s">
        <v>161</v>
      </c>
      <c r="U49" s="334"/>
      <c r="V49" s="320"/>
      <c r="W49" s="17"/>
      <c r="X49" s="17"/>
      <c r="Y49" s="17"/>
      <c r="Z49" s="17"/>
      <c r="AA49" s="17"/>
      <c r="AB49" s="17"/>
      <c r="AC49" s="17"/>
      <c r="AD49" s="17"/>
      <c r="AE49" s="17"/>
      <c r="AF49" s="17"/>
      <c r="AG49" s="17"/>
      <c r="AH49" s="17"/>
      <c r="AI49" s="17"/>
      <c r="AJ49" s="17"/>
      <c r="AK49" s="17"/>
      <c r="AL49" s="17"/>
      <c r="AM49" s="17"/>
      <c r="AN49" s="17"/>
      <c r="AO49" s="17"/>
      <c r="AP49" s="17"/>
      <c r="AQ49" s="17"/>
      <c r="AR49" s="17"/>
      <c r="AS49" s="17"/>
    </row>
    <row r="50" spans="11:45" ht="23.1" customHeight="1" x14ac:dyDescent="0.2">
      <c r="K50" s="781" t="str">
        <f>IF(X51=" "," ",".")</f>
        <v>.</v>
      </c>
      <c r="N50" s="325"/>
      <c r="O50" s="326"/>
      <c r="P50" s="327"/>
      <c r="Q50" s="17"/>
      <c r="R50" s="17"/>
      <c r="S50" s="325"/>
      <c r="T50" s="326"/>
      <c r="U50" s="326"/>
      <c r="V50" s="327"/>
      <c r="W50" s="17"/>
      <c r="X50" s="313"/>
      <c r="Y50" s="318" t="str">
        <f>B9</f>
        <v>AL</v>
      </c>
      <c r="Z50" s="336">
        <v>1</v>
      </c>
      <c r="AA50" s="337">
        <v>4</v>
      </c>
      <c r="AB50" s="566" t="str">
        <f>C9</f>
        <v>NS</v>
      </c>
      <c r="AC50" s="336">
        <v>1</v>
      </c>
      <c r="AD50" s="337">
        <v>4</v>
      </c>
      <c r="AE50" s="318" t="str">
        <f>D9</f>
        <v>NS</v>
      </c>
      <c r="AF50" s="336">
        <v>1</v>
      </c>
      <c r="AG50" s="337">
        <v>4</v>
      </c>
      <c r="AH50" s="318" t="str">
        <f>E9</f>
        <v xml:space="preserve"> </v>
      </c>
      <c r="AI50" s="336">
        <v>1</v>
      </c>
      <c r="AJ50" s="337">
        <v>4</v>
      </c>
      <c r="AK50" s="318" t="str">
        <f>F9</f>
        <v xml:space="preserve"> </v>
      </c>
      <c r="AL50" s="336">
        <v>1</v>
      </c>
      <c r="AM50" s="337">
        <v>4</v>
      </c>
      <c r="AN50" s="318" t="str">
        <f>G9</f>
        <v xml:space="preserve"> </v>
      </c>
      <c r="AO50" s="336">
        <v>1</v>
      </c>
      <c r="AP50" s="337">
        <v>4</v>
      </c>
      <c r="AQ50" s="318" t="str">
        <f>H9</f>
        <v xml:space="preserve"> </v>
      </c>
      <c r="AR50" s="336">
        <v>1</v>
      </c>
      <c r="AS50" s="337">
        <v>4</v>
      </c>
    </row>
    <row r="51" spans="11:45" ht="23.1" customHeight="1" x14ac:dyDescent="0.2">
      <c r="K51" s="781" t="str">
        <f>IF(X51=" "," ",".")</f>
        <v>.</v>
      </c>
      <c r="N51" s="325"/>
      <c r="O51" s="326"/>
      <c r="P51" s="327"/>
      <c r="Q51" s="17"/>
      <c r="R51" s="17"/>
      <c r="S51" s="325"/>
      <c r="T51" s="326"/>
      <c r="U51" s="326"/>
      <c r="V51" s="327"/>
      <c r="W51" s="17"/>
      <c r="X51" s="319" t="str">
        <f>'Master List'!C57</f>
        <v>A. CLIMACO</v>
      </c>
      <c r="Y51" s="340" t="str">
        <f>IF(OR(Y50&gt;" ",INDEX($O$52:$O$74,Z50)=0)," ",INDEX($O$52:$O$74,Z50))</f>
        <v xml:space="preserve"> </v>
      </c>
      <c r="Z51" s="341"/>
      <c r="AA51" s="342"/>
      <c r="AB51" s="340" t="str">
        <f>IF(OR(AB50&gt;" ",INDEX($O$52:$O$74,AC50)=0)," ",INDEX($O$52:$O$74,AC50))</f>
        <v xml:space="preserve"> </v>
      </c>
      <c r="AC51" s="341"/>
      <c r="AD51" s="342"/>
      <c r="AE51" s="340" t="str">
        <f>IF(OR(AE50&gt;" ",INDEX($O$52:$O$74,AF50)=0)," ",INDEX($O$52:$O$74,AF50))</f>
        <v xml:space="preserve"> </v>
      </c>
      <c r="AF51" s="341"/>
      <c r="AG51" s="342"/>
      <c r="AH51" s="340" t="str">
        <f>IF(OR(AH50&gt;" ",INDEX($O$52:$O$74,AI50)=0)," ",INDEX($O$52:$O$74,AI50))</f>
        <v>ENGINE ROOM</v>
      </c>
      <c r="AI51" s="341"/>
      <c r="AJ51" s="342"/>
      <c r="AK51" s="340" t="str">
        <f>IF(OR(AK50&gt;" ",INDEX($O$52:$O$74,AL50)=0)," ",INDEX($O$52:$O$74,AL50))</f>
        <v>ENGINE ROOM</v>
      </c>
      <c r="AL51" s="341"/>
      <c r="AM51" s="342"/>
      <c r="AN51" s="340" t="str">
        <f>IF(OR(AN50&gt;" ",INDEX($O$52:$O$74,AO50)=0)," ",INDEX($O$52:$O$74,AO50))</f>
        <v>ENGINE ROOM</v>
      </c>
      <c r="AO51" s="341"/>
      <c r="AP51" s="342"/>
      <c r="AQ51" s="340" t="str">
        <f>IF(OR(AQ50&gt;" ",INDEX($O$52:$O$74,AR50)=0)," ",INDEX($O$52:$O$74,AR50))</f>
        <v>ENGINE ROOM</v>
      </c>
      <c r="AR51" s="341"/>
      <c r="AS51" s="342"/>
    </row>
    <row r="52" spans="11:45" ht="23.1" customHeight="1" x14ac:dyDescent="0.2">
      <c r="K52" s="781" t="str">
        <f>IF(X51=" "," ",".")</f>
        <v>.</v>
      </c>
      <c r="N52" s="328">
        <v>1</v>
      </c>
      <c r="O52" s="329" t="s">
        <v>165</v>
      </c>
      <c r="P52" s="347"/>
      <c r="Q52" s="309"/>
      <c r="R52" s="309"/>
      <c r="S52" s="328">
        <v>1</v>
      </c>
      <c r="T52" s="329" t="s">
        <v>166</v>
      </c>
      <c r="U52" s="348"/>
      <c r="V52" s="347"/>
      <c r="W52" s="309"/>
      <c r="X52" s="349"/>
      <c r="Y52" s="340" t="str">
        <f>IF(Y51=" ","",INDEX($T$52:$T$74,AA50))</f>
        <v/>
      </c>
      <c r="Z52" s="343"/>
      <c r="AA52" s="344"/>
      <c r="AB52" s="340" t="str">
        <f>IF(AB51=" ","",INDEX($T$52:$T$74,AD50))</f>
        <v/>
      </c>
      <c r="AC52" s="343"/>
      <c r="AD52" s="344"/>
      <c r="AE52" s="340" t="str">
        <f>IF(AE51=" ","",INDEX($T$52:$T$74,AG50))</f>
        <v/>
      </c>
      <c r="AF52" s="343"/>
      <c r="AG52" s="344"/>
      <c r="AH52" s="340" t="str">
        <f>IF(AH51=" ","",INDEX($T$52:$T$74,AJ50))</f>
        <v>ROUTES</v>
      </c>
      <c r="AI52" s="343"/>
      <c r="AJ52" s="344"/>
      <c r="AK52" s="340" t="str">
        <f>IF(AK51=" ","",INDEX($T$52:$T$74,AM50))</f>
        <v>ROUTES</v>
      </c>
      <c r="AL52" s="343"/>
      <c r="AM52" s="344"/>
      <c r="AN52" s="340" t="str">
        <f>IF(AN51=" ","",INDEX($T$52:$T$74,AP50))</f>
        <v>ROUTES</v>
      </c>
      <c r="AO52" s="343"/>
      <c r="AP52" s="344"/>
      <c r="AQ52" s="340" t="str">
        <f>IF(AQ51=" ","",INDEX($T$52:$T$74,AS50))</f>
        <v>ROUTES</v>
      </c>
      <c r="AR52" s="343"/>
      <c r="AS52" s="344"/>
    </row>
    <row r="53" spans="11:45" ht="23.1" customHeight="1" x14ac:dyDescent="0.2">
      <c r="K53" s="781" t="str">
        <f>IF(X54=" "," ",".")</f>
        <v>.</v>
      </c>
      <c r="N53" s="328">
        <v>2</v>
      </c>
      <c r="O53" s="329" t="s">
        <v>74</v>
      </c>
      <c r="P53" s="347"/>
      <c r="Q53" s="309"/>
      <c r="R53" s="309"/>
      <c r="S53" s="328">
        <v>2</v>
      </c>
      <c r="T53" s="329" t="s">
        <v>167</v>
      </c>
      <c r="U53" s="348"/>
      <c r="V53" s="347"/>
      <c r="W53" s="309"/>
      <c r="X53" s="350"/>
      <c r="Y53" s="318">
        <f>B13</f>
        <v>0</v>
      </c>
      <c r="Z53" s="336">
        <v>3</v>
      </c>
      <c r="AA53" s="337">
        <v>4</v>
      </c>
      <c r="AB53" s="318">
        <f>C13</f>
        <v>0</v>
      </c>
      <c r="AC53" s="336">
        <v>3</v>
      </c>
      <c r="AD53" s="337">
        <v>4</v>
      </c>
      <c r="AE53" s="318">
        <f>D13</f>
        <v>0</v>
      </c>
      <c r="AF53" s="336">
        <v>3</v>
      </c>
      <c r="AG53" s="337">
        <v>4</v>
      </c>
      <c r="AH53" s="318">
        <f>E13</f>
        <v>0</v>
      </c>
      <c r="AI53" s="336">
        <v>3</v>
      </c>
      <c r="AJ53" s="337">
        <v>4</v>
      </c>
      <c r="AK53" s="318">
        <f>F13</f>
        <v>0</v>
      </c>
      <c r="AL53" s="336">
        <v>3</v>
      </c>
      <c r="AM53" s="337">
        <v>4</v>
      </c>
      <c r="AN53" s="318">
        <f>G13</f>
        <v>0</v>
      </c>
      <c r="AO53" s="336">
        <v>3</v>
      </c>
      <c r="AP53" s="337">
        <v>4</v>
      </c>
      <c r="AQ53" s="318">
        <f>H13</f>
        <v>0</v>
      </c>
      <c r="AR53" s="336">
        <v>3</v>
      </c>
      <c r="AS53" s="337">
        <v>4</v>
      </c>
    </row>
    <row r="54" spans="11:45" ht="23.1" customHeight="1" x14ac:dyDescent="0.2">
      <c r="K54" s="781" t="str">
        <f>IF(X54=" "," ",".")</f>
        <v>.</v>
      </c>
      <c r="N54" s="328">
        <v>3</v>
      </c>
      <c r="O54" s="785" t="s">
        <v>56</v>
      </c>
      <c r="P54" s="347"/>
      <c r="Q54" s="309"/>
      <c r="R54" s="309"/>
      <c r="S54" s="328">
        <v>3</v>
      </c>
      <c r="T54" s="329" t="s">
        <v>311</v>
      </c>
      <c r="U54" s="348"/>
      <c r="V54" s="347"/>
      <c r="W54" s="309"/>
      <c r="X54" s="319">
        <f>'Master List'!C58</f>
        <v>0</v>
      </c>
      <c r="Y54" s="340" t="str">
        <f>IF(OR(Y53&gt;" ",INDEX($O$52:$O$74,Z53)=0)," ",INDEX($O$52:$O$74,Z53))</f>
        <v xml:space="preserve"> </v>
      </c>
      <c r="Z54" s="341"/>
      <c r="AA54" s="342"/>
      <c r="AB54" s="340" t="str">
        <f>IF(OR(AB53&gt;" ",INDEX($O$52:$O$74,AC53)=0)," ",INDEX($O$52:$O$74,AC53))</f>
        <v xml:space="preserve"> </v>
      </c>
      <c r="AC54" s="341"/>
      <c r="AD54" s="342"/>
      <c r="AE54" s="340" t="str">
        <f>IF(OR(AE53&gt;" ",INDEX($O$52:$O$74,AF53)=0)," ",INDEX($O$52:$O$74,AF53))</f>
        <v xml:space="preserve"> </v>
      </c>
      <c r="AF54" s="341"/>
      <c r="AG54" s="342"/>
      <c r="AH54" s="340" t="str">
        <f>IF(OR(AH53&gt;" ",INDEX($O$52:$O$74,AI53)=0)," ",INDEX($O$52:$O$74,AI53))</f>
        <v xml:space="preserve"> </v>
      </c>
      <c r="AI54" s="341"/>
      <c r="AJ54" s="342"/>
      <c r="AK54" s="340" t="str">
        <f>IF(OR(AK53&gt;" ",INDEX($O$52:$O$74,AL53)=0)," ",INDEX($O$52:$O$74,AL53))</f>
        <v xml:space="preserve"> </v>
      </c>
      <c r="AL54" s="341"/>
      <c r="AM54" s="342"/>
      <c r="AN54" s="340" t="str">
        <f>IF(OR(AN53&gt;" ",INDEX($O$52:$O$74,AO53)=0)," ",INDEX($O$52:$O$74,AO53))</f>
        <v xml:space="preserve"> </v>
      </c>
      <c r="AO54" s="341"/>
      <c r="AP54" s="342"/>
      <c r="AQ54" s="340" t="str">
        <f>IF(OR(AQ53&gt;" ",INDEX($O$52:$O$74,AR53)=0)," ",INDEX($O$52:$O$74,AR53))</f>
        <v xml:space="preserve"> </v>
      </c>
      <c r="AR54" s="341"/>
      <c r="AS54" s="342"/>
    </row>
    <row r="55" spans="11:45" ht="19.5" customHeight="1" x14ac:dyDescent="0.2">
      <c r="K55" s="781" t="str">
        <f>IF(X54=" "," ",".")</f>
        <v>.</v>
      </c>
      <c r="N55" s="328">
        <v>4</v>
      </c>
      <c r="O55" s="785" t="s">
        <v>56</v>
      </c>
      <c r="P55" s="347"/>
      <c r="Q55" s="309"/>
      <c r="R55" s="309"/>
      <c r="S55" s="328">
        <v>4</v>
      </c>
      <c r="T55" s="329" t="s">
        <v>74</v>
      </c>
      <c r="U55" s="348"/>
      <c r="V55" s="347"/>
      <c r="W55" s="309"/>
      <c r="X55" s="349"/>
      <c r="Y55" s="340" t="str">
        <f>IF(Y54=" ","",INDEX($T$52:$T$74,AA53))</f>
        <v/>
      </c>
      <c r="Z55" s="343"/>
      <c r="AA55" s="344"/>
      <c r="AB55" s="340" t="str">
        <f>IF(AB54=" ","",INDEX($T$52:$T$74,AD53))</f>
        <v/>
      </c>
      <c r="AC55" s="343"/>
      <c r="AD55" s="344"/>
      <c r="AE55" s="340" t="str">
        <f>IF(AE54=" ","",INDEX($T$52:$T$74,AG53))</f>
        <v/>
      </c>
      <c r="AF55" s="343"/>
      <c r="AG55" s="344"/>
      <c r="AH55" s="340" t="str">
        <f>IF(AH54=" ","",INDEX($T$52:$T$74,AJ53))</f>
        <v/>
      </c>
      <c r="AI55" s="343"/>
      <c r="AJ55" s="344"/>
      <c r="AK55" s="340" t="str">
        <f>IF(AK54=" ","",INDEX($T$52:$T$74,AM53))</f>
        <v/>
      </c>
      <c r="AL55" s="343"/>
      <c r="AM55" s="344"/>
      <c r="AN55" s="340" t="str">
        <f>IF(AN54=" ","",INDEX($T$52:$T$74,AP53))</f>
        <v/>
      </c>
      <c r="AO55" s="343"/>
      <c r="AP55" s="344"/>
      <c r="AQ55" s="340" t="str">
        <f>IF(AQ54=" ","",INDEX($T$52:$T$74,AS53))</f>
        <v/>
      </c>
      <c r="AR55" s="343"/>
      <c r="AS55" s="344"/>
    </row>
    <row r="56" spans="11:45" ht="22.5" hidden="1" customHeight="1" x14ac:dyDescent="0.2">
      <c r="K56" s="781" t="str">
        <f>IF(X57=" "," ",".")</f>
        <v>.</v>
      </c>
      <c r="N56" s="328">
        <v>5</v>
      </c>
      <c r="O56" s="785" t="s">
        <v>56</v>
      </c>
      <c r="P56" s="347"/>
      <c r="Q56" s="309"/>
      <c r="R56" s="309"/>
      <c r="S56" s="328">
        <v>5</v>
      </c>
      <c r="T56" s="785" t="s">
        <v>56</v>
      </c>
      <c r="U56" s="348"/>
      <c r="V56" s="347"/>
      <c r="W56" s="309"/>
      <c r="X56" s="350"/>
      <c r="Y56" s="318">
        <f>B17</f>
        <v>0</v>
      </c>
      <c r="Z56" s="336">
        <v>1</v>
      </c>
      <c r="AA56" s="337">
        <v>4</v>
      </c>
      <c r="AB56" s="318">
        <f>C17</f>
        <v>0</v>
      </c>
      <c r="AC56" s="336">
        <v>1</v>
      </c>
      <c r="AD56" s="337">
        <v>4</v>
      </c>
      <c r="AE56" s="318">
        <f>D17</f>
        <v>0</v>
      </c>
      <c r="AF56" s="336">
        <v>1</v>
      </c>
      <c r="AG56" s="337">
        <v>4</v>
      </c>
      <c r="AH56" s="356">
        <f>E17</f>
        <v>0</v>
      </c>
      <c r="AI56" s="336">
        <v>1</v>
      </c>
      <c r="AJ56" s="337">
        <v>4</v>
      </c>
      <c r="AK56" s="318">
        <f>F17</f>
        <v>0</v>
      </c>
      <c r="AL56" s="336">
        <v>1</v>
      </c>
      <c r="AM56" s="337">
        <v>4</v>
      </c>
      <c r="AN56" s="318">
        <f>G17</f>
        <v>0</v>
      </c>
      <c r="AO56" s="336">
        <v>1</v>
      </c>
      <c r="AP56" s="337">
        <v>4</v>
      </c>
      <c r="AQ56" s="318">
        <f>H17</f>
        <v>0</v>
      </c>
      <c r="AR56" s="336">
        <v>1</v>
      </c>
      <c r="AS56" s="337">
        <v>4</v>
      </c>
    </row>
    <row r="57" spans="11:45" ht="22.5" hidden="1" customHeight="1" x14ac:dyDescent="0.2">
      <c r="K57" s="781" t="str">
        <f>IF(X57=" "," ",".")</f>
        <v>.</v>
      </c>
      <c r="N57" s="328">
        <v>6</v>
      </c>
      <c r="O57" s="785" t="s">
        <v>56</v>
      </c>
      <c r="P57" s="347"/>
      <c r="Q57" s="309"/>
      <c r="R57" s="309"/>
      <c r="S57" s="328">
        <v>6</v>
      </c>
      <c r="T57" s="785" t="s">
        <v>56</v>
      </c>
      <c r="U57" s="348"/>
      <c r="V57" s="347"/>
      <c r="W57" s="309"/>
      <c r="X57" s="319">
        <f>'Master List'!C59</f>
        <v>0</v>
      </c>
      <c r="Y57" s="433" t="str">
        <f>IF(OR(Y56&gt;" ",INDEX($O$52:$O$74,Z56)=0)," ",INDEX($O$52:$O$74,Z56))</f>
        <v>ENGINE ROOM</v>
      </c>
      <c r="Z57" s="434"/>
      <c r="AA57" s="435"/>
      <c r="AB57" s="433" t="str">
        <f>IF(OR(AB56&gt;" ",INDEX($O$52:$O$74,AC56)=0)," ",INDEX($O$52:$O$74,AC56))</f>
        <v>ENGINE ROOM</v>
      </c>
      <c r="AC57" s="434"/>
      <c r="AD57" s="435"/>
      <c r="AE57" s="433" t="str">
        <f>IF(OR(AE56&gt;" ",INDEX($O$52:$O$74,AF56)=0)," ",INDEX($O$52:$O$74,AF56))</f>
        <v>ENGINE ROOM</v>
      </c>
      <c r="AF57" s="434"/>
      <c r="AG57" s="435"/>
      <c r="AH57" s="433" t="str">
        <f>IF(OR(AH56&gt;" ",INDEX($O$52:$O$74,AI56)=0)," ",INDEX($O$52:$O$74,AI56))</f>
        <v>ENGINE ROOM</v>
      </c>
      <c r="AI57" s="434"/>
      <c r="AJ57" s="435"/>
      <c r="AK57" s="433" t="str">
        <f>IF(OR(AK56&gt;" ",INDEX($O$52:$O$74,AL56)=0)," ",INDEX($O$52:$O$74,AL56))</f>
        <v>ENGINE ROOM</v>
      </c>
      <c r="AL57" s="434"/>
      <c r="AM57" s="435"/>
      <c r="AN57" s="433" t="str">
        <f>IF(OR(AN56&gt;" ",INDEX($O$52:$O$74,AO56)=0)," ",INDEX($O$52:$O$74,AO56))</f>
        <v>ENGINE ROOM</v>
      </c>
      <c r="AO57" s="434"/>
      <c r="AP57" s="435"/>
      <c r="AQ57" s="433" t="str">
        <f>IF(OR(AQ56&gt;" ",INDEX($O$52:$O$74,AR56)=0)," ",INDEX($O$52:$O$74,AR56))</f>
        <v>ENGINE ROOM</v>
      </c>
      <c r="AR57" s="434"/>
      <c r="AS57" s="435"/>
    </row>
    <row r="58" spans="11:45" ht="22.5" hidden="1" customHeight="1" x14ac:dyDescent="0.2">
      <c r="K58" s="781" t="str">
        <f>IF(X57=" "," ",".")</f>
        <v>.</v>
      </c>
      <c r="N58" s="328">
        <v>7</v>
      </c>
      <c r="O58" s="785" t="s">
        <v>56</v>
      </c>
      <c r="P58" s="347"/>
      <c r="Q58" s="309"/>
      <c r="R58" s="309"/>
      <c r="S58" s="328">
        <v>7</v>
      </c>
      <c r="T58" s="785" t="s">
        <v>56</v>
      </c>
      <c r="U58" s="348"/>
      <c r="V58" s="347"/>
      <c r="W58" s="309"/>
      <c r="X58" s="349"/>
      <c r="Y58" s="433" t="str">
        <f>IF(Y57=" ","",INDEX($T$52:$T$74,AA56))</f>
        <v>ROUTES</v>
      </c>
      <c r="Z58" s="437"/>
      <c r="AA58" s="438"/>
      <c r="AB58" s="433" t="str">
        <f>IF(AB57=" ","",INDEX($T$52:$T$74,AD56))</f>
        <v>ROUTES</v>
      </c>
      <c r="AC58" s="437"/>
      <c r="AD58" s="438"/>
      <c r="AE58" s="433" t="str">
        <f>IF(AE57=" ","",INDEX($T$52:$T$74,AG56))</f>
        <v>ROUTES</v>
      </c>
      <c r="AF58" s="437"/>
      <c r="AG58" s="438"/>
      <c r="AH58" s="433" t="str">
        <f>IF(AH57=" ","",INDEX($T$52:$T$74,AJ56))</f>
        <v>ROUTES</v>
      </c>
      <c r="AI58" s="437"/>
      <c r="AJ58" s="438"/>
      <c r="AK58" s="433" t="str">
        <f>IF(AK57=" ","",INDEX($T$52:$T$74,AM56))</f>
        <v>ROUTES</v>
      </c>
      <c r="AL58" s="437"/>
      <c r="AM58" s="438"/>
      <c r="AN58" s="433" t="str">
        <f>IF(AN57=" ","",INDEX($T$52:$T$74,AP56))</f>
        <v>ROUTES</v>
      </c>
      <c r="AO58" s="437"/>
      <c r="AP58" s="438"/>
      <c r="AQ58" s="433" t="str">
        <f>IF(AQ57=" ","",INDEX($T$52:$T$74,AS56))</f>
        <v>ROUTES</v>
      </c>
      <c r="AR58" s="437"/>
      <c r="AS58" s="438"/>
    </row>
    <row r="59" spans="11:45" ht="22.5" hidden="1" customHeight="1" x14ac:dyDescent="0.2">
      <c r="K59" s="781" t="str">
        <f>IF(X60=" "," ",".")</f>
        <v>.</v>
      </c>
      <c r="N59" s="328">
        <v>8</v>
      </c>
      <c r="O59" s="785" t="s">
        <v>56</v>
      </c>
      <c r="P59" s="347"/>
      <c r="Q59" s="309"/>
      <c r="R59" s="309"/>
      <c r="S59" s="328">
        <v>8</v>
      </c>
      <c r="T59" s="785" t="s">
        <v>56</v>
      </c>
      <c r="U59" s="348"/>
      <c r="V59" s="347"/>
      <c r="W59" s="309"/>
      <c r="X59" s="350"/>
      <c r="Y59" s="318">
        <f>B21</f>
        <v>0</v>
      </c>
      <c r="Z59" s="336">
        <v>1</v>
      </c>
      <c r="AA59" s="337">
        <v>4</v>
      </c>
      <c r="AB59" s="318">
        <f>C21</f>
        <v>0</v>
      </c>
      <c r="AC59" s="336">
        <v>1</v>
      </c>
      <c r="AD59" s="337">
        <v>4</v>
      </c>
      <c r="AE59" s="318">
        <f>D21</f>
        <v>0</v>
      </c>
      <c r="AF59" s="336">
        <v>1</v>
      </c>
      <c r="AG59" s="337">
        <v>4</v>
      </c>
      <c r="AH59" s="356">
        <f>E21</f>
        <v>0</v>
      </c>
      <c r="AI59" s="336">
        <v>1</v>
      </c>
      <c r="AJ59" s="337">
        <v>4</v>
      </c>
      <c r="AK59" s="318">
        <f>F21</f>
        <v>0</v>
      </c>
      <c r="AL59" s="336">
        <v>1</v>
      </c>
      <c r="AM59" s="337">
        <v>4</v>
      </c>
      <c r="AN59" s="318">
        <f>G21</f>
        <v>0</v>
      </c>
      <c r="AO59" s="336">
        <v>1</v>
      </c>
      <c r="AP59" s="337">
        <v>4</v>
      </c>
      <c r="AQ59" s="318">
        <f>H21</f>
        <v>0</v>
      </c>
      <c r="AR59" s="336">
        <v>1</v>
      </c>
      <c r="AS59" s="337">
        <v>4</v>
      </c>
    </row>
    <row r="60" spans="11:45" ht="22.5" hidden="1" customHeight="1" x14ac:dyDescent="0.2">
      <c r="K60" s="781" t="str">
        <f>IF(X60=" "," ",".")</f>
        <v>.</v>
      </c>
      <c r="N60" s="328">
        <v>9</v>
      </c>
      <c r="O60" s="785" t="s">
        <v>56</v>
      </c>
      <c r="P60" s="347"/>
      <c r="Q60" s="309"/>
      <c r="R60" s="309"/>
      <c r="S60" s="328">
        <v>9</v>
      </c>
      <c r="T60" s="785" t="s">
        <v>56</v>
      </c>
      <c r="U60" s="348"/>
      <c r="V60" s="347"/>
      <c r="W60" s="309"/>
      <c r="X60" s="319">
        <f>'Master List'!C60</f>
        <v>0</v>
      </c>
      <c r="Y60" s="433" t="str">
        <f>IF(OR(Y59&gt;" ",INDEX($O$52:$O$74,Z59)=0)," ",INDEX($O$52:$O$74,Z59))</f>
        <v>ENGINE ROOM</v>
      </c>
      <c r="Z60" s="434"/>
      <c r="AA60" s="435"/>
      <c r="AB60" s="433" t="str">
        <f>IF(OR(AB59&gt;" ",INDEX($O$52:$O$74,AC59)=0)," ",INDEX($O$52:$O$74,AC59))</f>
        <v>ENGINE ROOM</v>
      </c>
      <c r="AC60" s="434"/>
      <c r="AD60" s="435"/>
      <c r="AE60" s="433" t="str">
        <f>IF(OR(AE59&gt;" ",INDEX($O$52:$O$74,AF59)=0)," ",INDEX($O$52:$O$74,AF59))</f>
        <v>ENGINE ROOM</v>
      </c>
      <c r="AF60" s="434"/>
      <c r="AG60" s="435"/>
      <c r="AH60" s="433" t="str">
        <f>IF(OR(AH59&gt;" ",INDEX($O$52:$O$74,AI59)=0)," ",INDEX($O$52:$O$74,AI59))</f>
        <v>ENGINE ROOM</v>
      </c>
      <c r="AI60" s="434"/>
      <c r="AJ60" s="435"/>
      <c r="AK60" s="433" t="str">
        <f>IF(OR(AK59&gt;" ",INDEX($O$52:$O$74,AL59)=0)," ",INDEX($O$52:$O$74,AL59))</f>
        <v>ENGINE ROOM</v>
      </c>
      <c r="AL60" s="434"/>
      <c r="AM60" s="435"/>
      <c r="AN60" s="433" t="str">
        <f>IF(OR(AN59&gt;" ",INDEX($O$52:$O$74,AO59)=0)," ",INDEX($O$52:$O$74,AO59))</f>
        <v>ENGINE ROOM</v>
      </c>
      <c r="AO60" s="434"/>
      <c r="AP60" s="435"/>
      <c r="AQ60" s="433" t="str">
        <f>IF(OR(AQ59&gt;" ",INDEX($O$52:$O$74,AR59)=0)," ",INDEX($O$52:$O$74,AR59))</f>
        <v>ENGINE ROOM</v>
      </c>
      <c r="AR60" s="434"/>
      <c r="AS60" s="435"/>
    </row>
    <row r="61" spans="11:45" ht="22.5" hidden="1" customHeight="1" x14ac:dyDescent="0.2">
      <c r="K61" s="781" t="str">
        <f>IF(X60=" "," ",".")</f>
        <v>.</v>
      </c>
      <c r="N61" s="328">
        <v>10</v>
      </c>
      <c r="O61" s="785" t="s">
        <v>56</v>
      </c>
      <c r="P61" s="339"/>
      <c r="Q61" s="309"/>
      <c r="R61" s="309"/>
      <c r="S61" s="328">
        <v>10</v>
      </c>
      <c r="T61" s="785" t="s">
        <v>56</v>
      </c>
      <c r="U61" s="348"/>
      <c r="V61" s="347"/>
      <c r="W61" s="309"/>
      <c r="X61" s="349"/>
      <c r="Y61" s="436" t="str">
        <f>IF(Y60=" ","",INDEX($T$52:$T$74,AA59))</f>
        <v>ROUTES</v>
      </c>
      <c r="Z61" s="437"/>
      <c r="AA61" s="438"/>
      <c r="AB61" s="436" t="str">
        <f>IF(AB60=" ","",INDEX($T$52:$T$74,AD59))</f>
        <v>ROUTES</v>
      </c>
      <c r="AC61" s="437"/>
      <c r="AD61" s="438"/>
      <c r="AE61" s="436" t="str">
        <f>IF(AE60=" ","",INDEX($T$52:$T$74,AG59))</f>
        <v>ROUTES</v>
      </c>
      <c r="AF61" s="437"/>
      <c r="AG61" s="438"/>
      <c r="AH61" s="436" t="str">
        <f>IF(AH60=" ","",INDEX($T$52:$T$74,AJ59))</f>
        <v>ROUTES</v>
      </c>
      <c r="AI61" s="437"/>
      <c r="AJ61" s="438"/>
      <c r="AK61" s="436" t="str">
        <f>IF(AK60=" ","",INDEX($T$52:$T$74,AM59))</f>
        <v>ROUTES</v>
      </c>
      <c r="AL61" s="437"/>
      <c r="AM61" s="438"/>
      <c r="AN61" s="436" t="str">
        <f>IF(AN60=" ","",INDEX($T$52:$T$74,AP59))</f>
        <v>ROUTES</v>
      </c>
      <c r="AO61" s="437"/>
      <c r="AP61" s="438"/>
      <c r="AQ61" s="436" t="str">
        <f>IF(AQ60=" ","",INDEX($T$52:$T$74,AS59))</f>
        <v>ROUTES</v>
      </c>
      <c r="AR61" s="437"/>
      <c r="AS61" s="438"/>
    </row>
    <row r="62" spans="11:45" ht="20.100000000000001" hidden="1" customHeight="1" x14ac:dyDescent="0.2">
      <c r="K62" s="781" t="str">
        <f>IF(X63=" "," ",".")</f>
        <v xml:space="preserve"> </v>
      </c>
      <c r="N62" s="328">
        <v>14</v>
      </c>
      <c r="O62" s="785" t="s">
        <v>56</v>
      </c>
      <c r="P62" s="347"/>
      <c r="Q62" s="309"/>
      <c r="R62" s="309"/>
      <c r="S62" s="328">
        <v>14</v>
      </c>
      <c r="T62" s="785" t="s">
        <v>56</v>
      </c>
      <c r="U62" s="348"/>
      <c r="V62" s="347"/>
      <c r="W62" s="309"/>
      <c r="X62" s="350"/>
      <c r="Y62" s="318">
        <f>B25</f>
        <v>0</v>
      </c>
      <c r="Z62" s="336">
        <v>20</v>
      </c>
      <c r="AA62" s="337">
        <v>4</v>
      </c>
      <c r="AB62" s="318">
        <f>C25</f>
        <v>0</v>
      </c>
      <c r="AC62" s="336">
        <v>20</v>
      </c>
      <c r="AD62" s="337">
        <v>4</v>
      </c>
      <c r="AE62" s="318">
        <f>D25</f>
        <v>0</v>
      </c>
      <c r="AF62" s="336">
        <v>20</v>
      </c>
      <c r="AG62" s="337">
        <v>4</v>
      </c>
      <c r="AH62" s="356">
        <f>E25</f>
        <v>0</v>
      </c>
      <c r="AI62" s="336">
        <v>20</v>
      </c>
      <c r="AJ62" s="337">
        <v>4</v>
      </c>
      <c r="AK62" s="318">
        <f>F25</f>
        <v>0</v>
      </c>
      <c r="AL62" s="336">
        <v>20</v>
      </c>
      <c r="AM62" s="337">
        <v>4</v>
      </c>
      <c r="AN62" s="318">
        <f>G25</f>
        <v>0</v>
      </c>
      <c r="AO62" s="336">
        <v>20</v>
      </c>
      <c r="AP62" s="337">
        <v>4</v>
      </c>
      <c r="AQ62" s="318">
        <f>H25</f>
        <v>0</v>
      </c>
      <c r="AR62" s="336">
        <v>20</v>
      </c>
      <c r="AS62" s="337">
        <v>4</v>
      </c>
    </row>
    <row r="63" spans="11:45" ht="20.100000000000001" hidden="1" customHeight="1" x14ac:dyDescent="0.2">
      <c r="K63" s="781" t="str">
        <f>IF(X63=" "," ",".")</f>
        <v xml:space="preserve"> </v>
      </c>
      <c r="N63" s="328">
        <v>15</v>
      </c>
      <c r="O63" s="785" t="s">
        <v>56</v>
      </c>
      <c r="P63" s="347"/>
      <c r="Q63" s="309"/>
      <c r="R63" s="309"/>
      <c r="S63" s="328">
        <v>15</v>
      </c>
      <c r="T63" s="785" t="s">
        <v>56</v>
      </c>
      <c r="U63" s="348"/>
      <c r="V63" s="347"/>
      <c r="W63" s="309"/>
      <c r="X63" s="319" t="str">
        <f>'Master List'!C61</f>
        <v xml:space="preserve"> </v>
      </c>
      <c r="Y63" s="433" t="str">
        <f>IF(OR(Y62&gt;" ",INDEX($O$52:$O$74,Z62)=0)," ",INDEX($O$52:$O$74,Z62))</f>
        <v xml:space="preserve"> </v>
      </c>
      <c r="Z63" s="434"/>
      <c r="AA63" s="435"/>
      <c r="AB63" s="433" t="str">
        <f>IF(OR(AB62&gt;" ",INDEX($O$52:$O$74,AC62)=0)," ",INDEX($O$52:$O$74,AC62))</f>
        <v xml:space="preserve"> </v>
      </c>
      <c r="AC63" s="434"/>
      <c r="AD63" s="435"/>
      <c r="AE63" s="433" t="str">
        <f>IF(OR(AE62&gt;" ",INDEX($O$52:$O$74,AF62)=0)," ",INDEX($O$52:$O$74,AF62))</f>
        <v xml:space="preserve"> </v>
      </c>
      <c r="AF63" s="434"/>
      <c r="AG63" s="435"/>
      <c r="AH63" s="433" t="str">
        <f>IF(OR(AH62&gt;" ",INDEX($O$52:$O$74,AI62)=0)," ",INDEX($O$52:$O$74,AI62))</f>
        <v xml:space="preserve"> </v>
      </c>
      <c r="AI63" s="434"/>
      <c r="AJ63" s="435"/>
      <c r="AK63" s="433" t="str">
        <f>IF(OR(AK62&gt;" ",INDEX($O$52:$O$74,AL62)=0)," ",INDEX($O$52:$O$74,AL62))</f>
        <v xml:space="preserve"> </v>
      </c>
      <c r="AL63" s="434"/>
      <c r="AM63" s="435"/>
      <c r="AN63" s="433" t="str">
        <f>IF(OR(AN62&gt;" ",INDEX($O$52:$O$74,AO62)=0)," ",INDEX($O$52:$O$74,AO62))</f>
        <v xml:space="preserve"> </v>
      </c>
      <c r="AO63" s="434"/>
      <c r="AP63" s="435"/>
      <c r="AQ63" s="433" t="str">
        <f>IF(OR(AQ62&gt;" ",INDEX($O$52:$O$74,AR62)=0)," ",INDEX($O$52:$O$74,AR62))</f>
        <v xml:space="preserve"> </v>
      </c>
      <c r="AR63" s="434"/>
      <c r="AS63" s="435"/>
    </row>
    <row r="64" spans="11:45" ht="20.100000000000001" hidden="1" customHeight="1" x14ac:dyDescent="0.2">
      <c r="K64" s="781" t="str">
        <f>IF(X63=" "," ",".")</f>
        <v xml:space="preserve"> </v>
      </c>
      <c r="N64" s="328">
        <v>16</v>
      </c>
      <c r="O64" s="785" t="s">
        <v>56</v>
      </c>
      <c r="P64" s="347"/>
      <c r="Q64" s="309"/>
      <c r="R64" s="309"/>
      <c r="S64" s="328">
        <v>16</v>
      </c>
      <c r="T64" s="785" t="s">
        <v>56</v>
      </c>
      <c r="U64" s="348"/>
      <c r="V64" s="347"/>
      <c r="W64" s="309"/>
      <c r="X64" s="349"/>
      <c r="Y64" s="436" t="str">
        <f>IF(Y63=" ","",INDEX($T$52:$T$74,AA62))</f>
        <v/>
      </c>
      <c r="Z64" s="437"/>
      <c r="AA64" s="438"/>
      <c r="AB64" s="436" t="str">
        <f>IF(AB63=" ","",INDEX($T$52:$T$74,AD62))</f>
        <v/>
      </c>
      <c r="AC64" s="437"/>
      <c r="AD64" s="438"/>
      <c r="AE64" s="436" t="str">
        <f>IF(AE63=" ","",INDEX($T$52:$T$74,AG62))</f>
        <v/>
      </c>
      <c r="AF64" s="437"/>
      <c r="AG64" s="438"/>
      <c r="AH64" s="436" t="str">
        <f>IF(AH63=" ","",INDEX($T$52:$T$74,AJ62))</f>
        <v/>
      </c>
      <c r="AI64" s="437"/>
      <c r="AJ64" s="438"/>
      <c r="AK64" s="436" t="str">
        <f>IF(AK63=" ","",INDEX($T$52:$T$74,AM62))</f>
        <v/>
      </c>
      <c r="AL64" s="437"/>
      <c r="AM64" s="438"/>
      <c r="AN64" s="436" t="str">
        <f>IF(AN63=" ","",INDEX($T$52:$T$74,AP62))</f>
        <v/>
      </c>
      <c r="AO64" s="437"/>
      <c r="AP64" s="438"/>
      <c r="AQ64" s="436" t="str">
        <f>IF(AQ63=" ","",INDEX($T$52:$T$74,AS62))</f>
        <v/>
      </c>
      <c r="AR64" s="437"/>
      <c r="AS64" s="438"/>
    </row>
    <row r="65" spans="11:45" ht="20.100000000000001" hidden="1" customHeight="1" x14ac:dyDescent="0.2">
      <c r="K65" s="781" t="str">
        <f>IF(X66=" "," ",".")</f>
        <v xml:space="preserve"> </v>
      </c>
      <c r="N65" s="328">
        <v>17</v>
      </c>
      <c r="O65" s="785" t="s">
        <v>56</v>
      </c>
      <c r="P65" s="347"/>
      <c r="Q65" s="309"/>
      <c r="R65" s="309"/>
      <c r="S65" s="328">
        <v>17</v>
      </c>
      <c r="T65" s="785" t="s">
        <v>56</v>
      </c>
      <c r="U65" s="348"/>
      <c r="V65" s="347"/>
      <c r="W65" s="309"/>
      <c r="X65" s="350"/>
      <c r="Y65" s="318">
        <f>B29</f>
        <v>0</v>
      </c>
      <c r="Z65" s="336">
        <v>20</v>
      </c>
      <c r="AA65" s="337">
        <v>4</v>
      </c>
      <c r="AB65" s="318">
        <f>C29</f>
        <v>0</v>
      </c>
      <c r="AC65" s="336">
        <v>20</v>
      </c>
      <c r="AD65" s="337">
        <v>4</v>
      </c>
      <c r="AE65" s="318">
        <f>D29</f>
        <v>0</v>
      </c>
      <c r="AF65" s="336">
        <v>20</v>
      </c>
      <c r="AG65" s="337">
        <v>4</v>
      </c>
      <c r="AH65" s="356">
        <f>E29</f>
        <v>0</v>
      </c>
      <c r="AI65" s="336">
        <v>20</v>
      </c>
      <c r="AJ65" s="337">
        <v>4</v>
      </c>
      <c r="AK65" s="318">
        <f>F29</f>
        <v>0</v>
      </c>
      <c r="AL65" s="336">
        <v>20</v>
      </c>
      <c r="AM65" s="337">
        <v>4</v>
      </c>
      <c r="AN65" s="318">
        <f>G29</f>
        <v>0</v>
      </c>
      <c r="AO65" s="336">
        <v>20</v>
      </c>
      <c r="AP65" s="337">
        <v>4</v>
      </c>
      <c r="AQ65" s="318">
        <f>H29</f>
        <v>0</v>
      </c>
      <c r="AR65" s="336">
        <v>20</v>
      </c>
      <c r="AS65" s="337">
        <v>4</v>
      </c>
    </row>
    <row r="66" spans="11:45" ht="20.100000000000001" hidden="1" customHeight="1" x14ac:dyDescent="0.2">
      <c r="K66" s="781" t="str">
        <f>IF(X66=" "," ",".")</f>
        <v xml:space="preserve"> </v>
      </c>
      <c r="N66" s="328">
        <v>18</v>
      </c>
      <c r="O66" s="785" t="s">
        <v>56</v>
      </c>
      <c r="P66" s="347"/>
      <c r="Q66" s="309"/>
      <c r="R66" s="309"/>
      <c r="S66" s="328">
        <v>18</v>
      </c>
      <c r="T66" s="785" t="s">
        <v>56</v>
      </c>
      <c r="U66" s="348"/>
      <c r="V66" s="347"/>
      <c r="W66" s="309"/>
      <c r="X66" s="319" t="str">
        <f>'Master List'!C62</f>
        <v xml:space="preserve"> </v>
      </c>
      <c r="Y66" s="433" t="str">
        <f>IF(OR(Y65&gt;" ",INDEX($O$52:$O$74,Z65)=0)," ",INDEX($O$52:$O$74,Z65))</f>
        <v xml:space="preserve"> </v>
      </c>
      <c r="Z66" s="434"/>
      <c r="AA66" s="435"/>
      <c r="AB66" s="433" t="str">
        <f>IF(OR(AB65&gt;" ",INDEX($O$52:$O$74,AC65)=0)," ",INDEX($O$52:$O$74,AC65))</f>
        <v xml:space="preserve"> </v>
      </c>
      <c r="AC66" s="434"/>
      <c r="AD66" s="435"/>
      <c r="AE66" s="433" t="str">
        <f>IF(OR(AE65&gt;" ",INDEX($O$52:$O$74,AF65)=0)," ",INDEX($O$52:$O$74,AF65))</f>
        <v xml:space="preserve"> </v>
      </c>
      <c r="AF66" s="434"/>
      <c r="AG66" s="435"/>
      <c r="AH66" s="433" t="str">
        <f>IF(OR(AH65&gt;" ",INDEX($O$52:$O$74,AI65)=0)," ",INDEX($O$52:$O$74,AI65))</f>
        <v xml:space="preserve"> </v>
      </c>
      <c r="AI66" s="434"/>
      <c r="AJ66" s="435"/>
      <c r="AK66" s="433" t="str">
        <f>IF(OR(AK65&gt;" ",INDEX($O$52:$O$74,AL65)=0)," ",INDEX($O$52:$O$74,AL65))</f>
        <v xml:space="preserve"> </v>
      </c>
      <c r="AL66" s="434"/>
      <c r="AM66" s="435"/>
      <c r="AN66" s="433" t="str">
        <f>IF(OR(AN65&gt;" ",INDEX($O$52:$O$74,AO65)=0)," ",INDEX($O$52:$O$74,AO65))</f>
        <v xml:space="preserve"> </v>
      </c>
      <c r="AO66" s="434"/>
      <c r="AP66" s="435"/>
      <c r="AQ66" s="433" t="str">
        <f>IF(OR(AQ65&gt;" ",INDEX($O$52:$O$74,AR65)=0)," ",INDEX($O$52:$O$74,AR65))</f>
        <v xml:space="preserve"> </v>
      </c>
      <c r="AR66" s="434"/>
      <c r="AS66" s="435"/>
    </row>
    <row r="67" spans="11:45" ht="20.100000000000001" hidden="1" customHeight="1" x14ac:dyDescent="0.2">
      <c r="K67" s="781" t="str">
        <f>IF(X66=" "," ",".")</f>
        <v xml:space="preserve"> </v>
      </c>
      <c r="N67" s="328">
        <v>19</v>
      </c>
      <c r="O67" s="785" t="s">
        <v>56</v>
      </c>
      <c r="P67" s="347"/>
      <c r="Q67" s="309"/>
      <c r="R67" s="309"/>
      <c r="S67" s="328">
        <v>19</v>
      </c>
      <c r="T67" s="785" t="s">
        <v>56</v>
      </c>
      <c r="U67" s="348"/>
      <c r="V67" s="347"/>
      <c r="W67" s="309"/>
      <c r="X67" s="349"/>
      <c r="Y67" s="436" t="str">
        <f>IF(Y66=" ","",INDEX($T$52:$T$74,AA65))</f>
        <v/>
      </c>
      <c r="Z67" s="437"/>
      <c r="AA67" s="438"/>
      <c r="AB67" s="436" t="str">
        <f>IF(AB66=" ","",INDEX($T$52:$T$74,AD65))</f>
        <v/>
      </c>
      <c r="AC67" s="437"/>
      <c r="AD67" s="438"/>
      <c r="AE67" s="436" t="str">
        <f>IF(AE66=" ","",INDEX($T$52:$T$74,AG65))</f>
        <v/>
      </c>
      <c r="AF67" s="437"/>
      <c r="AG67" s="438"/>
      <c r="AH67" s="436" t="str">
        <f>IF(AH66=" ","",INDEX($T$52:$T$74,AJ65))</f>
        <v/>
      </c>
      <c r="AI67" s="437"/>
      <c r="AJ67" s="438"/>
      <c r="AK67" s="436" t="str">
        <f>IF(AK66=" ","",INDEX($T$52:$T$74,AM65))</f>
        <v/>
      </c>
      <c r="AL67" s="437"/>
      <c r="AM67" s="438"/>
      <c r="AN67" s="436" t="str">
        <f>IF(AN66=" ","",INDEX($T$52:$T$74,AP65))</f>
        <v/>
      </c>
      <c r="AO67" s="437"/>
      <c r="AP67" s="438"/>
      <c r="AQ67" s="436" t="str">
        <f>IF(AQ66=" ","",INDEX($T$52:$T$74,AS65))</f>
        <v/>
      </c>
      <c r="AR67" s="437"/>
      <c r="AS67" s="438"/>
    </row>
    <row r="68" spans="11:45" ht="20.100000000000001" hidden="1" customHeight="1" x14ac:dyDescent="0.2">
      <c r="K68" s="784"/>
      <c r="N68" s="328">
        <v>20</v>
      </c>
      <c r="O68" s="785" t="s">
        <v>56</v>
      </c>
      <c r="P68" s="339" t="s">
        <v>73</v>
      </c>
      <c r="Q68" s="309"/>
      <c r="R68" s="309"/>
      <c r="S68" s="328">
        <v>20</v>
      </c>
      <c r="T68" s="768" t="s">
        <v>56</v>
      </c>
      <c r="U68" s="329" t="s">
        <v>164</v>
      </c>
      <c r="V68" s="347"/>
      <c r="W68" s="309"/>
      <c r="Y68" s="762"/>
      <c r="Z68" s="762"/>
      <c r="AA68" s="762"/>
      <c r="AB68" s="762"/>
      <c r="AC68" s="762"/>
      <c r="AD68" s="762"/>
      <c r="AE68" s="762"/>
      <c r="AF68" s="762"/>
      <c r="AG68" s="762"/>
      <c r="AH68" s="762"/>
      <c r="AI68" s="762"/>
      <c r="AJ68" s="762"/>
      <c r="AK68" s="762"/>
      <c r="AL68" s="762"/>
      <c r="AM68" s="762"/>
      <c r="AN68" s="762"/>
      <c r="AO68" s="762"/>
      <c r="AP68" s="762"/>
      <c r="AQ68" s="762"/>
      <c r="AR68" s="762"/>
      <c r="AS68" s="762"/>
    </row>
    <row r="69" spans="11:45" ht="20.100000000000001" hidden="1" customHeight="1" x14ac:dyDescent="0.2">
      <c r="K69" s="784"/>
      <c r="N69" s="352"/>
      <c r="O69" s="786" t="s">
        <v>56</v>
      </c>
      <c r="P69" s="354"/>
      <c r="Q69" s="309"/>
      <c r="R69" s="309"/>
      <c r="S69" s="352"/>
      <c r="T69" s="353" t="s">
        <v>56</v>
      </c>
      <c r="U69" s="353"/>
      <c r="V69" s="354"/>
      <c r="W69" s="309"/>
      <c r="Y69" s="762"/>
      <c r="Z69" s="762"/>
      <c r="AA69" s="762"/>
      <c r="AB69" s="762"/>
      <c r="AC69" s="762"/>
      <c r="AD69" s="762"/>
      <c r="AE69" s="762"/>
      <c r="AF69" s="762"/>
      <c r="AG69" s="762"/>
      <c r="AH69" s="762"/>
      <c r="AI69" s="762"/>
      <c r="AJ69" s="762"/>
      <c r="AK69" s="762"/>
      <c r="AL69" s="762"/>
      <c r="AM69" s="762"/>
      <c r="AN69" s="762"/>
      <c r="AO69" s="762"/>
      <c r="AP69" s="762"/>
      <c r="AQ69" s="762"/>
      <c r="AR69" s="762"/>
      <c r="AS69" s="762"/>
    </row>
    <row r="70" spans="11:45" hidden="1" x14ac:dyDescent="0.2">
      <c r="K70" s="784"/>
      <c r="N70" s="309"/>
      <c r="O70" s="785" t="s">
        <v>56</v>
      </c>
      <c r="P70" s="309"/>
      <c r="Q70" s="309"/>
      <c r="R70" s="309"/>
      <c r="S70" s="309"/>
      <c r="T70" s="309" t="s">
        <v>56</v>
      </c>
      <c r="U70" s="309"/>
      <c r="V70" s="309"/>
      <c r="W70" s="309"/>
      <c r="Y70" s="762"/>
      <c r="Z70" s="762"/>
      <c r="AA70" s="762"/>
      <c r="AB70" s="762"/>
      <c r="AC70" s="762"/>
      <c r="AD70" s="762"/>
      <c r="AE70" s="762"/>
      <c r="AF70" s="762"/>
      <c r="AG70" s="762"/>
      <c r="AH70" s="762"/>
      <c r="AI70" s="762"/>
      <c r="AJ70" s="762"/>
      <c r="AK70" s="762"/>
      <c r="AL70" s="762"/>
      <c r="AM70" s="762"/>
      <c r="AN70" s="762"/>
      <c r="AO70" s="762"/>
      <c r="AP70" s="762"/>
      <c r="AQ70" s="762"/>
      <c r="AR70" s="762"/>
      <c r="AS70" s="762"/>
    </row>
    <row r="71" spans="11:45" hidden="1" x14ac:dyDescent="0.2">
      <c r="K71" s="784"/>
      <c r="N71" s="309"/>
      <c r="O71" s="785" t="s">
        <v>56</v>
      </c>
      <c r="P71" s="309"/>
      <c r="Q71" s="309"/>
      <c r="R71" s="309"/>
      <c r="S71" s="309"/>
      <c r="T71" s="309" t="s">
        <v>56</v>
      </c>
      <c r="U71" s="309"/>
      <c r="V71" s="309"/>
      <c r="W71" s="309"/>
      <c r="Y71" s="762"/>
      <c r="Z71" s="762"/>
      <c r="AA71" s="762"/>
      <c r="AB71" s="762"/>
      <c r="AC71" s="762"/>
      <c r="AD71" s="762"/>
      <c r="AE71" s="762"/>
      <c r="AF71" s="762"/>
      <c r="AG71" s="762"/>
      <c r="AH71" s="762"/>
      <c r="AI71" s="762"/>
      <c r="AJ71" s="762"/>
      <c r="AK71" s="762"/>
      <c r="AL71" s="762"/>
      <c r="AM71" s="762"/>
      <c r="AN71" s="762"/>
      <c r="AO71" s="762"/>
      <c r="AP71" s="762"/>
      <c r="AQ71" s="762"/>
      <c r="AR71" s="762"/>
      <c r="AS71" s="762"/>
    </row>
    <row r="72" spans="11:45" hidden="1" x14ac:dyDescent="0.2">
      <c r="K72" s="784"/>
      <c r="N72" s="309"/>
      <c r="O72" s="785" t="s">
        <v>56</v>
      </c>
      <c r="P72" s="309"/>
      <c r="Q72" s="309"/>
      <c r="R72" s="309"/>
      <c r="S72" s="309"/>
      <c r="T72" s="309" t="s">
        <v>56</v>
      </c>
      <c r="U72" s="309"/>
      <c r="V72" s="309"/>
      <c r="W72" s="309"/>
      <c r="Y72" s="762"/>
      <c r="Z72" s="762"/>
      <c r="AA72" s="762"/>
      <c r="AB72" s="762"/>
      <c r="AC72" s="762"/>
      <c r="AD72" s="762"/>
      <c r="AE72" s="762"/>
      <c r="AF72" s="762"/>
      <c r="AG72" s="762"/>
      <c r="AH72" s="762"/>
      <c r="AI72" s="762"/>
      <c r="AJ72" s="762"/>
      <c r="AK72" s="762"/>
      <c r="AL72" s="762"/>
      <c r="AM72" s="762"/>
      <c r="AN72" s="762"/>
      <c r="AO72" s="762"/>
      <c r="AP72" s="762"/>
      <c r="AQ72" s="762"/>
      <c r="AR72" s="762"/>
      <c r="AS72" s="762"/>
    </row>
    <row r="73" spans="11:45" ht="23.1" customHeight="1" x14ac:dyDescent="0.2">
      <c r="N73" s="309"/>
      <c r="O73" s="785" t="s">
        <v>56</v>
      </c>
      <c r="P73" s="309"/>
      <c r="Q73" s="309"/>
      <c r="R73" s="309"/>
      <c r="S73" s="309"/>
      <c r="T73" s="309" t="s">
        <v>56</v>
      </c>
      <c r="U73" s="309"/>
      <c r="V73" s="309"/>
      <c r="W73" s="309"/>
      <c r="Y73" s="762"/>
      <c r="Z73" s="762"/>
      <c r="AA73" s="762"/>
      <c r="AB73" s="762"/>
      <c r="AC73" s="762"/>
      <c r="AD73" s="762"/>
      <c r="AE73" s="762"/>
      <c r="AF73" s="762"/>
      <c r="AG73" s="762"/>
      <c r="AH73" s="762"/>
      <c r="AI73" s="762"/>
      <c r="AJ73" s="762"/>
      <c r="AK73" s="762"/>
      <c r="AL73" s="762"/>
      <c r="AM73" s="762"/>
      <c r="AN73" s="762"/>
      <c r="AO73" s="762"/>
      <c r="AP73" s="762"/>
      <c r="AQ73" s="762"/>
      <c r="AR73" s="762"/>
      <c r="AS73" s="762"/>
    </row>
    <row r="74" spans="11:45" ht="23.1" customHeight="1" x14ac:dyDescent="0.2">
      <c r="N74" s="309"/>
      <c r="O74" s="785" t="s">
        <v>56</v>
      </c>
      <c r="P74" s="309"/>
      <c r="Q74" s="309"/>
      <c r="R74" s="309"/>
      <c r="S74" s="309"/>
      <c r="T74" s="309" t="s">
        <v>56</v>
      </c>
      <c r="U74" s="309"/>
      <c r="V74" s="309"/>
      <c r="W74" s="309"/>
      <c r="Y74" s="762"/>
      <c r="Z74" s="762"/>
      <c r="AA74" s="762"/>
      <c r="AB74" s="762"/>
      <c r="AC74" s="762"/>
      <c r="AD74" s="762"/>
      <c r="AE74" s="762"/>
      <c r="AF74" s="762"/>
      <c r="AG74" s="762"/>
      <c r="AH74" s="762"/>
      <c r="AI74" s="762"/>
      <c r="AJ74" s="762"/>
      <c r="AK74" s="762"/>
      <c r="AL74" s="762"/>
      <c r="AM74" s="762"/>
      <c r="AN74" s="762"/>
      <c r="AO74" s="762"/>
      <c r="AP74" s="762"/>
      <c r="AQ74" s="762"/>
      <c r="AR74" s="762"/>
      <c r="AS74" s="762"/>
    </row>
    <row r="75" spans="11:45" ht="23.1" customHeight="1" x14ac:dyDescent="0.2">
      <c r="N75" s="309"/>
      <c r="O75" s="785" t="s">
        <v>56</v>
      </c>
      <c r="P75" s="309"/>
      <c r="Q75" s="309"/>
      <c r="R75" s="309"/>
      <c r="S75" s="309"/>
      <c r="T75" s="309" t="s">
        <v>56</v>
      </c>
      <c r="U75" s="309"/>
      <c r="V75" s="309"/>
      <c r="W75" s="309"/>
      <c r="Y75" s="762"/>
      <c r="Z75" s="762"/>
      <c r="AA75" s="762"/>
      <c r="AB75" s="762"/>
      <c r="AC75" s="762"/>
      <c r="AD75" s="762"/>
      <c r="AE75" s="762"/>
      <c r="AF75" s="762"/>
      <c r="AG75" s="762"/>
      <c r="AH75" s="762"/>
      <c r="AI75" s="762"/>
      <c r="AJ75" s="762"/>
      <c r="AK75" s="762"/>
      <c r="AL75" s="762"/>
      <c r="AM75" s="762"/>
      <c r="AN75" s="762"/>
      <c r="AO75" s="762"/>
      <c r="AP75" s="762"/>
      <c r="AQ75" s="762"/>
      <c r="AR75" s="762"/>
      <c r="AS75" s="762"/>
    </row>
    <row r="76" spans="11:45" x14ac:dyDescent="0.2">
      <c r="N76" s="309"/>
      <c r="O76" s="309" t="s">
        <v>56</v>
      </c>
      <c r="P76" s="309"/>
      <c r="Q76" s="309"/>
      <c r="R76" s="309"/>
      <c r="S76" s="309"/>
      <c r="T76" s="309" t="s">
        <v>56</v>
      </c>
      <c r="U76" s="309"/>
      <c r="V76" s="309"/>
      <c r="W76" s="309"/>
      <c r="Y76" s="762"/>
      <c r="Z76" s="762"/>
      <c r="AA76" s="762"/>
      <c r="AB76" s="762"/>
      <c r="AC76" s="762"/>
      <c r="AD76" s="762"/>
      <c r="AE76" s="762"/>
      <c r="AF76" s="762"/>
      <c r="AG76" s="762"/>
      <c r="AH76" s="762"/>
      <c r="AI76" s="762"/>
      <c r="AJ76" s="762"/>
      <c r="AK76" s="762"/>
      <c r="AL76" s="762"/>
      <c r="AM76" s="762"/>
      <c r="AN76" s="762"/>
      <c r="AO76" s="762"/>
      <c r="AP76" s="762"/>
      <c r="AQ76" s="762"/>
      <c r="AR76" s="762"/>
      <c r="AS76" s="762"/>
    </row>
    <row r="77" spans="11:45" x14ac:dyDescent="0.2">
      <c r="N77" s="309"/>
      <c r="O77" s="309" t="s">
        <v>56</v>
      </c>
      <c r="P77" s="309"/>
      <c r="Q77" s="309"/>
      <c r="R77" s="309"/>
      <c r="S77" s="309"/>
      <c r="T77" s="309" t="s">
        <v>56</v>
      </c>
      <c r="U77" s="309"/>
      <c r="V77" s="309"/>
      <c r="W77" s="309"/>
      <c r="Y77" s="762"/>
      <c r="Z77" s="762"/>
      <c r="AA77" s="762"/>
      <c r="AB77" s="762"/>
      <c r="AC77" s="762"/>
      <c r="AD77" s="762"/>
      <c r="AE77" s="762"/>
      <c r="AF77" s="762"/>
      <c r="AG77" s="762"/>
      <c r="AH77" s="762"/>
      <c r="AI77" s="762"/>
      <c r="AJ77" s="762"/>
      <c r="AK77" s="762"/>
      <c r="AL77" s="762"/>
      <c r="AM77" s="762"/>
      <c r="AN77" s="762"/>
      <c r="AO77" s="762"/>
      <c r="AP77" s="762"/>
      <c r="AQ77" s="762"/>
      <c r="AR77" s="762"/>
      <c r="AS77" s="762"/>
    </row>
    <row r="78" spans="11:45" x14ac:dyDescent="0.2">
      <c r="N78" s="309"/>
      <c r="O78" s="309"/>
      <c r="P78" s="309"/>
      <c r="Q78" s="309"/>
      <c r="R78" s="309"/>
      <c r="S78" s="309"/>
      <c r="T78" s="309" t="s">
        <v>56</v>
      </c>
      <c r="U78" s="309"/>
      <c r="V78" s="309"/>
      <c r="W78" s="309"/>
      <c r="Y78" s="762"/>
      <c r="Z78" s="762"/>
      <c r="AA78" s="762"/>
      <c r="AB78" s="762"/>
      <c r="AC78" s="762"/>
      <c r="AD78" s="762"/>
      <c r="AE78" s="762"/>
      <c r="AF78" s="762"/>
      <c r="AG78" s="762"/>
      <c r="AH78" s="762"/>
      <c r="AI78" s="762"/>
      <c r="AJ78" s="762"/>
      <c r="AK78" s="762"/>
      <c r="AL78" s="762"/>
      <c r="AM78" s="762"/>
      <c r="AN78" s="762"/>
      <c r="AO78" s="762"/>
      <c r="AP78" s="762"/>
      <c r="AQ78" s="762"/>
      <c r="AR78" s="762"/>
      <c r="AS78" s="762"/>
    </row>
    <row r="79" spans="11:45" x14ac:dyDescent="0.2">
      <c r="N79" s="309"/>
      <c r="O79" s="309"/>
      <c r="P79" s="309"/>
      <c r="Q79" s="309"/>
      <c r="R79" s="309"/>
      <c r="S79" s="309"/>
      <c r="T79" s="309"/>
      <c r="U79" s="309"/>
      <c r="V79" s="309"/>
      <c r="W79" s="309"/>
    </row>
    <row r="80" spans="11:45" x14ac:dyDescent="0.2">
      <c r="N80" s="309"/>
      <c r="O80" s="309"/>
      <c r="P80" s="309"/>
      <c r="Q80" s="309"/>
      <c r="R80" s="309"/>
      <c r="S80" s="309"/>
      <c r="T80" s="309"/>
      <c r="U80" s="309"/>
      <c r="V80" s="309"/>
      <c r="W80" s="309"/>
    </row>
    <row r="81" spans="14:23" x14ac:dyDescent="0.2">
      <c r="N81" s="309"/>
      <c r="O81" s="309"/>
      <c r="P81" s="309"/>
      <c r="Q81" s="309"/>
      <c r="R81" s="309"/>
      <c r="S81" s="309"/>
      <c r="T81" s="309"/>
      <c r="U81" s="309"/>
      <c r="V81" s="309"/>
      <c r="W81" s="309"/>
    </row>
    <row r="82" spans="14:23" x14ac:dyDescent="0.2">
      <c r="N82" s="309"/>
      <c r="O82" s="309"/>
      <c r="P82" s="309"/>
      <c r="Q82" s="309"/>
      <c r="R82" s="309"/>
      <c r="S82" s="309"/>
      <c r="T82" s="309"/>
      <c r="U82" s="309"/>
      <c r="V82" s="309"/>
      <c r="W82" s="309"/>
    </row>
    <row r="83" spans="14:23" x14ac:dyDescent="0.2">
      <c r="N83" s="17"/>
      <c r="O83" s="17"/>
      <c r="P83" s="17"/>
      <c r="Q83" s="17"/>
      <c r="R83" s="17"/>
      <c r="S83" s="17"/>
      <c r="T83" s="17"/>
      <c r="U83" s="17"/>
      <c r="V83" s="17"/>
      <c r="W83" s="17"/>
    </row>
    <row r="84" spans="14:23" x14ac:dyDescent="0.2">
      <c r="N84" s="17"/>
      <c r="O84" s="17"/>
      <c r="P84" s="17"/>
      <c r="Q84" s="17"/>
      <c r="R84" s="17"/>
      <c r="S84" s="17"/>
      <c r="T84" s="17"/>
      <c r="U84" s="17"/>
      <c r="V84" s="17"/>
      <c r="W84" s="17"/>
    </row>
  </sheetData>
  <autoFilter ref="K9:K72">
    <filterColumn colId="0">
      <customFilters and="1">
        <customFilter operator="notEqual" val=" "/>
      </customFilters>
    </filterColumn>
  </autoFilter>
  <mergeCells count="7">
    <mergeCell ref="AK47:AM47"/>
    <mergeCell ref="AN47:AP47"/>
    <mergeCell ref="AQ47:AS47"/>
    <mergeCell ref="Y47:AA47"/>
    <mergeCell ref="AB47:AD47"/>
    <mergeCell ref="AE47:AG47"/>
    <mergeCell ref="AH47:AJ47"/>
  </mergeCells>
  <phoneticPr fontId="40" type="noConversion"/>
  <conditionalFormatting sqref="Y51:AA52">
    <cfRule type="expression" dxfId="1074" priority="22" stopIfTrue="1">
      <formula>$Y$50&gt;" "</formula>
    </cfRule>
  </conditionalFormatting>
  <conditionalFormatting sqref="AB51:AD52">
    <cfRule type="expression" dxfId="1073" priority="23" stopIfTrue="1">
      <formula>$AB$50&gt;" "</formula>
    </cfRule>
  </conditionalFormatting>
  <conditionalFormatting sqref="AE51:AG52">
    <cfRule type="expression" dxfId="1072" priority="24" stopIfTrue="1">
      <formula>$AE$50&gt;" "</formula>
    </cfRule>
  </conditionalFormatting>
  <conditionalFormatting sqref="AH51:AJ52">
    <cfRule type="expression" dxfId="1071" priority="25" stopIfTrue="1">
      <formula>$AH$50&gt;" "</formula>
    </cfRule>
  </conditionalFormatting>
  <conditionalFormatting sqref="AK51:AM52">
    <cfRule type="expression" dxfId="1070" priority="26" stopIfTrue="1">
      <formula>$AK$50&gt;" "</formula>
    </cfRule>
  </conditionalFormatting>
  <conditionalFormatting sqref="AN51:AP52">
    <cfRule type="expression" dxfId="1069" priority="27" stopIfTrue="1">
      <formula>$AN$50&gt;" "</formula>
    </cfRule>
  </conditionalFormatting>
  <conditionalFormatting sqref="AQ51:AS52">
    <cfRule type="expression" dxfId="1068" priority="28" stopIfTrue="1">
      <formula>$AQ$50&gt;" "</formula>
    </cfRule>
  </conditionalFormatting>
  <conditionalFormatting sqref="Y54:AA55">
    <cfRule type="expression" dxfId="1067" priority="29" stopIfTrue="1">
      <formula>$Y$53&gt;" "</formula>
    </cfRule>
  </conditionalFormatting>
  <conditionalFormatting sqref="AB54:AD55">
    <cfRule type="expression" dxfId="1066" priority="30" stopIfTrue="1">
      <formula>$AB$53&gt;" "</formula>
    </cfRule>
  </conditionalFormatting>
  <conditionalFormatting sqref="AE54:AG55">
    <cfRule type="expression" dxfId="1065" priority="31" stopIfTrue="1">
      <formula>$AE$53&gt;" "</formula>
    </cfRule>
  </conditionalFormatting>
  <conditionalFormatting sqref="AH54:AJ55">
    <cfRule type="expression" dxfId="1064" priority="32" stopIfTrue="1">
      <formula>$AH$53&gt;" "</formula>
    </cfRule>
  </conditionalFormatting>
  <conditionalFormatting sqref="AK54:AM55">
    <cfRule type="expression" dxfId="1063" priority="33" stopIfTrue="1">
      <formula>$AK$53&gt;" "</formula>
    </cfRule>
  </conditionalFormatting>
  <conditionalFormatting sqref="AN54:AP55">
    <cfRule type="expression" dxfId="1062" priority="34" stopIfTrue="1">
      <formula>$AN$53&gt;" "</formula>
    </cfRule>
  </conditionalFormatting>
  <conditionalFormatting sqref="AQ54:AS55">
    <cfRule type="expression" dxfId="1061" priority="35" stopIfTrue="1">
      <formula>$AQ$53&gt;" "</formula>
    </cfRule>
  </conditionalFormatting>
  <conditionalFormatting sqref="Y57:AA58 Y60:AA61">
    <cfRule type="expression" dxfId="1060" priority="36" stopIfTrue="1">
      <formula>$Y$56&gt;" "</formula>
    </cfRule>
  </conditionalFormatting>
  <conditionalFormatting sqref="AB57:AD58 AB60:AD61">
    <cfRule type="expression" dxfId="1059" priority="37" stopIfTrue="1">
      <formula>$AB$56&gt;" "</formula>
    </cfRule>
  </conditionalFormatting>
  <conditionalFormatting sqref="AE57:AG58 AE60:AG61">
    <cfRule type="expression" dxfId="1058" priority="38" stopIfTrue="1">
      <formula>$AE$56&gt;" "</formula>
    </cfRule>
  </conditionalFormatting>
  <conditionalFormatting sqref="AH57:AJ58 AH60:AJ61">
    <cfRule type="expression" dxfId="1057" priority="39" stopIfTrue="1">
      <formula>$AH$56&gt;" "</formula>
    </cfRule>
  </conditionalFormatting>
  <conditionalFormatting sqref="AK57:AM58 AK60:AM61">
    <cfRule type="expression" dxfId="1056" priority="40" stopIfTrue="1">
      <formula>$AK$56&gt;" "</formula>
    </cfRule>
  </conditionalFormatting>
  <conditionalFormatting sqref="AN57:AP58 AN60:AP61">
    <cfRule type="expression" dxfId="1055" priority="41" stopIfTrue="1">
      <formula>$AN$56&gt;" "</formula>
    </cfRule>
  </conditionalFormatting>
  <conditionalFormatting sqref="AQ57:AS58 AQ60:AS61">
    <cfRule type="expression" dxfId="1054" priority="42" stopIfTrue="1">
      <formula>$AQ$56&gt;" "</formula>
    </cfRule>
  </conditionalFormatting>
  <conditionalFormatting sqref="Y63:AA64">
    <cfRule type="expression" dxfId="1053" priority="15" stopIfTrue="1">
      <formula>$Y$56&gt;" "</formula>
    </cfRule>
  </conditionalFormatting>
  <conditionalFormatting sqref="AH63:AJ64">
    <cfRule type="expression" dxfId="1052" priority="18" stopIfTrue="1">
      <formula>$AH$56&gt;" "</formula>
    </cfRule>
  </conditionalFormatting>
  <conditionalFormatting sqref="AK63:AM64">
    <cfRule type="expression" dxfId="1051" priority="19" stopIfTrue="1">
      <formula>$AK$56&gt;" "</formula>
    </cfRule>
  </conditionalFormatting>
  <conditionalFormatting sqref="AN63:AP64">
    <cfRule type="expression" dxfId="1050" priority="20" stopIfTrue="1">
      <formula>$AN$56&gt;" "</formula>
    </cfRule>
  </conditionalFormatting>
  <conditionalFormatting sqref="AQ63:AS64">
    <cfRule type="expression" dxfId="1049" priority="21" stopIfTrue="1">
      <formula>$AQ$56&gt;" "</formula>
    </cfRule>
  </conditionalFormatting>
  <conditionalFormatting sqref="Y66:AA67">
    <cfRule type="expression" dxfId="1048" priority="1" stopIfTrue="1">
      <formula>$Y$56&gt;" "</formula>
    </cfRule>
  </conditionalFormatting>
  <conditionalFormatting sqref="AH66:AJ67">
    <cfRule type="expression" dxfId="1047" priority="4" stopIfTrue="1">
      <formula>$AH$56&gt;" "</formula>
    </cfRule>
  </conditionalFormatting>
  <conditionalFormatting sqref="AK66:AM67">
    <cfRule type="expression" dxfId="1046" priority="5" stopIfTrue="1">
      <formula>$AK$56&gt;" "</formula>
    </cfRule>
  </conditionalFormatting>
  <conditionalFormatting sqref="AN66:AP67">
    <cfRule type="expression" dxfId="1045" priority="6" stopIfTrue="1">
      <formula>$AN$56&gt;" "</formula>
    </cfRule>
  </conditionalFormatting>
  <conditionalFormatting sqref="AQ66:AS67">
    <cfRule type="expression" dxfId="1044" priority="7" stopIfTrue="1">
      <formula>$AQ$56&gt;" "</formula>
    </cfRule>
  </conditionalFormatting>
  <pageMargins left="0.25" right="0.25" top="0.5" bottom="0.5" header="0.5" footer="0.5"/>
  <pageSetup scale="75" orientation="landscape" r:id="rId1"/>
  <headerFooter alignWithMargins="0"/>
  <colBreaks count="1" manualBreakCount="1">
    <brk id="8" min="6" max="29" man="1"/>
  </colBreaks>
  <ignoredErrors>
    <ignoredError sqref="K10" formula="1"/>
  </ignoredError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filterMode="1">
    <pageSetUpPr fitToPage="1"/>
  </sheetPr>
  <dimension ref="A1:AW180"/>
  <sheetViews>
    <sheetView topLeftCell="Q52" zoomScale="55" zoomScaleNormal="55" workbookViewId="0">
      <selection activeCell="AV116" sqref="AV116"/>
    </sheetView>
  </sheetViews>
  <sheetFormatPr defaultColWidth="11.42578125" defaultRowHeight="15" x14ac:dyDescent="0.2"/>
  <cols>
    <col min="1" max="3" width="20.7109375" style="8" customWidth="1"/>
    <col min="4" max="4" width="20.7109375" style="170" customWidth="1"/>
    <col min="5" max="8" width="20.7109375" style="8" customWidth="1"/>
    <col min="9" max="9" width="8.28515625" style="8" customWidth="1"/>
    <col min="10" max="10" width="21.28515625" style="8" customWidth="1"/>
    <col min="11" max="11" width="10.42578125" style="8" customWidth="1"/>
    <col min="12" max="12" width="4.42578125" style="8" customWidth="1"/>
    <col min="13" max="13" width="10.42578125" style="8" customWidth="1"/>
    <col min="14" max="18" width="11.42578125" style="8" customWidth="1"/>
    <col min="19" max="19" width="17.7109375" style="8" customWidth="1"/>
    <col min="20" max="20" width="8.42578125" style="8" customWidth="1"/>
    <col min="21" max="21" width="4" style="8" customWidth="1"/>
    <col min="22" max="22" width="11.42578125" style="8" customWidth="1"/>
    <col min="23" max="23" width="9.7109375" style="8" bestFit="1" customWidth="1"/>
    <col min="24" max="25" width="11.42578125" style="8" customWidth="1"/>
    <col min="26" max="26" width="3.42578125" style="8" customWidth="1"/>
    <col min="27" max="27" width="21" style="8" customWidth="1"/>
    <col min="28" max="48" width="7.7109375" style="8" customWidth="1"/>
    <col min="49" max="50" width="11.42578125" style="8" customWidth="1"/>
    <col min="51" max="51" width="9.85546875" style="8" bestFit="1" customWidth="1"/>
    <col min="52" max="16384" width="11.42578125" style="8"/>
  </cols>
  <sheetData>
    <row r="1" spans="1:34" ht="14.1" customHeight="1" x14ac:dyDescent="0.2">
      <c r="A1" s="7"/>
      <c r="B1" s="140">
        <f>Schedule!F11</f>
        <v>42427</v>
      </c>
      <c r="C1" s="140">
        <f t="shared" ref="C1:H2" si="0">B1+1</f>
        <v>42428</v>
      </c>
      <c r="D1" s="168">
        <f t="shared" si="0"/>
        <v>42429</v>
      </c>
      <c r="E1" s="140">
        <f t="shared" si="0"/>
        <v>42430</v>
      </c>
      <c r="F1" s="140">
        <f t="shared" si="0"/>
        <v>42431</v>
      </c>
      <c r="G1" s="140">
        <f t="shared" si="0"/>
        <v>42432</v>
      </c>
      <c r="H1" s="140">
        <f t="shared" si="0"/>
        <v>42433</v>
      </c>
      <c r="J1" s="95"/>
      <c r="K1" s="96"/>
      <c r="L1" s="97"/>
      <c r="M1" s="97"/>
      <c r="N1" s="97"/>
      <c r="O1" s="97"/>
      <c r="P1" s="97"/>
      <c r="Q1" s="97"/>
      <c r="R1" s="97"/>
      <c r="S1" s="97"/>
      <c r="T1" s="97"/>
      <c r="U1" s="97"/>
      <c r="V1" s="97"/>
      <c r="W1" s="97"/>
      <c r="X1" s="97"/>
      <c r="Y1" s="97"/>
      <c r="Z1" s="97"/>
      <c r="AA1" s="97"/>
      <c r="AB1" s="97"/>
      <c r="AC1" s="97"/>
      <c r="AD1" s="97"/>
      <c r="AE1" s="97"/>
      <c r="AF1" s="97"/>
      <c r="AG1" s="97"/>
      <c r="AH1" s="97"/>
    </row>
    <row r="2" spans="1:34" ht="14.1" customHeight="1" thickBot="1" x14ac:dyDescent="0.25">
      <c r="A2" s="7"/>
      <c r="B2" s="149">
        <f>Schedule!G9</f>
        <v>42427</v>
      </c>
      <c r="C2" s="149">
        <f t="shared" si="0"/>
        <v>42428</v>
      </c>
      <c r="D2" s="169">
        <f t="shared" si="0"/>
        <v>42429</v>
      </c>
      <c r="E2" s="149">
        <f t="shared" si="0"/>
        <v>42430</v>
      </c>
      <c r="F2" s="149">
        <f t="shared" si="0"/>
        <v>42431</v>
      </c>
      <c r="G2" s="149">
        <f t="shared" si="0"/>
        <v>42432</v>
      </c>
      <c r="H2" s="149">
        <f t="shared" si="0"/>
        <v>42433</v>
      </c>
      <c r="J2" s="95"/>
      <c r="K2" s="98"/>
      <c r="L2" s="97"/>
      <c r="M2" s="97"/>
      <c r="N2" s="97"/>
      <c r="O2" s="97"/>
      <c r="P2" s="97"/>
      <c r="Q2" s="97"/>
      <c r="R2" s="97"/>
      <c r="S2" s="97"/>
      <c r="T2" s="97"/>
      <c r="U2" s="97"/>
      <c r="V2" s="97"/>
      <c r="W2" s="97"/>
      <c r="X2" s="97"/>
      <c r="Y2" s="97"/>
      <c r="Z2" s="97"/>
      <c r="AA2" s="97"/>
      <c r="AB2" s="97"/>
      <c r="AC2" s="97"/>
      <c r="AD2" s="97"/>
      <c r="AE2" s="97"/>
      <c r="AF2" s="97"/>
      <c r="AG2" s="97"/>
      <c r="AH2" s="97"/>
    </row>
    <row r="3" spans="1:34" ht="14.1" customHeight="1" x14ac:dyDescent="0.2">
      <c r="A3" s="9"/>
      <c r="B3" s="10" t="str">
        <f>IF(OR(Schedule!F42=0,Schedule!F42=3,Schedule!F42="OT",Schedule!F42="3V",Schedule!F42="OTNV",Schedule!F42="OTV",Schedule!F42="3NV",Schedule!F42="3*",Schedule!F42="*3",Schedule!F42="2OTBT",Schedule!F42="4OTBT",Schedule!F42="2OTET",Schedule!F42="4OTET",Schedule!F42="*OTBT",Schedule!F42="*OTET")," ",Schedule!F42)</f>
        <v xml:space="preserve"> </v>
      </c>
      <c r="C3" s="10" t="str">
        <f>IF(OR(Schedule!G42=0,Schedule!G42=3,Schedule!G42="OT",Schedule!G42="3V",Schedule!G42="OTNV",Schedule!G42="OTV",Schedule!G42="3NV",Schedule!G42="3*",Schedule!G42="*3",Schedule!G42="2OTBT",Schedule!G42="4OTBT",Schedule!G42="2OTET",Schedule!G42="4OTET",Schedule!G42="*OTBT",Schedule!G42="*OTET")," ",Schedule!G42)</f>
        <v xml:space="preserve"> </v>
      </c>
      <c r="D3" s="10" t="str">
        <f>IF(OR(Schedule!H42=0,Schedule!H42=3,Schedule!H42="OT",Schedule!H42="3V",Schedule!H42="OTNV",Schedule!H42="OTV",Schedule!H42="3NV",Schedule!H42="3*",Schedule!H42="*3",Schedule!H42="2OTBT",Schedule!H42="4OTBT",Schedule!H42="2OTET",Schedule!H42="4OTET",Schedule!H42="*OTBT",Schedule!H42="*OTET")," ",Schedule!H42)</f>
        <v xml:space="preserve"> </v>
      </c>
      <c r="E3" s="10" t="str">
        <f>IF(OR(Schedule!I42=0,Schedule!I42=3,Schedule!I42="OT",Schedule!I42="3V",Schedule!I42="OTNV",Schedule!I42="OTV",Schedule!I42="3NV",Schedule!I42="3*",Schedule!I42="*3",Schedule!I42="2OTBT",Schedule!I42="4OTBT",Schedule!I42="2OTET",Schedule!I42="4OTET",Schedule!I42="*OTBT",Schedule!I42="*OTET")," ",Schedule!I42)</f>
        <v xml:space="preserve"> </v>
      </c>
      <c r="F3" s="10" t="str">
        <f>IF(OR(Schedule!J42=0,Schedule!J42=3,Schedule!J42="OT",Schedule!J42="3V",Schedule!J42="OTNV",Schedule!J42="OTV",Schedule!J42="3NV",Schedule!J42="3*",Schedule!J42="*3",Schedule!J42="2OTBT",Schedule!J42="4OTBT",Schedule!J42="2OTET",Schedule!J42="4OTET",Schedule!J42="*OTBT",Schedule!J42="*OTET")," ",Schedule!J42)</f>
        <v>NS</v>
      </c>
      <c r="G3" s="10" t="str">
        <f>IF(OR(Schedule!K42=0,Schedule!K42=3,Schedule!K42="OT",Schedule!K42="3V",Schedule!K42="OTNV",Schedule!K42="OTV",Schedule!K42="3NV",Schedule!K42="3*",Schedule!K42="*3",Schedule!K42="2OTBT",Schedule!K42="4OTBT",Schedule!K42="2OTET",Schedule!K42="4OTET",Schedule!K42="*OTBT",Schedule!K42="*OTET")," ",Schedule!K42)</f>
        <v>NS</v>
      </c>
      <c r="H3" s="10" t="str">
        <f>IF(OR(Schedule!L42=0,Schedule!L42=3,Schedule!L42="OT",Schedule!L42="3V",Schedule!L42="OTNV",Schedule!L42="OTV",Schedule!L42="3NV",Schedule!L42="3*",Schedule!L42="*3",Schedule!L42="2OTBT",Schedule!L42="4OTBT",Schedule!L42="2OTET",Schedule!L42="4OTET",Schedule!L42="*OTBT",Schedule!L42="*OTET")," ",Schedule!L42)</f>
        <v xml:space="preserve"> </v>
      </c>
      <c r="J3" s="95"/>
      <c r="K3" s="781" t="str">
        <f>IF(A4=" "," ",".")</f>
        <v>.</v>
      </c>
      <c r="L3" s="97"/>
      <c r="M3" s="97"/>
      <c r="N3" s="97"/>
      <c r="O3" s="97"/>
      <c r="P3" s="97"/>
      <c r="Q3" s="97"/>
      <c r="R3" s="97"/>
      <c r="S3" s="97"/>
      <c r="T3" s="97"/>
      <c r="U3" s="97"/>
      <c r="V3" s="97"/>
      <c r="W3" s="97"/>
      <c r="X3" s="97"/>
      <c r="Y3" s="97"/>
      <c r="Z3" s="97"/>
      <c r="AA3" s="97"/>
      <c r="AB3" s="97"/>
      <c r="AC3" s="97"/>
      <c r="AD3" s="97"/>
      <c r="AE3" s="97"/>
      <c r="AF3" s="97"/>
      <c r="AG3" s="97"/>
      <c r="AH3" s="97"/>
    </row>
    <row r="4" spans="1:34" ht="14.1" customHeight="1" x14ac:dyDescent="0.2">
      <c r="A4" s="11" t="str">
        <f>'Master List'!C32</f>
        <v>J. BRADHAM</v>
      </c>
      <c r="B4" s="4" t="str">
        <f>AB107</f>
        <v>DBCS</v>
      </c>
      <c r="C4" s="4" t="str">
        <f>AE107</f>
        <v>DBCS</v>
      </c>
      <c r="D4" s="4" t="str">
        <f>AH107</f>
        <v>DBCS</v>
      </c>
      <c r="E4" s="4" t="str">
        <f>AK107</f>
        <v>DBCS</v>
      </c>
      <c r="F4" s="4" t="str">
        <f>AN107</f>
        <v xml:space="preserve"> </v>
      </c>
      <c r="G4" s="4" t="str">
        <f>AQ107</f>
        <v xml:space="preserve"> </v>
      </c>
      <c r="H4" s="4" t="str">
        <f>AT107</f>
        <v>DBCS</v>
      </c>
      <c r="J4" s="95"/>
      <c r="K4" s="781" t="str">
        <f>IF(A4=" "," ",".")</f>
        <v>.</v>
      </c>
      <c r="L4" s="97"/>
      <c r="M4" s="97"/>
      <c r="N4" s="97"/>
      <c r="O4" s="97"/>
      <c r="P4" s="97"/>
      <c r="Q4" s="97"/>
      <c r="R4" s="97"/>
      <c r="S4" s="97"/>
      <c r="T4" s="97"/>
      <c r="U4" s="97"/>
      <c r="V4" s="97"/>
      <c r="W4" s="97"/>
      <c r="X4" s="97"/>
      <c r="Y4" s="97"/>
      <c r="Z4" s="97"/>
      <c r="AA4" s="97"/>
      <c r="AB4" s="97"/>
      <c r="AC4" s="97"/>
      <c r="AD4" s="97"/>
      <c r="AE4" s="97"/>
      <c r="AF4" s="97"/>
      <c r="AG4" s="97"/>
      <c r="AH4" s="97"/>
    </row>
    <row r="5" spans="1:34" ht="14.1" customHeight="1" x14ac:dyDescent="0.2">
      <c r="A5" s="11"/>
      <c r="B5" s="4" t="str">
        <f>AB108</f>
        <v>HSTS/STRAPPER</v>
      </c>
      <c r="C5" s="4" t="str">
        <f>AE108</f>
        <v>HSTS/STRAPPER</v>
      </c>
      <c r="D5" s="4" t="str">
        <f>AH108</f>
        <v>HSTS/STRAPPER</v>
      </c>
      <c r="E5" s="4" t="str">
        <f>AK108</f>
        <v>HSTS/STRAPPER</v>
      </c>
      <c r="F5" s="4" t="str">
        <f>AN108</f>
        <v/>
      </c>
      <c r="G5" s="4" t="str">
        <f>AQ108</f>
        <v/>
      </c>
      <c r="H5" s="4" t="str">
        <f>AT108</f>
        <v>HSTS/STRAPPER</v>
      </c>
      <c r="J5" s="95"/>
      <c r="K5" s="781" t="str">
        <f>IF(A4=" "," ",".")</f>
        <v>.</v>
      </c>
      <c r="L5" s="97"/>
      <c r="M5" s="97"/>
      <c r="N5" s="97"/>
      <c r="O5" s="97"/>
      <c r="P5" s="97"/>
      <c r="Q5" s="97"/>
      <c r="R5" s="97"/>
      <c r="S5" s="97"/>
      <c r="T5" s="97"/>
      <c r="U5" s="97"/>
      <c r="V5" s="97"/>
      <c r="W5" s="97"/>
      <c r="X5" s="97"/>
      <c r="Y5" s="97"/>
      <c r="Z5" s="97"/>
      <c r="AA5" s="97"/>
      <c r="AB5" s="97"/>
      <c r="AC5" s="97"/>
      <c r="AD5" s="97"/>
      <c r="AE5" s="97"/>
      <c r="AF5" s="97"/>
      <c r="AG5" s="97"/>
      <c r="AH5" s="97"/>
    </row>
    <row r="6" spans="1:34" ht="14.1" customHeight="1" thickBot="1" x14ac:dyDescent="0.25">
      <c r="A6" s="38"/>
      <c r="B6" s="40"/>
      <c r="C6" s="40"/>
      <c r="D6" s="40"/>
      <c r="E6" s="40"/>
      <c r="F6" s="40"/>
      <c r="G6" s="40"/>
      <c r="H6" s="40"/>
      <c r="J6" s="95"/>
      <c r="K6" s="781" t="str">
        <f>IF(A4=" "," ",".")</f>
        <v>.</v>
      </c>
      <c r="L6" s="97"/>
      <c r="M6" s="97"/>
      <c r="N6" s="97"/>
      <c r="O6" s="97"/>
      <c r="P6" s="97"/>
      <c r="Q6" s="97"/>
      <c r="R6" s="97"/>
      <c r="S6" s="97"/>
      <c r="T6" s="97"/>
      <c r="U6" s="97"/>
      <c r="V6" s="97"/>
      <c r="W6" s="97"/>
      <c r="X6" s="97"/>
      <c r="Y6" s="97"/>
      <c r="Z6" s="97"/>
      <c r="AA6" s="97"/>
      <c r="AB6" s="97"/>
      <c r="AC6" s="97"/>
      <c r="AD6" s="97"/>
      <c r="AE6" s="97"/>
      <c r="AF6" s="97"/>
      <c r="AG6" s="97"/>
      <c r="AH6" s="97"/>
    </row>
    <row r="7" spans="1:34" ht="14.1" customHeight="1" x14ac:dyDescent="0.2">
      <c r="A7" s="9"/>
      <c r="B7" s="10" t="str">
        <f>IF(OR(Schedule!F43=0,Schedule!F43=3,Schedule!F43="OT",Schedule!F43="3V",Schedule!F43="OTNV",Schedule!F43="OTV",Schedule!F43="3NV",Schedule!F43="3*",Schedule!F43="*3",Schedule!F43="2OTBT",Schedule!F43="4OTBT",Schedule!F43="2OTET",Schedule!F43="4OTET",Schedule!F43="*OTBT",Schedule!F43="*OTET")," ",Schedule!F43)</f>
        <v xml:space="preserve"> </v>
      </c>
      <c r="C7" s="10" t="str">
        <f>IF(OR(Schedule!G43=0,Schedule!G43=3,Schedule!G43="OT",Schedule!G43="3V",Schedule!G43="OTNV",Schedule!G43="OTV",Schedule!G43="3NV",Schedule!G43="3*",Schedule!G43="*3",Schedule!G43="2OTBT",Schedule!G43="4OTBT",Schedule!G43="2OTET",Schedule!G43="4OTET",Schedule!G43="*OTBT",Schedule!G43="*OTET")," ",Schedule!G43)</f>
        <v>NS</v>
      </c>
      <c r="D7" s="10" t="str">
        <f>IF(OR(Schedule!H43=0,Schedule!H43=3,Schedule!H43="OT",Schedule!H43="3V",Schedule!H43="OTNV",Schedule!H43="OTV",Schedule!H43="3NV",Schedule!H43="3*",Schedule!H43="*3",Schedule!H43="2OTBT",Schedule!H43="4OTBT",Schedule!H43="2OTET",Schedule!H43="4OTET",Schedule!H43="*OTBT",Schedule!H43="*OTET")," ",Schedule!H43)</f>
        <v>NS</v>
      </c>
      <c r="E7" s="10" t="str">
        <f>IF(OR(Schedule!I43=0,Schedule!I43=3,Schedule!I43="OT",Schedule!I43="3V",Schedule!I43="OTNV",Schedule!I43="OTV",Schedule!I43="3NV",Schedule!I43="3*",Schedule!I43="*3",Schedule!I43="2OTBT",Schedule!I43="4OTBT",Schedule!I43="2OTET",Schedule!I43="4OTET",Schedule!I43="*OTBT",Schedule!I43="*OTET")," ",Schedule!I43)</f>
        <v xml:space="preserve"> </v>
      </c>
      <c r="F7" s="10" t="str">
        <f>IF(OR(Schedule!J43=0,Schedule!J43=3,Schedule!J43="OT",Schedule!J43="3V",Schedule!J43="OTNV",Schedule!J43="OTV",Schedule!J43="3NV",Schedule!J43="3*",Schedule!J43="*3",Schedule!J43="2OTBT",Schedule!J43="4OTBT",Schedule!J43="2OTET",Schedule!J43="4OTET",Schedule!J43="*OTBT",Schedule!J43="*OTET")," ",Schedule!J43)</f>
        <v xml:space="preserve"> </v>
      </c>
      <c r="G7" s="10" t="str">
        <f>IF(OR(Schedule!K43=0,Schedule!K43=3,Schedule!K43="OT",Schedule!K43="3V",Schedule!K43="OTNV",Schedule!K43="OTV",Schedule!K43="3NV",Schedule!K43="3*",Schedule!K43="*3",Schedule!K43="2OTBT",Schedule!K43="4OTBT",Schedule!K43="2OTET",Schedule!K43="4OTET",Schedule!K43="*OTBT",Schedule!K43="*OTET")," ",Schedule!K43)</f>
        <v xml:space="preserve"> </v>
      </c>
      <c r="H7" s="10" t="str">
        <f>IF(OR(Schedule!L43=0,Schedule!L43=3,Schedule!L43="OT",Schedule!L43="3V",Schedule!L43="OTNV",Schedule!L43="OTV",Schedule!L43="3NV",Schedule!L43="3*",Schedule!L43="*3",Schedule!L43="2OTBT",Schedule!L43="4OTBT",Schedule!L43="2OTET",Schedule!L43="4OTET",Schedule!L43="*OTBT",Schedule!L43="*OTET")," ",Schedule!L43)</f>
        <v xml:space="preserve"> </v>
      </c>
      <c r="J7" s="98"/>
      <c r="K7" s="781" t="str">
        <f>IF(A8=" "," ",".")</f>
        <v>.</v>
      </c>
      <c r="L7" s="97"/>
      <c r="M7" s="97"/>
      <c r="N7" s="97"/>
      <c r="O7" s="97"/>
      <c r="P7" s="97"/>
      <c r="Q7" s="97"/>
      <c r="R7" s="97"/>
      <c r="S7" s="97"/>
      <c r="T7" s="97"/>
      <c r="U7" s="97"/>
      <c r="V7" s="97"/>
      <c r="W7" s="97"/>
      <c r="X7" s="97"/>
      <c r="Y7" s="97"/>
      <c r="Z7" s="97"/>
      <c r="AA7" s="97"/>
      <c r="AB7" s="97"/>
      <c r="AC7" s="97"/>
      <c r="AD7" s="97"/>
      <c r="AE7" s="97"/>
      <c r="AF7" s="97"/>
      <c r="AG7" s="97"/>
      <c r="AH7" s="97"/>
    </row>
    <row r="8" spans="1:34" ht="14.1" customHeight="1" x14ac:dyDescent="0.2">
      <c r="A8" s="11" t="str">
        <f>'Master List'!C33</f>
        <v>C. FERNANDEZ JR</v>
      </c>
      <c r="B8" s="4" t="str">
        <f>AB110</f>
        <v>AFSM</v>
      </c>
      <c r="C8" s="4" t="str">
        <f>AE110</f>
        <v xml:space="preserve"> </v>
      </c>
      <c r="D8" s="4" t="str">
        <f>AH110</f>
        <v xml:space="preserve"> </v>
      </c>
      <c r="E8" s="4" t="str">
        <f>AK110</f>
        <v>AFSM</v>
      </c>
      <c r="F8" s="4" t="str">
        <f>AN110</f>
        <v>AFSM</v>
      </c>
      <c r="G8" s="4" t="str">
        <f>AQ110</f>
        <v>AFSM</v>
      </c>
      <c r="H8" s="4" t="str">
        <f>AT110</f>
        <v>AFSM</v>
      </c>
      <c r="J8" s="98"/>
      <c r="K8" s="781" t="str">
        <f>IF(A8=" "," ",".")</f>
        <v>.</v>
      </c>
      <c r="L8" s="97"/>
      <c r="M8" s="97"/>
      <c r="N8" s="97"/>
      <c r="O8" s="97"/>
      <c r="P8" s="97"/>
      <c r="Q8" s="97"/>
      <c r="R8" s="97"/>
      <c r="S8" s="97"/>
      <c r="T8" s="97"/>
      <c r="U8" s="97"/>
      <c r="V8" s="97"/>
      <c r="W8" s="97"/>
      <c r="X8" s="97"/>
      <c r="Y8" s="97"/>
      <c r="Z8" s="97"/>
      <c r="AA8" s="97"/>
      <c r="AB8" s="97"/>
      <c r="AC8" s="97"/>
      <c r="AD8" s="97"/>
      <c r="AE8" s="97"/>
      <c r="AF8" s="97"/>
      <c r="AG8" s="97"/>
      <c r="AH8" s="97"/>
    </row>
    <row r="9" spans="1:34" ht="14.1" customHeight="1" x14ac:dyDescent="0.2">
      <c r="A9" s="11"/>
      <c r="B9" s="4" t="str">
        <f>AB111</f>
        <v xml:space="preserve">     UniBuEur</v>
      </c>
      <c r="C9" s="4" t="str">
        <f>AE111</f>
        <v/>
      </c>
      <c r="D9" s="4" t="str">
        <f>AH111</f>
        <v/>
      </c>
      <c r="E9" s="4" t="str">
        <f>AK111</f>
        <v xml:space="preserve">     UniBuEur</v>
      </c>
      <c r="F9" s="4" t="str">
        <f>AN111</f>
        <v xml:space="preserve">     UniBuEur</v>
      </c>
      <c r="G9" s="4" t="str">
        <f>AQ111</f>
        <v xml:space="preserve">     UniBuEur</v>
      </c>
      <c r="H9" s="4" t="str">
        <f>AT111</f>
        <v xml:space="preserve">     UniBuEur</v>
      </c>
      <c r="J9" s="98"/>
      <c r="K9" s="781" t="str">
        <f>IF(A8=" "," ",".")</f>
        <v>.</v>
      </c>
      <c r="L9" s="97"/>
      <c r="M9" s="97"/>
      <c r="N9" s="97"/>
      <c r="O9" s="97"/>
      <c r="P9" s="97"/>
      <c r="Q9" s="97"/>
      <c r="R9" s="97"/>
      <c r="S9" s="97"/>
      <c r="T9" s="97"/>
      <c r="U9" s="97"/>
      <c r="V9" s="97"/>
      <c r="W9" s="97"/>
      <c r="X9" s="97"/>
      <c r="Y9" s="97"/>
      <c r="Z9" s="97"/>
      <c r="AA9" s="97"/>
      <c r="AB9" s="97"/>
      <c r="AC9" s="97"/>
      <c r="AD9" s="97"/>
      <c r="AE9" s="97"/>
      <c r="AF9" s="97"/>
      <c r="AG9" s="97"/>
      <c r="AH9" s="97"/>
    </row>
    <row r="10" spans="1:34" ht="14.1" customHeight="1" thickBot="1" x14ac:dyDescent="0.25">
      <c r="A10" s="38"/>
      <c r="B10" s="40"/>
      <c r="C10" s="40"/>
      <c r="D10" s="40"/>
      <c r="E10" s="40"/>
      <c r="F10" s="40"/>
      <c r="G10" s="40"/>
      <c r="H10" s="40"/>
      <c r="J10" s="98"/>
      <c r="K10" s="781" t="str">
        <f>IF(A8=" "," ",".")</f>
        <v>.</v>
      </c>
      <c r="L10" s="97"/>
      <c r="M10" s="97"/>
      <c r="N10" s="97"/>
      <c r="O10" s="97"/>
      <c r="P10" s="97"/>
      <c r="Q10" s="97"/>
      <c r="R10" s="97"/>
      <c r="S10" s="97"/>
      <c r="T10" s="97"/>
      <c r="U10" s="97"/>
      <c r="V10" s="97"/>
      <c r="W10" s="97"/>
      <c r="X10" s="97"/>
      <c r="Y10" s="97"/>
      <c r="Z10" s="97"/>
      <c r="AA10" s="97"/>
      <c r="AB10" s="97"/>
      <c r="AC10" s="97"/>
      <c r="AD10" s="97"/>
      <c r="AE10" s="97"/>
      <c r="AF10" s="97"/>
      <c r="AG10" s="97"/>
      <c r="AH10" s="97"/>
    </row>
    <row r="11" spans="1:34" ht="14.1" customHeight="1" x14ac:dyDescent="0.2">
      <c r="A11" s="13"/>
      <c r="B11" s="10" t="str">
        <f>IF(OR(Schedule!F44=0,Schedule!F44=3,Schedule!F44="OT",Schedule!F44="3V",Schedule!F44="OTNV",Schedule!F44="OTV",Schedule!F44="3NV",Schedule!F44="3*",Schedule!F44="*3",Schedule!F44="2OTBT",Schedule!F44="4OTBT",Schedule!F44="2OTET",Schedule!F44="4OTET",Schedule!F44="*OTBT",Schedule!F44="*OTET")," ",Schedule!F44)</f>
        <v>NS</v>
      </c>
      <c r="C11" s="10" t="str">
        <f>IF(OR(Schedule!G44=0,Schedule!G44=3,Schedule!G44="OT",Schedule!G44="3V",Schedule!G44="OTNV",Schedule!G44="OTV",Schedule!G44="3NV",Schedule!G44="3*",Schedule!G44="*3",Schedule!G44="2OTBT",Schedule!G44="4OTBT",Schedule!G44="2OTET",Schedule!G44="4OTET",Schedule!G44="*OTBT",Schedule!G44="*OTET")," ",Schedule!G44)</f>
        <v xml:space="preserve"> </v>
      </c>
      <c r="D11" s="10" t="str">
        <f>IF(OR(Schedule!H44=0,Schedule!H44=3,Schedule!H44="OT",Schedule!H44="3V",Schedule!H44="OTNV",Schedule!H44="OTV",Schedule!H44="3NV",Schedule!H44="3*",Schedule!H44="*3",Schedule!H44="2OTBT",Schedule!H44="4OTBT",Schedule!H44="2OTET",Schedule!H44="4OTET",Schedule!H44="*OTBT",Schedule!H44="*OTET")," ",Schedule!H44)</f>
        <v xml:space="preserve"> </v>
      </c>
      <c r="E11" s="10" t="str">
        <f>IF(OR(Schedule!I44=0,Schedule!I44=3,Schedule!I44="OT",Schedule!I44="3V",Schedule!I44="OTNV",Schedule!I44="OTV",Schedule!I44="3NV",Schedule!I44="3*",Schedule!I44="*3",Schedule!I44="2OTBT",Schedule!I44="4OTBT",Schedule!I44="2OTET",Schedule!I44="4OTET",Schedule!I44="*OTBT",Schedule!I44="*OTET")," ",Schedule!I44)</f>
        <v xml:space="preserve"> </v>
      </c>
      <c r="F11" s="10" t="str">
        <f>IF(OR(Schedule!J44=0,Schedule!J44=3,Schedule!J44="OT",Schedule!J44="3V",Schedule!J44="OTNV",Schedule!J44="OTV",Schedule!J44="3NV",Schedule!J44="3*",Schedule!J44="*3",Schedule!J44="2OTBT",Schedule!J44="4OTBT",Schedule!J44="2OTET",Schedule!J44="4OTET",Schedule!J44="*OTBT",Schedule!J44="*OTET")," ",Schedule!J44)</f>
        <v xml:space="preserve"> </v>
      </c>
      <c r="G11" s="10" t="str">
        <f>IF(OR(Schedule!K44=0,Schedule!K44=3,Schedule!K44="OT",Schedule!K44="3V",Schedule!K44="OTNV",Schedule!K44="OTV",Schedule!K44="3NV",Schedule!K44="3*",Schedule!K44="*3",Schedule!K44="2OTBT",Schedule!K44="4OTBT",Schedule!K44="2OTET",Schedule!K44="4OTET",Schedule!K44="*OTBT",Schedule!K44="*OTET")," ",Schedule!K44)</f>
        <v xml:space="preserve"> </v>
      </c>
      <c r="H11" s="10" t="str">
        <f>IF(OR(Schedule!L44=0,Schedule!L44=3,Schedule!L44="OT",Schedule!L44="3V",Schedule!L44="OTNV",Schedule!L44="OTV",Schedule!L44="3NV",Schedule!L44="3*",Schedule!L44="*3",Schedule!L44="2OTBT",Schedule!L44="4OTBT",Schedule!L44="2OTET",Schedule!L44="4OTET",Schedule!L44="*OTBT",Schedule!L44="*OTET")," ",Schedule!L44)</f>
        <v>NS</v>
      </c>
      <c r="J11" s="99"/>
      <c r="K11" s="781" t="str">
        <f>IF(A12=" "," ",".")</f>
        <v>.</v>
      </c>
      <c r="L11" s="97"/>
      <c r="M11" s="97"/>
      <c r="N11" s="97"/>
      <c r="O11" s="97"/>
      <c r="P11" s="97"/>
      <c r="Q11" s="97"/>
      <c r="R11" s="97"/>
      <c r="S11" s="97"/>
      <c r="T11" s="97"/>
      <c r="U11" s="97"/>
      <c r="V11" s="97"/>
      <c r="W11" s="97"/>
      <c r="X11" s="97"/>
      <c r="Y11" s="97"/>
      <c r="Z11" s="97"/>
      <c r="AA11" s="97"/>
      <c r="AB11" s="97"/>
      <c r="AC11" s="97"/>
      <c r="AD11" s="97"/>
      <c r="AE11" s="97"/>
      <c r="AF11" s="97"/>
      <c r="AG11" s="97"/>
      <c r="AH11" s="97"/>
    </row>
    <row r="12" spans="1:34" ht="14.1" customHeight="1" x14ac:dyDescent="0.2">
      <c r="A12" s="11" t="str">
        <f>'Master List'!C34</f>
        <v>W. BROWN</v>
      </c>
      <c r="B12" s="4" t="str">
        <f>AB113</f>
        <v xml:space="preserve"> </v>
      </c>
      <c r="C12" s="4" t="str">
        <f>AE113</f>
        <v>AFSM</v>
      </c>
      <c r="D12" s="4" t="str">
        <f>AH113</f>
        <v>AFSM</v>
      </c>
      <c r="E12" s="4" t="str">
        <f>AK113</f>
        <v>AFSM</v>
      </c>
      <c r="F12" s="4" t="str">
        <f>AN113</f>
        <v>AFSM</v>
      </c>
      <c r="G12" s="4" t="str">
        <f>AQ113</f>
        <v>AFSM</v>
      </c>
      <c r="H12" s="4" t="str">
        <f>AT113</f>
        <v xml:space="preserve"> </v>
      </c>
      <c r="J12" s="99"/>
      <c r="K12" s="781" t="str">
        <f>IF(A12=" "," ",".")</f>
        <v>.</v>
      </c>
      <c r="L12" s="97"/>
      <c r="M12" s="97"/>
      <c r="N12" s="97"/>
      <c r="O12" s="97"/>
      <c r="P12" s="97"/>
      <c r="Q12" s="97"/>
      <c r="R12" s="97"/>
      <c r="S12" s="97"/>
      <c r="T12" s="97"/>
      <c r="U12" s="97"/>
      <c r="V12" s="97"/>
      <c r="W12" s="97"/>
      <c r="X12" s="97"/>
      <c r="Y12" s="97"/>
      <c r="Z12" s="97"/>
      <c r="AA12" s="97"/>
      <c r="AB12" s="97"/>
      <c r="AC12" s="97"/>
      <c r="AD12" s="97"/>
      <c r="AE12" s="97"/>
      <c r="AF12" s="97"/>
      <c r="AG12" s="97"/>
      <c r="AH12" s="97"/>
    </row>
    <row r="13" spans="1:34" ht="14.1" customHeight="1" x14ac:dyDescent="0.2">
      <c r="A13" s="14"/>
      <c r="B13" s="4" t="str">
        <f>AB114</f>
        <v/>
      </c>
      <c r="C13" s="4" t="str">
        <f>AE114</f>
        <v xml:space="preserve">     FSS RELIEF</v>
      </c>
      <c r="D13" s="4" t="str">
        <f>AH114</f>
        <v xml:space="preserve">     FSS RELIEF</v>
      </c>
      <c r="E13" s="4" t="str">
        <f>AK114</f>
        <v xml:space="preserve">     FSS RELIEF</v>
      </c>
      <c r="F13" s="4" t="str">
        <f>AN114</f>
        <v xml:space="preserve">     FSS RELIEF</v>
      </c>
      <c r="G13" s="4" t="str">
        <f>AQ114</f>
        <v xml:space="preserve">     FSS RELIEF</v>
      </c>
      <c r="H13" s="4" t="str">
        <f>AT114</f>
        <v/>
      </c>
      <c r="J13" s="99"/>
      <c r="K13" s="781" t="str">
        <f>IF(A12=" "," ",".")</f>
        <v>.</v>
      </c>
      <c r="L13" s="97"/>
      <c r="M13" s="97"/>
      <c r="N13" s="97"/>
      <c r="O13" s="97"/>
      <c r="P13" s="97"/>
      <c r="Q13" s="97"/>
      <c r="R13" s="97"/>
      <c r="S13" s="97"/>
      <c r="T13" s="97"/>
      <c r="U13" s="97"/>
      <c r="V13" s="97"/>
      <c r="W13" s="97"/>
      <c r="X13" s="97"/>
      <c r="Y13" s="97"/>
      <c r="Z13" s="97"/>
      <c r="AA13" s="97"/>
      <c r="AB13" s="97"/>
      <c r="AC13" s="97"/>
      <c r="AD13" s="97"/>
      <c r="AE13" s="97"/>
      <c r="AF13" s="97"/>
      <c r="AG13" s="97"/>
      <c r="AH13" s="97"/>
    </row>
    <row r="14" spans="1:34" ht="14.1" customHeight="1" thickBot="1" x14ac:dyDescent="0.25">
      <c r="A14" s="15"/>
      <c r="B14" s="41"/>
      <c r="C14" s="41"/>
      <c r="D14" s="41"/>
      <c r="E14" s="41"/>
      <c r="F14" s="41"/>
      <c r="G14" s="41"/>
      <c r="H14" s="41"/>
      <c r="J14" s="99"/>
      <c r="K14" s="781" t="str">
        <f>IF(A12=" "," ",".")</f>
        <v>.</v>
      </c>
      <c r="L14" s="97"/>
      <c r="M14" s="97"/>
      <c r="N14" s="97"/>
      <c r="O14" s="97"/>
      <c r="P14" s="97"/>
      <c r="Q14" s="97"/>
      <c r="R14" s="97"/>
      <c r="S14" s="97"/>
      <c r="T14" s="97"/>
      <c r="U14" s="97"/>
      <c r="V14" s="97"/>
      <c r="W14" s="97"/>
      <c r="X14" s="97"/>
      <c r="Y14" s="97"/>
      <c r="Z14" s="97"/>
      <c r="AA14" s="97"/>
      <c r="AB14" s="97"/>
      <c r="AC14" s="97"/>
      <c r="AD14" s="97"/>
      <c r="AE14" s="97"/>
      <c r="AF14" s="97"/>
      <c r="AG14" s="97"/>
      <c r="AH14" s="97"/>
    </row>
    <row r="15" spans="1:34" ht="14.1" customHeight="1" x14ac:dyDescent="0.2">
      <c r="A15" s="13"/>
      <c r="B15" s="10" t="str">
        <f>IF(OR(Schedule!F45=0,Schedule!F45=3,Schedule!F45="OT",Schedule!F45="3V",Schedule!F45="OTNV",Schedule!F45="OTV",Schedule!F45="3NV",Schedule!F45="3*",Schedule!F45="*3",Schedule!F45="2OTBT",Schedule!F45="4OTBT",Schedule!F45="2OTET",Schedule!F45="4OTET",Schedule!F45="*OTBT",Schedule!F45="*OTET")," ",Schedule!F45)</f>
        <v>NS</v>
      </c>
      <c r="C15" s="10" t="str">
        <f>IF(OR(Schedule!G45=0,Schedule!G45=3,Schedule!G45="OT",Schedule!G45="3V",Schedule!G45="OTNV",Schedule!G45="OTV",Schedule!G45="3NV",Schedule!G45="3*",Schedule!G45="*3",Schedule!G45="2OTBT",Schedule!G45="4OTBT",Schedule!G45="2OTET",Schedule!G45="4OTET",Schedule!G45="*OTBT",Schedule!G45="*OTET")," ",Schedule!G45)</f>
        <v>NS</v>
      </c>
      <c r="D15" s="10" t="str">
        <f>IF(OR(Schedule!H45=0,Schedule!H45=3,Schedule!H45="OT",Schedule!H45="3V",Schedule!H45="OTNV",Schedule!H45="OTV",Schedule!H45="3NV",Schedule!H45="3*",Schedule!H45="*3",Schedule!H45="2OTBT",Schedule!H45="4OTBT",Schedule!H45="2OTET",Schedule!H45="4OTET",Schedule!H45="*OTBT",Schedule!H45="*OTET")," ",Schedule!H45)</f>
        <v xml:space="preserve"> </v>
      </c>
      <c r="E15" s="10" t="str">
        <f>IF(OR(Schedule!I45=0,Schedule!I45=3,Schedule!I45="OT",Schedule!I45="3V",Schedule!I45="OTNV",Schedule!I45="OTV",Schedule!I45="3NV",Schedule!I45="3*",Schedule!I45="*3",Schedule!I45="2OTBT",Schedule!I45="4OTBT",Schedule!I45="2OTET",Schedule!I45="4OTET",Schedule!I45="*OTBT",Schedule!I45="*OTET")," ",Schedule!I45)</f>
        <v xml:space="preserve"> </v>
      </c>
      <c r="F15" s="10" t="str">
        <f>IF(OR(Schedule!J45=0,Schedule!J45=3,Schedule!J45="OT",Schedule!J45="3V",Schedule!J45="OTNV",Schedule!J45="OTV",Schedule!J45="3NV",Schedule!J45="3*",Schedule!J45="*3",Schedule!J45="2OTBT",Schedule!J45="4OTBT",Schedule!J45="2OTET",Schedule!J45="4OTET",Schedule!J45="*OTBT",Schedule!J45="*OTET")," ",Schedule!J45)</f>
        <v xml:space="preserve"> </v>
      </c>
      <c r="G15" s="10" t="str">
        <f>IF(OR(Schedule!K45=0,Schedule!K45=3,Schedule!K45="OT",Schedule!K45="3V",Schedule!K45="OTNV",Schedule!K45="OTV",Schedule!K45="3NV",Schedule!K45="3*",Schedule!K45="*3",Schedule!K45="2OTBT",Schedule!K45="4OTBT",Schedule!K45="2OTET",Schedule!K45="4OTET",Schedule!K45="*OTBT",Schedule!K45="*OTET")," ",Schedule!K45)</f>
        <v xml:space="preserve"> </v>
      </c>
      <c r="H15" s="10" t="str">
        <f>IF(OR(Schedule!L45=0,Schedule!L45=3,Schedule!L45="OT",Schedule!L45="3V",Schedule!L45="OTNV",Schedule!L45="OTV",Schedule!L45="3NV",Schedule!L45="3*",Schedule!L45="*3",Schedule!L45="2OTBT",Schedule!L45="4OTBT",Schedule!L45="2OTET",Schedule!L45="4OTET",Schedule!L45="*OTBT",Schedule!L45="*OTET")," ",Schedule!L45)</f>
        <v xml:space="preserve"> </v>
      </c>
      <c r="J15" s="99"/>
      <c r="K15" s="781" t="str">
        <f>IF(A16=" "," ",".")</f>
        <v>.</v>
      </c>
      <c r="L15" s="97"/>
      <c r="M15" s="97"/>
      <c r="N15" s="97"/>
      <c r="O15" s="97"/>
      <c r="P15" s="97"/>
      <c r="Q15" s="97"/>
      <c r="R15" s="97"/>
      <c r="S15" s="97"/>
      <c r="T15" s="97"/>
      <c r="U15" s="97"/>
      <c r="V15" s="97"/>
      <c r="W15" s="97"/>
      <c r="X15" s="97"/>
      <c r="Y15" s="97"/>
      <c r="Z15" s="97"/>
      <c r="AA15" s="97"/>
      <c r="AB15" s="97"/>
      <c r="AC15" s="97"/>
      <c r="AD15" s="97"/>
      <c r="AE15" s="97"/>
      <c r="AF15" s="97"/>
      <c r="AG15" s="97"/>
      <c r="AH15" s="97"/>
    </row>
    <row r="16" spans="1:34" ht="14.1" customHeight="1" x14ac:dyDescent="0.2">
      <c r="A16" s="11" t="str">
        <f>'Master List'!C35</f>
        <v>T. SERRANO</v>
      </c>
      <c r="B16" s="4" t="str">
        <f>AB116</f>
        <v xml:space="preserve"> </v>
      </c>
      <c r="C16" s="4" t="str">
        <f>AE116</f>
        <v xml:space="preserve"> </v>
      </c>
      <c r="D16" s="4" t="str">
        <f>AH116</f>
        <v>AFSM</v>
      </c>
      <c r="E16" s="4" t="str">
        <f>AK116</f>
        <v>AFSM</v>
      </c>
      <c r="F16" s="4" t="str">
        <f>AN116</f>
        <v>AFSM</v>
      </c>
      <c r="G16" s="4" t="str">
        <f>AQ116</f>
        <v>AFSM</v>
      </c>
      <c r="H16" s="4" t="str">
        <f>AT116</f>
        <v>AFSM</v>
      </c>
      <c r="J16" s="99"/>
      <c r="K16" s="781" t="str">
        <f>IF(A16=" "," ",".")</f>
        <v>.</v>
      </c>
      <c r="L16" s="97"/>
      <c r="M16" s="97"/>
      <c r="N16" s="97"/>
      <c r="O16" s="97"/>
      <c r="P16" s="97"/>
      <c r="Q16" s="97"/>
      <c r="R16" s="97"/>
      <c r="S16" s="97"/>
      <c r="T16" s="97"/>
      <c r="U16" s="97"/>
      <c r="V16" s="97"/>
      <c r="W16" s="97"/>
      <c r="X16" s="97"/>
      <c r="Y16" s="97"/>
      <c r="Z16" s="97"/>
      <c r="AA16" s="97"/>
      <c r="AB16" s="97"/>
      <c r="AC16" s="97"/>
      <c r="AD16" s="97"/>
      <c r="AE16" s="97"/>
      <c r="AF16" s="97"/>
      <c r="AG16" s="97"/>
      <c r="AH16" s="97"/>
    </row>
    <row r="17" spans="1:34" ht="14.1" customHeight="1" x14ac:dyDescent="0.2">
      <c r="A17" s="14"/>
      <c r="B17" s="4" t="str">
        <f>AB117</f>
        <v/>
      </c>
      <c r="C17" s="4" t="str">
        <f>AE117</f>
        <v/>
      </c>
      <c r="D17" s="4" t="str">
        <f>AH117</f>
        <v xml:space="preserve">     UniBuEur</v>
      </c>
      <c r="E17" s="4" t="str">
        <f>AK117</f>
        <v xml:space="preserve">     UniBuEur</v>
      </c>
      <c r="F17" s="4" t="str">
        <f>AN117</f>
        <v xml:space="preserve">     UniBuEur</v>
      </c>
      <c r="G17" s="4" t="str">
        <f>AQ117</f>
        <v xml:space="preserve">     UniBuEur</v>
      </c>
      <c r="H17" s="4" t="str">
        <f>AT117</f>
        <v xml:space="preserve">     FSS RELIEF</v>
      </c>
      <c r="J17" s="99"/>
      <c r="K17" s="781" t="str">
        <f>IF(A16=" "," ",".")</f>
        <v>.</v>
      </c>
      <c r="L17" s="97"/>
      <c r="M17" s="97"/>
      <c r="N17" s="97"/>
      <c r="O17" s="97"/>
      <c r="P17" s="97"/>
      <c r="Q17" s="97"/>
      <c r="R17" s="97"/>
      <c r="S17" s="97"/>
      <c r="T17" s="97"/>
      <c r="U17" s="97"/>
      <c r="V17" s="97"/>
      <c r="W17" s="97"/>
      <c r="X17" s="97"/>
      <c r="Y17" s="97"/>
      <c r="Z17" s="97"/>
      <c r="AA17" s="97"/>
      <c r="AB17" s="97"/>
      <c r="AC17" s="97"/>
      <c r="AD17" s="97"/>
      <c r="AE17" s="97"/>
      <c r="AF17" s="97"/>
      <c r="AG17" s="97"/>
      <c r="AH17" s="97"/>
    </row>
    <row r="18" spans="1:34" ht="14.1" customHeight="1" thickBot="1" x14ac:dyDescent="0.25">
      <c r="A18" s="15"/>
      <c r="B18" s="41"/>
      <c r="C18" s="41"/>
      <c r="D18" s="41"/>
      <c r="E18" s="41"/>
      <c r="F18" s="41"/>
      <c r="G18" s="41"/>
      <c r="H18" s="41"/>
      <c r="J18" s="99"/>
      <c r="K18" s="781" t="str">
        <f>IF(A16=" "," ",".")</f>
        <v>.</v>
      </c>
      <c r="L18" s="97"/>
      <c r="M18" s="97"/>
      <c r="N18" s="97"/>
      <c r="O18" s="97"/>
      <c r="P18" s="97"/>
      <c r="Q18" s="97"/>
      <c r="R18" s="97"/>
      <c r="S18" s="97"/>
      <c r="T18" s="97"/>
      <c r="U18" s="97"/>
      <c r="V18" s="97"/>
      <c r="W18" s="97"/>
      <c r="X18" s="97"/>
      <c r="Y18" s="97"/>
      <c r="Z18" s="97"/>
      <c r="AA18" s="97"/>
      <c r="AB18" s="97"/>
      <c r="AC18" s="97"/>
      <c r="AD18" s="97"/>
      <c r="AE18" s="97"/>
      <c r="AF18" s="97"/>
      <c r="AG18" s="97"/>
      <c r="AH18" s="97"/>
    </row>
    <row r="19" spans="1:34" ht="14.1" customHeight="1" x14ac:dyDescent="0.2">
      <c r="A19" s="13"/>
      <c r="B19" s="154" t="str">
        <f>IF(OR(Schedule!F46=0,Schedule!F46=3,Schedule!F46="OT",Schedule!F46="3V",Schedule!F46="OTNV",Schedule!F46="OTV",Schedule!F46="3NV",Schedule!F46="3*",Schedule!F46="*3",Schedule!F46="2OTBT",Schedule!F46="4OTBT",Schedule!F46="2OTET",Schedule!F46="4OTET",Schedule!F46="*OTBT",Schedule!F46="*OTET")," ",Schedule!F46)</f>
        <v>NS</v>
      </c>
      <c r="C19" s="154" t="str">
        <f>IF(OR(Schedule!G46=0,Schedule!G46=3,Schedule!G46="OT",Schedule!G46="3V",Schedule!G46="OTNV",Schedule!G46="OTV",Schedule!G46="3NV",Schedule!G46="3*",Schedule!G46="*3",Schedule!G46="2OTBT",Schedule!G46="4OTBT",Schedule!G46="2OTET",Schedule!G46="4OTET",Schedule!G46="*OTBT",Schedule!G46="*OTET")," ",Schedule!G46)</f>
        <v>NS</v>
      </c>
      <c r="D19" s="154" t="str">
        <f>IF(OR(Schedule!H46=0,Schedule!H46=3,Schedule!H46="OT",Schedule!H46="3V",Schedule!H46="OTNV",Schedule!H46="OTV",Schedule!H46="3NV",Schedule!H46="3*",Schedule!H46="*3",Schedule!H46="2OTBT",Schedule!H46="4OTBT",Schedule!H46="2OTET",Schedule!H46="4OTET",Schedule!H46="*OTBT",Schedule!H46="*OTET")," ",Schedule!H46)</f>
        <v xml:space="preserve"> </v>
      </c>
      <c r="E19" s="154" t="str">
        <f>IF(OR(Schedule!I46=0,Schedule!I46=3,Schedule!I46="OT",Schedule!I46="3V",Schedule!I46="OTNV",Schedule!I46="OTV",Schedule!I46="3NV",Schedule!I46="3*",Schedule!I46="*3",Schedule!I46="2OTBT",Schedule!I46="4OTBT",Schedule!I46="2OTET",Schedule!I46="4OTET",Schedule!I46="*OTBT",Schedule!I46="*OTET")," ",Schedule!I46)</f>
        <v xml:space="preserve"> </v>
      </c>
      <c r="F19" s="154" t="str">
        <f>IF(OR(Schedule!J46=0,Schedule!J46=3,Schedule!J46="OT",Schedule!J46="3V",Schedule!J46="OTNV",Schedule!J46="OTV",Schedule!J46="3NV",Schedule!J46="3*",Schedule!J46="*3",Schedule!J46="2OTBT",Schedule!J46="4OTBT",Schedule!J46="2OTET",Schedule!J46="4OTET",Schedule!J46="*OTBT",Schedule!J46="*OTET")," ",Schedule!J46)</f>
        <v xml:space="preserve"> </v>
      </c>
      <c r="G19" s="154" t="str">
        <f>IF(OR(Schedule!K46=0,Schedule!K46=3,Schedule!K46="OT",Schedule!K46="3V",Schedule!K46="OTNV",Schedule!K46="OTV",Schedule!K46="3NV",Schedule!K46="3*",Schedule!K46="*3",Schedule!K46="2OTBT",Schedule!K46="4OTBT",Schedule!K46="2OTET",Schedule!K46="4OTET",Schedule!K46="*OTBT",Schedule!K46="*OTET")," ",Schedule!K46)</f>
        <v xml:space="preserve"> </v>
      </c>
      <c r="H19" s="154" t="str">
        <f>IF(OR(Schedule!L46=0,Schedule!L46=3,Schedule!L46="OT",Schedule!L46="3V",Schedule!L46="OTNV",Schedule!L46="OTV",Schedule!L46="3NV",Schedule!L46="3*",Schedule!L46="*3",Schedule!L46="2OTBT",Schedule!L46="4OTBT",Schedule!L46="2OTET",Schedule!L46="4OTET",Schedule!L46="*OTBT",Schedule!L46="*OTET")," ",Schedule!L46)</f>
        <v>AL</v>
      </c>
      <c r="J19" s="99"/>
      <c r="K19" s="781" t="str">
        <f>IF(A20=" "," ",".")</f>
        <v>.</v>
      </c>
      <c r="L19" s="97"/>
      <c r="M19" s="97"/>
      <c r="N19" s="97"/>
      <c r="O19" s="97"/>
      <c r="P19" s="97"/>
      <c r="Q19" s="97"/>
      <c r="R19" s="97"/>
      <c r="S19" s="97"/>
      <c r="T19" s="97"/>
      <c r="U19" s="97"/>
      <c r="V19" s="97"/>
      <c r="W19" s="97"/>
      <c r="X19" s="97"/>
      <c r="Y19" s="97"/>
      <c r="Z19" s="97"/>
      <c r="AA19" s="97"/>
      <c r="AB19" s="97"/>
      <c r="AC19" s="97"/>
      <c r="AD19" s="97"/>
      <c r="AE19" s="97"/>
      <c r="AF19" s="97"/>
      <c r="AG19" s="97"/>
      <c r="AH19" s="97"/>
    </row>
    <row r="20" spans="1:34" ht="14.1" customHeight="1" x14ac:dyDescent="0.2">
      <c r="A20" s="11" t="str">
        <f>'Master List'!C36</f>
        <v>K. CRAWFORD</v>
      </c>
      <c r="B20" s="4" t="str">
        <f>AB119</f>
        <v xml:space="preserve"> </v>
      </c>
      <c r="C20" s="4" t="str">
        <f>AE119</f>
        <v xml:space="preserve"> </v>
      </c>
      <c r="D20" s="4" t="str">
        <f>AH119</f>
        <v>SPSS</v>
      </c>
      <c r="E20" s="4" t="str">
        <f>AK119</f>
        <v>SPSS</v>
      </c>
      <c r="F20" s="4" t="str">
        <f>AN119</f>
        <v>SPSS</v>
      </c>
      <c r="G20" s="4" t="str">
        <f>AQ119</f>
        <v>SPSS</v>
      </c>
      <c r="H20" s="4" t="str">
        <f>AT119</f>
        <v xml:space="preserve"> </v>
      </c>
      <c r="J20" s="99"/>
      <c r="K20" s="781" t="str">
        <f>IF(A20=" "," ",".")</f>
        <v>.</v>
      </c>
      <c r="L20" s="97"/>
      <c r="M20" s="97"/>
      <c r="N20" s="97"/>
      <c r="O20" s="97"/>
      <c r="P20" s="97"/>
      <c r="Q20" s="97"/>
      <c r="R20" s="97"/>
      <c r="S20" s="97"/>
      <c r="T20" s="97"/>
      <c r="U20" s="97"/>
      <c r="V20" s="97"/>
      <c r="W20" s="97"/>
      <c r="X20" s="97"/>
      <c r="Y20" s="97"/>
      <c r="Z20" s="97"/>
      <c r="AA20" s="97"/>
      <c r="AB20" s="97"/>
      <c r="AC20" s="97"/>
      <c r="AD20" s="97"/>
      <c r="AE20" s="97"/>
      <c r="AF20" s="97"/>
      <c r="AG20" s="97"/>
      <c r="AH20" s="97"/>
    </row>
    <row r="21" spans="1:34" ht="14.1" customHeight="1" x14ac:dyDescent="0.2">
      <c r="A21" s="14"/>
      <c r="B21" s="4" t="str">
        <f>AB120</f>
        <v/>
      </c>
      <c r="C21" s="4" t="str">
        <f>AE120</f>
        <v/>
      </c>
      <c r="D21" s="4" t="str">
        <f>AH120</f>
        <v xml:space="preserve">     UniBuEur</v>
      </c>
      <c r="E21" s="4" t="str">
        <f>AK120</f>
        <v xml:space="preserve">     UniBuEur</v>
      </c>
      <c r="F21" s="4" t="str">
        <f>AN120</f>
        <v xml:space="preserve">     UniBuEur</v>
      </c>
      <c r="G21" s="4" t="str">
        <f>AQ120</f>
        <v xml:space="preserve">     UniBuEur</v>
      </c>
      <c r="H21" s="4" t="str">
        <f>AT120</f>
        <v/>
      </c>
      <c r="J21" s="99"/>
      <c r="K21" s="781" t="str">
        <f>IF(A20=" "," ",".")</f>
        <v>.</v>
      </c>
      <c r="L21" s="97"/>
      <c r="M21" s="97"/>
      <c r="N21" s="97"/>
      <c r="O21" s="97"/>
      <c r="P21" s="97"/>
      <c r="Q21" s="97"/>
      <c r="R21" s="97"/>
      <c r="S21" s="97"/>
      <c r="T21" s="97"/>
      <c r="U21" s="97"/>
      <c r="V21" s="97"/>
      <c r="W21" s="97"/>
      <c r="X21" s="97"/>
      <c r="Y21" s="97"/>
      <c r="Z21" s="97"/>
      <c r="AA21" s="97"/>
      <c r="AB21" s="97"/>
      <c r="AC21" s="97"/>
      <c r="AD21" s="97"/>
      <c r="AE21" s="97"/>
      <c r="AF21" s="97"/>
      <c r="AG21" s="97"/>
      <c r="AH21" s="97"/>
    </row>
    <row r="22" spans="1:34" ht="14.1" customHeight="1" thickBot="1" x14ac:dyDescent="0.25">
      <c r="A22" s="15"/>
      <c r="B22" s="543"/>
      <c r="C22" s="155"/>
      <c r="D22" s="155"/>
      <c r="E22" s="155"/>
      <c r="F22" s="155"/>
      <c r="G22" s="155"/>
      <c r="H22" s="155"/>
      <c r="J22" s="99"/>
      <c r="K22" s="781" t="str">
        <f>IF(A20=" "," ",".")</f>
        <v>.</v>
      </c>
      <c r="L22" s="97"/>
      <c r="M22" s="97"/>
      <c r="N22" s="97"/>
      <c r="O22" s="97"/>
      <c r="P22" s="97"/>
      <c r="Q22" s="97"/>
      <c r="R22" s="97"/>
      <c r="S22" s="97"/>
      <c r="T22" s="97"/>
      <c r="U22" s="97"/>
      <c r="V22" s="97"/>
      <c r="W22" s="97"/>
      <c r="X22" s="97"/>
      <c r="Y22" s="97"/>
      <c r="Z22" s="97"/>
      <c r="AA22" s="97"/>
      <c r="AB22" s="97"/>
      <c r="AC22" s="97"/>
      <c r="AD22" s="97"/>
      <c r="AE22" s="97"/>
      <c r="AF22" s="97"/>
      <c r="AG22" s="97"/>
      <c r="AH22" s="97"/>
    </row>
    <row r="23" spans="1:34" ht="14.1" customHeight="1" x14ac:dyDescent="0.2">
      <c r="A23" s="13"/>
      <c r="B23" s="154" t="str">
        <f>IF(OR(Schedule!F47=0,Schedule!F47=3,Schedule!F47="OT",Schedule!F47="3V",Schedule!F47="OTNV",Schedule!F47="OTV",Schedule!F47="3NV",Schedule!F47="3*",Schedule!F47="*3",Schedule!F47="2OTBT",Schedule!F47="4OTBT",Schedule!F47="2OTET",Schedule!F47="4OTET",Schedule!F47="*OTBT",Schedule!F47="*OTET")," ",Schedule!F47)</f>
        <v>*</v>
      </c>
      <c r="C23" s="154" t="str">
        <f>IF(OR(Schedule!G47=0,Schedule!G47=3,Schedule!G47="OT",Schedule!G47="3V",Schedule!G47="OTNV",Schedule!G47="OTV",Schedule!G47="3NV",Schedule!G47="3*",Schedule!G47="*3",Schedule!G47="2OTBT",Schedule!G47="4OTBT",Schedule!G47="2OTET",Schedule!G47="4OTET",Schedule!G47="*OTBT",Schedule!G47="*OTET")," ",Schedule!G47)</f>
        <v>*</v>
      </c>
      <c r="D23" s="154" t="str">
        <f>IF(OR(Schedule!H47=0,Schedule!H47=3,Schedule!H47="OT",Schedule!H47="3V",Schedule!H47="OTNV",Schedule!H47="OTV",Schedule!H47="3NV",Schedule!H47="3*",Schedule!H47="*3",Schedule!H47="2OTBT",Schedule!H47="4OTBT",Schedule!H47="2OTET",Schedule!H47="4OTET",Schedule!H47="*OTBT",Schedule!H47="*OTET")," ",Schedule!H47)</f>
        <v>*</v>
      </c>
      <c r="E23" s="154" t="str">
        <f>IF(OR(Schedule!I47=0,Schedule!I47=3,Schedule!I47="OT",Schedule!I47="3V",Schedule!I47="OTNV",Schedule!I47="OTV",Schedule!I47="3NV",Schedule!I47="3*",Schedule!I47="*3",Schedule!I47="2OTBT",Schedule!I47="4OTBT",Schedule!I47="2OTET",Schedule!I47="4OTET",Schedule!I47="*OTBT",Schedule!I47="*OTET")," ",Schedule!I47)</f>
        <v>*</v>
      </c>
      <c r="F23" s="154" t="str">
        <f>IF(OR(Schedule!J47=0,Schedule!J47=3,Schedule!J47="OT",Schedule!J47="3V",Schedule!J47="OTNV",Schedule!J47="OTV",Schedule!J47="3NV",Schedule!J47="3*",Schedule!J47="*3",Schedule!J47="2OTBT",Schedule!J47="4OTBT",Schedule!J47="2OTET",Schedule!J47="4OTET",Schedule!J47="*OTBT",Schedule!J47="*OTET")," ",Schedule!J47)</f>
        <v>*</v>
      </c>
      <c r="G23" s="154" t="str">
        <f>IF(OR(Schedule!K47=0,Schedule!K47=3,Schedule!K47="OT",Schedule!K47="3V",Schedule!K47="OTNV",Schedule!K47="OTV",Schedule!K47="3NV",Schedule!K47="3*",Schedule!K47="*3",Schedule!K47="2OTBT",Schedule!K47="4OTBT",Schedule!K47="2OTET",Schedule!K47="4OTET",Schedule!K47="*OTBT",Schedule!K47="*OTET")," ",Schedule!K47)</f>
        <v>*</v>
      </c>
      <c r="H23" s="154" t="str">
        <f>IF(OR(Schedule!L47=0,Schedule!L47=3,Schedule!L47="OT",Schedule!L47="3V",Schedule!L47="OTNV",Schedule!L47="OTV",Schedule!L47="3NV",Schedule!L47="3*",Schedule!L47="*3",Schedule!L47="2OTBT",Schedule!L47="4OTBT",Schedule!L47="2OTET",Schedule!L47="4OTET",Schedule!L47="*OTBT",Schedule!L47="*OTET")," ",Schedule!L47)</f>
        <v>*</v>
      </c>
      <c r="J23" s="99"/>
      <c r="K23" s="781" t="str">
        <f>IF(A24=" "," ",".")</f>
        <v>.</v>
      </c>
      <c r="L23" s="97"/>
      <c r="M23" s="97"/>
      <c r="N23" s="97"/>
      <c r="O23" s="97"/>
      <c r="P23" s="97"/>
      <c r="Q23" s="97"/>
      <c r="R23" s="97"/>
      <c r="S23" s="97"/>
      <c r="T23" s="97"/>
      <c r="U23" s="97"/>
      <c r="V23" s="97"/>
      <c r="W23" s="97"/>
      <c r="X23" s="97"/>
      <c r="Y23" s="97"/>
      <c r="Z23" s="97"/>
      <c r="AA23" s="97"/>
      <c r="AB23" s="97"/>
      <c r="AC23" s="97"/>
      <c r="AD23" s="97"/>
      <c r="AE23" s="97"/>
      <c r="AF23" s="97"/>
      <c r="AG23" s="97"/>
      <c r="AH23" s="97"/>
    </row>
    <row r="24" spans="1:34" ht="14.1" customHeight="1" x14ac:dyDescent="0.2">
      <c r="A24" s="11" t="str">
        <f>'Master List'!C37</f>
        <v>L. WHITTEN</v>
      </c>
      <c r="B24" s="4" t="str">
        <f>AB122</f>
        <v xml:space="preserve"> </v>
      </c>
      <c r="C24" s="4" t="str">
        <f>AE122</f>
        <v xml:space="preserve"> </v>
      </c>
      <c r="D24" s="4" t="str">
        <f>AH122</f>
        <v xml:space="preserve"> </v>
      </c>
      <c r="E24" s="4" t="str">
        <f>AK122</f>
        <v xml:space="preserve"> </v>
      </c>
      <c r="F24" s="4" t="str">
        <f>AN122</f>
        <v xml:space="preserve"> </v>
      </c>
      <c r="G24" s="4" t="str">
        <f>AQ122</f>
        <v xml:space="preserve"> </v>
      </c>
      <c r="H24" s="4" t="str">
        <f>AT122</f>
        <v xml:space="preserve"> </v>
      </c>
      <c r="J24" s="99"/>
      <c r="K24" s="781" t="str">
        <f>IF(A24=" "," ",".")</f>
        <v>.</v>
      </c>
      <c r="L24" s="97"/>
      <c r="M24" s="97"/>
      <c r="N24" s="97"/>
      <c r="O24" s="97"/>
      <c r="P24" s="97"/>
      <c r="Q24" s="97"/>
      <c r="R24" s="97"/>
      <c r="S24" s="97"/>
      <c r="T24" s="97"/>
      <c r="U24" s="97"/>
      <c r="V24" s="97"/>
      <c r="W24" s="97"/>
      <c r="X24" s="97"/>
      <c r="Y24" s="97"/>
      <c r="Z24" s="97"/>
      <c r="AA24" s="97"/>
      <c r="AB24" s="97"/>
      <c r="AC24" s="97"/>
      <c r="AD24" s="97"/>
      <c r="AE24" s="97"/>
      <c r="AF24" s="97"/>
      <c r="AG24" s="97"/>
      <c r="AH24" s="97"/>
    </row>
    <row r="25" spans="1:34" ht="14.1" customHeight="1" x14ac:dyDescent="0.2">
      <c r="A25" s="14"/>
      <c r="B25" s="4" t="str">
        <f>AB123</f>
        <v/>
      </c>
      <c r="C25" s="4" t="str">
        <f>AE123</f>
        <v/>
      </c>
      <c r="D25" s="4" t="str">
        <f>AH123</f>
        <v/>
      </c>
      <c r="E25" s="4" t="str">
        <f>AK123</f>
        <v/>
      </c>
      <c r="F25" s="4" t="str">
        <f>AN123</f>
        <v/>
      </c>
      <c r="G25" s="4" t="str">
        <f>AQ123</f>
        <v/>
      </c>
      <c r="H25" s="4" t="str">
        <f>AT123</f>
        <v/>
      </c>
      <c r="J25" s="99"/>
      <c r="K25" s="781" t="str">
        <f>IF(A24=" "," ",".")</f>
        <v>.</v>
      </c>
      <c r="L25" s="97"/>
      <c r="M25" s="97"/>
      <c r="N25" s="97"/>
      <c r="O25" s="39"/>
      <c r="P25" s="39"/>
      <c r="Q25" s="39"/>
      <c r="R25" s="39"/>
      <c r="S25" s="39"/>
      <c r="T25" s="39"/>
      <c r="U25" s="39"/>
      <c r="V25" s="39"/>
      <c r="W25" s="39"/>
    </row>
    <row r="26" spans="1:34" ht="14.1" customHeight="1" thickBot="1" x14ac:dyDescent="0.25">
      <c r="A26" s="15"/>
      <c r="B26" s="155"/>
      <c r="C26" s="155"/>
      <c r="D26" s="155"/>
      <c r="E26" s="155"/>
      <c r="F26" s="155"/>
      <c r="G26" s="155"/>
      <c r="H26" s="155"/>
      <c r="J26" s="99"/>
      <c r="K26" s="781" t="str">
        <f>IF(A24=" "," ",".")</f>
        <v>.</v>
      </c>
      <c r="L26" s="97"/>
      <c r="M26" s="97"/>
      <c r="N26" s="97"/>
      <c r="O26" s="39"/>
      <c r="P26" s="39"/>
      <c r="Q26" s="39"/>
      <c r="R26" s="39"/>
      <c r="S26" s="39"/>
      <c r="T26" s="39"/>
      <c r="U26" s="39"/>
      <c r="V26" s="39"/>
      <c r="W26" s="39"/>
    </row>
    <row r="27" spans="1:34" ht="14.1" customHeight="1" x14ac:dyDescent="0.2">
      <c r="A27" s="36"/>
      <c r="B27" s="154" t="str">
        <f>IF(OR(Schedule!F48=0,Schedule!F48=3,Schedule!F48="OT",Schedule!F48="3V",Schedule!F48="OTNV",Schedule!F48="OTV",Schedule!F48="3NV",Schedule!F48="3*",Schedule!F48="*3",Schedule!F48="2OTBT",Schedule!F48="4OTBT",Schedule!F48="2OTET",Schedule!F48="4OTET",Schedule!F48="*OTBT",Schedule!F48="*OTET")," ",Schedule!F48)</f>
        <v>*</v>
      </c>
      <c r="C27" s="154" t="str">
        <f>IF(OR(Schedule!G48=0,Schedule!G48=3,Schedule!G48="OT",Schedule!G48="3V",Schedule!G48="OTNV",Schedule!G48="OTV",Schedule!G48="3NV",Schedule!G48="3*",Schedule!G48="*3",Schedule!G48="2OTBT",Schedule!G48="4OTBT",Schedule!G48="2OTET",Schedule!G48="4OTET",Schedule!G48="*OTBT",Schedule!G48="*OTET")," ",Schedule!G48)</f>
        <v>*</v>
      </c>
      <c r="D27" s="154" t="str">
        <f>IF(OR(Schedule!H48=0,Schedule!H48=3,Schedule!H48="OT",Schedule!H48="3V",Schedule!H48="OTNV",Schedule!H48="OTV",Schedule!H48="3NV",Schedule!H48="3*",Schedule!H48="*3",Schedule!H48="2OTBT",Schedule!H48="4OTBT",Schedule!H48="2OTET",Schedule!H48="4OTET",Schedule!H48="*OTBT",Schedule!H48="*OTET")," ",Schedule!H48)</f>
        <v>*</v>
      </c>
      <c r="E27" s="154" t="str">
        <f>IF(OR(Schedule!I48=0,Schedule!I48=3,Schedule!I48="OT",Schedule!I48="3V",Schedule!I48="OTNV",Schedule!I48="OTV",Schedule!I48="3NV",Schedule!I48="3*",Schedule!I48="*3",Schedule!I48="2OTBT",Schedule!I48="4OTBT",Schedule!I48="2OTET",Schedule!I48="4OTET",Schedule!I48="*OTBT",Schedule!I48="*OTET")," ",Schedule!I48)</f>
        <v>*</v>
      </c>
      <c r="F27" s="154" t="str">
        <f>IF(OR(Schedule!J48=0,Schedule!J48=3,Schedule!J48="OT",Schedule!J48="3V",Schedule!J48="OTNV",Schedule!J48="OTV",Schedule!J48="3NV",Schedule!J48="3*",Schedule!J48="*3",Schedule!J48="2OTBT",Schedule!J48="4OTBT",Schedule!J48="2OTET",Schedule!J48="4OTET",Schedule!J48="*OTBT",Schedule!J48="*OTET")," ",Schedule!J48)</f>
        <v>*</v>
      </c>
      <c r="G27" s="154" t="str">
        <f>IF(OR(Schedule!K48=0,Schedule!K48=3,Schedule!K48="OT",Schedule!K48="3V",Schedule!K48="OTNV",Schedule!K48="OTV",Schedule!K48="3NV",Schedule!K48="3*",Schedule!K48="*3",Schedule!K48="2OTBT",Schedule!K48="4OTBT",Schedule!K48="2OTET",Schedule!K48="4OTET",Schedule!K48="*OTBT",Schedule!K48="*OTET")," ",Schedule!K48)</f>
        <v>*</v>
      </c>
      <c r="H27" s="154" t="str">
        <f>IF(OR(Schedule!L48=0,Schedule!L48=3,Schedule!L48="OT",Schedule!L48="3V",Schedule!L48="OTNV",Schedule!L48="OTV",Schedule!L48="3NV",Schedule!L48="3*",Schedule!L48="*3",Schedule!L48="2OTBT",Schedule!L48="4OTBT",Schedule!L48="2OTET",Schedule!L48="4OTET",Schedule!L48="*OTBT",Schedule!L48="*OTET")," ",Schedule!L48)</f>
        <v>*</v>
      </c>
      <c r="J27" s="99"/>
      <c r="K27" s="781" t="str">
        <f>IF(A28=" "," ",".")</f>
        <v>.</v>
      </c>
      <c r="L27" s="97"/>
      <c r="M27" s="97"/>
      <c r="N27" s="97"/>
      <c r="O27" s="39"/>
      <c r="P27" s="39"/>
      <c r="Q27" s="39"/>
      <c r="R27" s="39"/>
      <c r="S27" s="39"/>
      <c r="T27" s="39"/>
      <c r="U27" s="39"/>
      <c r="V27" s="39"/>
      <c r="W27" s="39"/>
    </row>
    <row r="28" spans="1:34" ht="14.1" customHeight="1" x14ac:dyDescent="0.2">
      <c r="A28" s="11" t="str">
        <f>'Master List'!C38</f>
        <v>W. BATES</v>
      </c>
      <c r="B28" s="4" t="str">
        <f>AB125</f>
        <v xml:space="preserve"> </v>
      </c>
      <c r="C28" s="4" t="str">
        <f>AE125</f>
        <v xml:space="preserve"> </v>
      </c>
      <c r="D28" s="4" t="str">
        <f>AH125</f>
        <v xml:space="preserve"> </v>
      </c>
      <c r="E28" s="4" t="str">
        <f>AK125</f>
        <v xml:space="preserve"> </v>
      </c>
      <c r="F28" s="4" t="str">
        <f>AN125</f>
        <v xml:space="preserve"> </v>
      </c>
      <c r="G28" s="4" t="str">
        <f>AQ125</f>
        <v xml:space="preserve"> </v>
      </c>
      <c r="H28" s="4" t="str">
        <f>AT125</f>
        <v xml:space="preserve"> </v>
      </c>
      <c r="J28" s="99"/>
      <c r="K28" s="781" t="str">
        <f>IF(A28=" "," ",".")</f>
        <v>.</v>
      </c>
      <c r="L28" s="97"/>
      <c r="M28" s="97"/>
      <c r="N28" s="97"/>
      <c r="O28" s="39"/>
      <c r="P28" s="39"/>
      <c r="Q28" s="39"/>
      <c r="R28" s="39"/>
      <c r="S28" s="39"/>
      <c r="T28" s="39"/>
      <c r="U28" s="39"/>
      <c r="V28" s="39"/>
      <c r="W28" s="39"/>
    </row>
    <row r="29" spans="1:34" ht="14.1" customHeight="1" x14ac:dyDescent="0.2">
      <c r="A29" s="37"/>
      <c r="B29" s="4" t="str">
        <f>AB126</f>
        <v/>
      </c>
      <c r="C29" s="4" t="str">
        <f>AE126</f>
        <v/>
      </c>
      <c r="D29" s="4" t="str">
        <f>AH126</f>
        <v/>
      </c>
      <c r="E29" s="4" t="str">
        <f>AK126</f>
        <v/>
      </c>
      <c r="F29" s="4" t="str">
        <f>AN126</f>
        <v/>
      </c>
      <c r="G29" s="4" t="str">
        <f>AQ126</f>
        <v/>
      </c>
      <c r="H29" s="4" t="str">
        <f>AT126</f>
        <v/>
      </c>
      <c r="J29" s="99"/>
      <c r="K29" s="781" t="str">
        <f>IF(A28=" "," ",".")</f>
        <v>.</v>
      </c>
      <c r="L29" s="97"/>
      <c r="M29" s="97"/>
      <c r="N29" s="97"/>
      <c r="O29" s="39"/>
      <c r="P29" s="39"/>
      <c r="Q29" s="39"/>
      <c r="R29" s="39"/>
      <c r="S29" s="39"/>
      <c r="T29" s="39"/>
      <c r="U29" s="39"/>
      <c r="V29" s="39"/>
      <c r="W29" s="39"/>
    </row>
    <row r="30" spans="1:34" ht="14.1" customHeight="1" thickBot="1" x14ac:dyDescent="0.25">
      <c r="A30" s="12"/>
      <c r="B30" s="155"/>
      <c r="C30" s="155"/>
      <c r="D30" s="155"/>
      <c r="E30" s="155"/>
      <c r="F30" s="155"/>
      <c r="G30" s="155"/>
      <c r="H30" s="155"/>
      <c r="J30" s="99"/>
      <c r="K30" s="781" t="str">
        <f>IF(A28=" "," ",".")</f>
        <v>.</v>
      </c>
      <c r="L30" s="97"/>
      <c r="M30" s="97"/>
      <c r="N30" s="97"/>
      <c r="O30" s="39"/>
      <c r="P30" s="39"/>
      <c r="Q30" s="39"/>
      <c r="R30" s="39"/>
      <c r="S30" s="39"/>
      <c r="T30" s="39"/>
      <c r="U30" s="39"/>
      <c r="V30" s="39"/>
      <c r="W30" s="39"/>
    </row>
    <row r="31" spans="1:34" ht="14.1" customHeight="1" x14ac:dyDescent="0.2">
      <c r="A31" s="25"/>
      <c r="B31" s="154" t="str">
        <f>IF(OR(Schedule!F49=0,Schedule!F49=3,Schedule!F49="OT",Schedule!F49="3V",Schedule!F49="OTNV",Schedule!F49="OTV",Schedule!F49="3NV",Schedule!F49="3*",Schedule!F49="*3",Schedule!F49="2OTBT",Schedule!F49="4OTBT",Schedule!F49="2OTET",Schedule!F49="4OTET",Schedule!F49="*OTBT",Schedule!F49="*OTET")," ",Schedule!F49)</f>
        <v xml:space="preserve"> </v>
      </c>
      <c r="C31" s="553" t="str">
        <f>IF(OR(Schedule!G49=0,Schedule!G49=3,Schedule!G49="OT",Schedule!G49="3V",Schedule!G49="OTNV",Schedule!G49="OTV",Schedule!G49="3NV",Schedule!G49="3*",Schedule!G49="*3",Schedule!G49="2OTBT",Schedule!G49="4OTBT",Schedule!G49="2OTET",Schedule!G49="4OTET",Schedule!G49="*OTBT",Schedule!G49="*OTET")," ",Schedule!G49)</f>
        <v xml:space="preserve"> </v>
      </c>
      <c r="D31" s="553" t="str">
        <f>IF(OR(Schedule!H49=0,Schedule!H49=3,Schedule!H49="OT",Schedule!H49="3V",Schedule!H49="OTNV",Schedule!H49="OTV",Schedule!H49="3NV",Schedule!H49="3*",Schedule!H49="*3",Schedule!H49="2OTBT",Schedule!H49="4OTBT",Schedule!H49="2OTET",Schedule!H49="4OTET",Schedule!H49="*OTBT",Schedule!H49="*OTET")," ",Schedule!H49)</f>
        <v xml:space="preserve"> </v>
      </c>
      <c r="E31" s="154" t="str">
        <f>IF(OR(Schedule!I49=0,Schedule!I49=3,Schedule!I49="OT",Schedule!I49="3V",Schedule!I49="OTNV",Schedule!I49="OTV",Schedule!I49="3NV",Schedule!I49="3*",Schedule!I49="*3",Schedule!I49="2OTBT",Schedule!I49="4OTBT",Schedule!I49="2OTET",Schedule!I49="4OTET",Schedule!I49="*OTBT",Schedule!I49="*OTET")," ",Schedule!I49)</f>
        <v xml:space="preserve"> </v>
      </c>
      <c r="F31" s="154" t="str">
        <f>IF(OR(Schedule!J49=0,Schedule!J49=3,Schedule!J49="OT",Schedule!J49="3V",Schedule!J49="OTNV",Schedule!J49="OTV",Schedule!J49="3NV",Schedule!J49="3*",Schedule!J49="*3",Schedule!J49="2OTBT",Schedule!J49="4OTBT",Schedule!J49="2OTET",Schedule!J49="4OTET",Schedule!J49="*OTBT",Schedule!J49="*OTET")," ",Schedule!J49)</f>
        <v xml:space="preserve"> </v>
      </c>
      <c r="G31" s="154" t="str">
        <f>IF(OR(Schedule!K49=0,Schedule!K49=3,Schedule!K49="OT",Schedule!K49="3V",Schedule!K49="OTNV",Schedule!K49="OTV",Schedule!K49="3NV",Schedule!K49="3*",Schedule!K49="*3",Schedule!K49="2OTBT",Schedule!K49="4OTBT",Schedule!K49="2OTET",Schedule!K49="4OTET",Schedule!K49="*OTBT",Schedule!K49="*OTET")," ",Schedule!K49)</f>
        <v>NS</v>
      </c>
      <c r="H31" s="154" t="str">
        <f>IF(OR(Schedule!L49=0,Schedule!L49=3,Schedule!L49="OT",Schedule!L49="3V",Schedule!L49="OTNV",Schedule!L49="OTV",Schedule!L49="3NV",Schedule!L49="3*",Schedule!L49="*3",Schedule!L49="2OTBT",Schedule!L49="4OTBT",Schedule!L49="2OTET",Schedule!L49="4OTET",Schedule!L49="*OTBT",Schedule!L49="*OTET")," ",Schedule!L49)</f>
        <v xml:space="preserve"> </v>
      </c>
      <c r="J31" s="99"/>
      <c r="K31" s="781" t="str">
        <f>IF(A32=" "," ",".")</f>
        <v>.</v>
      </c>
      <c r="L31" s="97"/>
      <c r="M31" s="97"/>
      <c r="N31" s="97"/>
      <c r="O31" s="39"/>
      <c r="P31" s="39"/>
      <c r="Q31" s="39"/>
      <c r="R31" s="39"/>
      <c r="S31" s="39"/>
      <c r="T31" s="39"/>
      <c r="U31" s="39"/>
      <c r="V31" s="39"/>
      <c r="W31" s="39"/>
    </row>
    <row r="32" spans="1:34" ht="14.1" customHeight="1" x14ac:dyDescent="0.2">
      <c r="A32" s="11" t="str">
        <f>'Master List'!C39</f>
        <v>M. RESENDEZ</v>
      </c>
      <c r="B32" s="4" t="str">
        <f>AB128</f>
        <v>APPS 1</v>
      </c>
      <c r="C32" s="554" t="str">
        <f>AE128</f>
        <v>APPS 1</v>
      </c>
      <c r="D32" s="554" t="str">
        <f>AH128</f>
        <v>APPS 1</v>
      </c>
      <c r="E32" s="4" t="str">
        <f>AK128</f>
        <v>APPS 1</v>
      </c>
      <c r="F32" s="4" t="str">
        <f>AN128</f>
        <v>APPS 1</v>
      </c>
      <c r="G32" s="4" t="str">
        <f>AQ128</f>
        <v xml:space="preserve"> </v>
      </c>
      <c r="H32" s="4" t="str">
        <f>AT128</f>
        <v>APPS 1</v>
      </c>
      <c r="J32" s="99"/>
      <c r="K32" s="781" t="str">
        <f>IF(A32=" "," ",".")</f>
        <v>.</v>
      </c>
      <c r="L32" s="97"/>
      <c r="M32" s="97"/>
      <c r="N32" s="97"/>
      <c r="O32" s="39"/>
      <c r="P32" s="39"/>
      <c r="Q32" s="39"/>
      <c r="R32" s="39"/>
      <c r="S32" s="39"/>
      <c r="T32" s="39"/>
      <c r="U32" s="39"/>
      <c r="V32" s="39"/>
      <c r="W32" s="39"/>
    </row>
    <row r="33" spans="1:23" ht="14.1" customHeight="1" x14ac:dyDescent="0.2">
      <c r="A33" s="26"/>
      <c r="B33" s="4" t="str">
        <f>AB129</f>
        <v xml:space="preserve"> </v>
      </c>
      <c r="C33" s="554" t="str">
        <f>AE129</f>
        <v xml:space="preserve"> </v>
      </c>
      <c r="D33" s="554" t="str">
        <f>AH129</f>
        <v xml:space="preserve"> </v>
      </c>
      <c r="E33" s="4" t="str">
        <f>AK129</f>
        <v xml:space="preserve"> </v>
      </c>
      <c r="F33" s="4" t="str">
        <f>AN129</f>
        <v xml:space="preserve"> </v>
      </c>
      <c r="G33" s="4" t="str">
        <f>AQ129</f>
        <v/>
      </c>
      <c r="H33" s="4" t="str">
        <f>AT129</f>
        <v xml:space="preserve"> </v>
      </c>
      <c r="J33" s="99"/>
      <c r="K33" s="781" t="str">
        <f>IF(A32=" "," ",".")</f>
        <v>.</v>
      </c>
      <c r="L33" s="97"/>
      <c r="M33" s="97"/>
      <c r="N33" s="97"/>
      <c r="O33" s="39"/>
      <c r="P33" s="39"/>
      <c r="Q33" s="39"/>
      <c r="R33" s="39"/>
      <c r="S33" s="39"/>
      <c r="T33" s="39"/>
      <c r="U33" s="39"/>
      <c r="V33" s="39"/>
      <c r="W33" s="39"/>
    </row>
    <row r="34" spans="1:23" ht="14.1" customHeight="1" thickBot="1" x14ac:dyDescent="0.25">
      <c r="A34" s="28"/>
      <c r="B34" s="144"/>
      <c r="C34" s="555"/>
      <c r="D34" s="555"/>
      <c r="E34" s="144"/>
      <c r="F34" s="144"/>
      <c r="G34" s="144"/>
      <c r="H34" s="144"/>
      <c r="J34" s="99"/>
      <c r="K34" s="781" t="str">
        <f>IF(A32=" "," ",".")</f>
        <v>.</v>
      </c>
      <c r="L34" s="97"/>
      <c r="M34" s="97"/>
      <c r="N34" s="97"/>
      <c r="O34" s="39"/>
      <c r="P34" s="39"/>
      <c r="Q34" s="39"/>
      <c r="R34" s="39"/>
      <c r="S34" s="39"/>
      <c r="T34" s="39"/>
      <c r="U34" s="39"/>
      <c r="V34" s="39"/>
      <c r="W34" s="39"/>
    </row>
    <row r="35" spans="1:23" ht="14.1" customHeight="1" x14ac:dyDescent="0.2">
      <c r="A35" s="25"/>
      <c r="B35" s="553" t="str">
        <f>IF(OR(Schedule!F50=0,Schedule!F50=3,Schedule!F50="OT",Schedule!F50="3V",Schedule!F50="OTNV",Schedule!F50="OTV",Schedule!F50="3NV",Schedule!F50="3*",Schedule!F50="*3",Schedule!F50="2OTBT",Schedule!F50="4OTBT",Schedule!F50="2OTET",Schedule!F50="4OTET",Schedule!F50="*OTBT",Schedule!F50="*OTET")," ",Schedule!F50)</f>
        <v>*</v>
      </c>
      <c r="C35" s="553" t="str">
        <f>IF(OR(Schedule!G50=0,Schedule!G50=3,Schedule!G50="OT",Schedule!G50="3V",Schedule!G50="OTNV",Schedule!G50="OTV",Schedule!G50="3NV",Schedule!G50="3*",Schedule!G50="*3",Schedule!G50="2OTBT",Schedule!G50="4OTBT",Schedule!G50="2OTET",Schedule!G50="4OTET",Schedule!G50="*OTBT",Schedule!G50="*OTET")," ",Schedule!G50)</f>
        <v>*</v>
      </c>
      <c r="D35" s="553" t="str">
        <f>IF(OR(Schedule!H50=0,Schedule!H50=3,Schedule!H50="OT",Schedule!H50="3V",Schedule!H50="OTNV",Schedule!H50="OTV",Schedule!H50="3NV",Schedule!H50="3*",Schedule!H50="*3",Schedule!H50="2OTBT",Schedule!H50="4OTBT",Schedule!H50="2OTET",Schedule!H50="4OTET",Schedule!H50="*OTBT",Schedule!H50="*OTET")," ",Schedule!H50)</f>
        <v>*</v>
      </c>
      <c r="E35" s="553" t="str">
        <f>IF(OR(Schedule!I50=0,Schedule!I50=3,Schedule!I50="OT",Schedule!I50="3V",Schedule!I50="OTNV",Schedule!I50="OTV",Schedule!I50="3NV",Schedule!I50="3*",Schedule!I50="*3",Schedule!I50="2OTBT",Schedule!I50="4OTBT",Schedule!I50="2OTET",Schedule!I50="4OTET",Schedule!I50="*OTBT",Schedule!I50="*OTET")," ",Schedule!I50)</f>
        <v>*</v>
      </c>
      <c r="F35" s="553" t="str">
        <f>IF(OR(Schedule!J50=0,Schedule!J50=3,Schedule!J50="OT",Schedule!J50="3V",Schedule!J50="OTNV",Schedule!J50="OTV",Schedule!J50="3NV",Schedule!J50="3*",Schedule!J50="*3",Schedule!J50="2OTBT",Schedule!J50="4OTBT",Schedule!J50="2OTET",Schedule!J50="4OTET",Schedule!J50="*OTBT",Schedule!J50="*OTET")," ",Schedule!J50)</f>
        <v>*</v>
      </c>
      <c r="G35" s="553" t="str">
        <f>IF(OR(Schedule!K50=0,Schedule!K50=3,Schedule!K50="OT",Schedule!K50="3V",Schedule!K50="OTNV",Schedule!K50="OTV",Schedule!K50="3NV",Schedule!K50="3*",Schedule!K50="*3",Schedule!K50="2OTBT",Schedule!K50="4OTBT",Schedule!K50="2OTET",Schedule!K50="4OTET",Schedule!K50="*OTBT",Schedule!K50="*OTET")," ",Schedule!K50)</f>
        <v>*</v>
      </c>
      <c r="H35" s="553" t="str">
        <f>IF(OR(Schedule!L50=0,Schedule!L50=3,Schedule!L50="OT",Schedule!L50="3V",Schedule!L50="OTNV",Schedule!L50="OTV",Schedule!L50="3NV",Schedule!L50="3*",Schedule!L50="*3",Schedule!L50="2OTBT",Schedule!L50="4OTBT",Schedule!L50="2OTET",Schedule!L50="4OTET",Schedule!L50="*OTBT",Schedule!L50="*OTET")," ",Schedule!L50)</f>
        <v>*</v>
      </c>
      <c r="J35" s="99"/>
      <c r="K35" s="781" t="str">
        <f>IF(A36=" "," ",".")</f>
        <v>.</v>
      </c>
      <c r="L35" s="97"/>
      <c r="M35" s="97"/>
      <c r="N35" s="97"/>
      <c r="O35" s="39"/>
      <c r="P35" s="39"/>
      <c r="Q35" s="39"/>
      <c r="R35" s="39"/>
      <c r="S35" s="39"/>
      <c r="T35" s="39"/>
      <c r="U35" s="39"/>
      <c r="V35" s="39"/>
      <c r="W35" s="39"/>
    </row>
    <row r="36" spans="1:23" ht="14.1" customHeight="1" x14ac:dyDescent="0.2">
      <c r="A36" s="11" t="str">
        <f>'Master List'!C40</f>
        <v>M. LEE</v>
      </c>
      <c r="B36" s="4" t="str">
        <f>AB131</f>
        <v xml:space="preserve"> </v>
      </c>
      <c r="C36" s="554" t="str">
        <f>AE131</f>
        <v xml:space="preserve"> </v>
      </c>
      <c r="D36" s="554" t="str">
        <f>AH131</f>
        <v xml:space="preserve"> </v>
      </c>
      <c r="E36" s="4" t="str">
        <f>AK131</f>
        <v xml:space="preserve"> </v>
      </c>
      <c r="F36" s="4" t="str">
        <f>AN131</f>
        <v xml:space="preserve"> </v>
      </c>
      <c r="G36" s="4" t="str">
        <f>AQ131</f>
        <v xml:space="preserve"> </v>
      </c>
      <c r="H36" s="4" t="str">
        <f>AT131</f>
        <v xml:space="preserve"> </v>
      </c>
      <c r="J36" s="99"/>
      <c r="K36" s="781" t="str">
        <f>IF(A36=" "," ",".")</f>
        <v>.</v>
      </c>
      <c r="L36" s="97"/>
      <c r="M36" s="97"/>
      <c r="N36" s="97"/>
      <c r="O36" s="39"/>
      <c r="P36" s="39"/>
      <c r="Q36" s="39"/>
      <c r="R36" s="39"/>
      <c r="S36" s="39"/>
      <c r="T36" s="39"/>
      <c r="U36" s="39"/>
      <c r="V36" s="39"/>
      <c r="W36" s="39"/>
    </row>
    <row r="37" spans="1:23" ht="14.1" customHeight="1" x14ac:dyDescent="0.2">
      <c r="A37" s="26"/>
      <c r="B37" s="4" t="str">
        <f>AB132</f>
        <v/>
      </c>
      <c r="C37" s="554" t="str">
        <f>AE132</f>
        <v/>
      </c>
      <c r="D37" s="554" t="str">
        <f>AH132</f>
        <v/>
      </c>
      <c r="E37" s="4" t="str">
        <f>AK132</f>
        <v/>
      </c>
      <c r="F37" s="4" t="str">
        <f>AN132</f>
        <v/>
      </c>
      <c r="G37" s="4" t="str">
        <f>AQ132</f>
        <v/>
      </c>
      <c r="H37" s="4" t="str">
        <f>AT132</f>
        <v/>
      </c>
      <c r="J37" s="99"/>
      <c r="K37" s="781" t="str">
        <f>IF(A36=" "," ",".")</f>
        <v>.</v>
      </c>
      <c r="L37" s="97"/>
      <c r="M37" s="97"/>
      <c r="N37" s="97"/>
      <c r="O37" s="39"/>
      <c r="P37" s="39"/>
      <c r="Q37" s="39"/>
      <c r="R37" s="39"/>
      <c r="S37" s="39"/>
      <c r="T37" s="39"/>
      <c r="U37" s="39"/>
      <c r="V37" s="39"/>
      <c r="W37" s="39"/>
    </row>
    <row r="38" spans="1:23" ht="14.1" customHeight="1" thickBot="1" x14ac:dyDescent="0.25">
      <c r="A38" s="28"/>
      <c r="B38" s="144"/>
      <c r="C38" s="555"/>
      <c r="D38" s="555"/>
      <c r="E38" s="144"/>
      <c r="F38" s="144"/>
      <c r="G38" s="144"/>
      <c r="H38" s="144"/>
      <c r="J38" s="99"/>
      <c r="K38" s="781" t="str">
        <f>IF(A36=" "," ",".")</f>
        <v>.</v>
      </c>
      <c r="L38" s="97"/>
      <c r="M38" s="97"/>
      <c r="N38" s="97"/>
      <c r="O38" s="39"/>
      <c r="P38" s="39"/>
      <c r="Q38" s="39"/>
      <c r="R38" s="39"/>
      <c r="S38" s="39"/>
      <c r="T38" s="39"/>
      <c r="U38" s="39"/>
      <c r="V38" s="39"/>
      <c r="W38" s="39"/>
    </row>
    <row r="39" spans="1:23" ht="14.1" customHeight="1" x14ac:dyDescent="0.2">
      <c r="A39" s="25"/>
      <c r="B39" s="553" t="str">
        <f>IF(OR(Schedule!F51=0,Schedule!F51=3,Schedule!F51="OT",Schedule!F51="3V",Schedule!F51="OTNV",Schedule!F51="OTV",Schedule!F51="3NV",Schedule!F51="3*",Schedule!F51="*3",Schedule!F51="2OTBT",Schedule!F51="4OTBT",Schedule!F51="2OTET",Schedule!F51="4OTET",Schedule!F51="*OTBT",Schedule!F51="*OTET")," ",Schedule!F51)</f>
        <v xml:space="preserve"> </v>
      </c>
      <c r="C39" s="553" t="str">
        <f>IF(OR(Schedule!G51=0,Schedule!G51=3,Schedule!G51="OT",Schedule!G51="3V",Schedule!G51="OTNV",Schedule!G51="OTV",Schedule!G51="3NV",Schedule!G51="3*",Schedule!G51="*3",Schedule!G51="2OTBT",Schedule!G51="4OTBT",Schedule!G51="2OTET",Schedule!G51="4OTET",Schedule!G51="*OTBT",Schedule!G51="*OTET")," ",Schedule!G51)</f>
        <v xml:space="preserve"> </v>
      </c>
      <c r="D39" s="553" t="str">
        <f>IF(OR(Schedule!H51=0,Schedule!H51=3,Schedule!H51="OT",Schedule!H51="3V",Schedule!H51="OTNV",Schedule!H51="OTV",Schedule!H51="3NV",Schedule!H51="3*",Schedule!H51="*3",Schedule!H51="2OTBT",Schedule!H51="4OTBT",Schedule!H51="2OTET",Schedule!H51="4OTET",Schedule!H51="*OTBT",Schedule!H51="*OTET")," ",Schedule!H51)</f>
        <v xml:space="preserve"> </v>
      </c>
      <c r="E39" s="553" t="str">
        <f>IF(OR(Schedule!I51=0,Schedule!I51=3,Schedule!I51="OT",Schedule!I51="3V",Schedule!I51="OTNV",Schedule!I51="OTV",Schedule!I51="3NV",Schedule!I51="3*",Schedule!I51="*3",Schedule!I51="2OTBT",Schedule!I51="4OTBT",Schedule!I51="2OTET",Schedule!I51="4OTET",Schedule!I51="*OTBT",Schedule!I51="*OTET")," ",Schedule!I51)</f>
        <v xml:space="preserve"> </v>
      </c>
      <c r="F39" s="553" t="str">
        <f>IF(OR(Schedule!J51=0,Schedule!J51=3,Schedule!J51="OT",Schedule!J51="3V",Schedule!J51="OTNV",Schedule!J51="OTV",Schedule!J51="3NV",Schedule!J51="3*",Schedule!J51="*3",Schedule!J51="2OTBT",Schedule!J51="4OTBT",Schedule!J51="2OTET",Schedule!J51="4OTET",Schedule!J51="*OTBT",Schedule!J51="*OTET")," ",Schedule!J51)</f>
        <v>NS</v>
      </c>
      <c r="G39" s="553" t="str">
        <f>IF(OR(Schedule!K51=0,Schedule!K51=3,Schedule!K51="OT",Schedule!K51="3V",Schedule!K51="OTNV",Schedule!K51="OTV",Schedule!K51="3NV",Schedule!K51="3*",Schedule!K51="*3",Schedule!K51="2OTBT",Schedule!K51="4OTBT",Schedule!K51="2OTET",Schedule!K51="4OTET",Schedule!K51="*OTBT",Schedule!K51="*OTET")," ",Schedule!K51)</f>
        <v xml:space="preserve"> </v>
      </c>
      <c r="H39" s="553" t="str">
        <f>IF(OR(Schedule!L51=0,Schedule!L51=3,Schedule!L51="OT",Schedule!L51="3V",Schedule!L51="OTNV",Schedule!L51="OTV",Schedule!L51="3NV",Schedule!L51="3*",Schedule!L51="*3",Schedule!L51="2OTBT",Schedule!L51="4OTBT",Schedule!L51="2OTET",Schedule!L51="4OTET",Schedule!L51="*OTBT",Schedule!L51="*OTET")," ",Schedule!L51)</f>
        <v xml:space="preserve"> </v>
      </c>
      <c r="J39" s="99"/>
      <c r="K39" s="781" t="str">
        <f>IF(A40=" "," ",".")</f>
        <v>.</v>
      </c>
      <c r="L39" s="97"/>
      <c r="M39" s="97"/>
      <c r="N39" s="97"/>
      <c r="O39" s="39"/>
      <c r="P39" s="39"/>
      <c r="Q39" s="39"/>
      <c r="R39" s="39"/>
      <c r="S39" s="39"/>
      <c r="T39" s="39"/>
      <c r="U39" s="39"/>
      <c r="V39" s="39"/>
      <c r="W39" s="39"/>
    </row>
    <row r="40" spans="1:23" ht="14.1" customHeight="1" x14ac:dyDescent="0.2">
      <c r="A40" s="11" t="str">
        <f>'Master List'!C41</f>
        <v>R. BAIWIR</v>
      </c>
      <c r="B40" s="4" t="str">
        <f>AB134</f>
        <v>DBCS</v>
      </c>
      <c r="C40" s="554" t="str">
        <f>AE134</f>
        <v>DBCS</v>
      </c>
      <c r="D40" s="554" t="str">
        <f>AH134</f>
        <v>DBCS</v>
      </c>
      <c r="E40" s="4" t="str">
        <f>AK134</f>
        <v>DBCS</v>
      </c>
      <c r="F40" s="4" t="str">
        <f>AN134</f>
        <v xml:space="preserve"> </v>
      </c>
      <c r="G40" s="4" t="str">
        <f>AQ134</f>
        <v>DBCS</v>
      </c>
      <c r="H40" s="4" t="str">
        <f>AT134</f>
        <v>DBCS</v>
      </c>
      <c r="J40" s="99"/>
      <c r="K40" s="781" t="str">
        <f>IF(A40=" "," ",".")</f>
        <v>.</v>
      </c>
      <c r="L40" s="97"/>
      <c r="M40" s="97"/>
      <c r="N40" s="97"/>
      <c r="O40" s="39"/>
      <c r="P40" s="39"/>
      <c r="Q40" s="39"/>
      <c r="R40" s="39"/>
      <c r="S40" s="39"/>
      <c r="T40" s="39"/>
      <c r="U40" s="39"/>
      <c r="V40" s="39"/>
      <c r="W40" s="39"/>
    </row>
    <row r="41" spans="1:23" ht="14.1" customHeight="1" x14ac:dyDescent="0.2">
      <c r="A41" s="26"/>
      <c r="B41" s="4" t="str">
        <f>AB135</f>
        <v>ECBM ROUTES</v>
      </c>
      <c r="C41" s="554" t="str">
        <f>AE135</f>
        <v>ECBM ROUTES</v>
      </c>
      <c r="D41" s="554" t="str">
        <f>AH135</f>
        <v>ECBM ROUTES</v>
      </c>
      <c r="E41" s="4" t="str">
        <f>AK135</f>
        <v>ECBM ROUTES</v>
      </c>
      <c r="F41" s="4" t="str">
        <f>AN135</f>
        <v/>
      </c>
      <c r="G41" s="4" t="str">
        <f>AQ135</f>
        <v>ECBM ROUTES</v>
      </c>
      <c r="H41" s="4" t="str">
        <f>AT135</f>
        <v>ECBM ROUTES</v>
      </c>
      <c r="J41" s="99"/>
      <c r="K41" s="781" t="str">
        <f>IF(A40=" "," ",".")</f>
        <v>.</v>
      </c>
      <c r="L41" s="97"/>
      <c r="M41" s="97"/>
      <c r="N41" s="97"/>
      <c r="O41" s="39"/>
      <c r="P41" s="39"/>
      <c r="Q41" s="39"/>
      <c r="R41" s="39"/>
      <c r="S41" s="39"/>
      <c r="T41" s="39"/>
      <c r="U41" s="39"/>
      <c r="V41" s="39"/>
      <c r="W41" s="39"/>
    </row>
    <row r="42" spans="1:23" ht="14.1" customHeight="1" thickBot="1" x14ac:dyDescent="0.25">
      <c r="A42" s="28"/>
      <c r="B42" s="144"/>
      <c r="C42" s="555"/>
      <c r="D42" s="555"/>
      <c r="E42" s="144"/>
      <c r="F42" s="144"/>
      <c r="G42" s="144"/>
      <c r="H42" s="144"/>
      <c r="J42" s="99"/>
      <c r="K42" s="781" t="str">
        <f>IF(A40=" "," ",".")</f>
        <v>.</v>
      </c>
      <c r="L42" s="97"/>
      <c r="M42" s="97"/>
      <c r="N42" s="97"/>
      <c r="O42" s="39"/>
      <c r="P42" s="39"/>
      <c r="Q42" s="39"/>
      <c r="R42" s="39"/>
      <c r="S42" s="39"/>
      <c r="T42" s="39"/>
      <c r="U42" s="39"/>
      <c r="V42" s="39"/>
      <c r="W42" s="39"/>
    </row>
    <row r="43" spans="1:23" ht="13.5" customHeight="1" x14ac:dyDescent="0.2">
      <c r="A43" s="25"/>
      <c r="B43" s="553" t="str">
        <f>IF(OR(Schedule!F52=0,Schedule!F52=3,Schedule!F52="OT",Schedule!F52="3V",Schedule!F52="OTNV",Schedule!F52="OTV",Schedule!F52="3NV",Schedule!F52="3*",Schedule!F52="*3",Schedule!F52="2OTBT",Schedule!F52="4OTBT",Schedule!F52="2OTET",Schedule!F52="4OTET",Schedule!F52="*OTBT",Schedule!F52="*OTET")," ",Schedule!F52)</f>
        <v xml:space="preserve"> </v>
      </c>
      <c r="C43" s="553" t="str">
        <f>IF(OR(Schedule!G52=0,Schedule!G52=3,Schedule!G52="OT",Schedule!G52="3V",Schedule!G52="OTNV",Schedule!G52="OTV",Schedule!G52="3NV",Schedule!G52="3*",Schedule!G52="*3",Schedule!G52="2OTBT",Schedule!G52="4OTBT",Schedule!G52="2OTET",Schedule!G52="4OTET",Schedule!G52="*OTBT",Schedule!G52="*OTET")," ",Schedule!G52)</f>
        <v xml:space="preserve"> </v>
      </c>
      <c r="D43" s="553" t="str">
        <f>IF(OR(Schedule!H52=0,Schedule!H52=3,Schedule!H52="OT",Schedule!H52="3V",Schedule!H52="OTNV",Schedule!H52="OTV",Schedule!H52="3NV",Schedule!H52="3*",Schedule!H52="*3",Schedule!H52="2OTBT",Schedule!H52="4OTBT",Schedule!H52="2OTET",Schedule!H52="4OTET",Schedule!H52="*OTBT",Schedule!H52="*OTET")," ",Schedule!H52)</f>
        <v xml:space="preserve"> </v>
      </c>
      <c r="E43" s="553" t="str">
        <f>IF(OR(Schedule!I52=0,Schedule!I52=3,Schedule!I52="OT",Schedule!I52="3V",Schedule!I52="OTNV",Schedule!I52="OTV",Schedule!I52="3NV",Schedule!I52="3*",Schedule!I52="*3",Schedule!I52="2OTBT",Schedule!I52="4OTBT",Schedule!I52="2OTET",Schedule!I52="4OTET",Schedule!I52="*OTBT",Schedule!I52="*OTET")," ",Schedule!I52)</f>
        <v>NS</v>
      </c>
      <c r="F43" s="553" t="str">
        <f>IF(OR(Schedule!J52=0,Schedule!J52=3,Schedule!J52="OT",Schedule!J52="3V",Schedule!J52="OTNV",Schedule!J52="OTV",Schedule!J52="3NV",Schedule!J52="3*",Schedule!J52="*3",Schedule!J52="2OTBT",Schedule!J52="4OTBT",Schedule!J52="2OTET",Schedule!J52="4OTET",Schedule!J52="*OTBT",Schedule!J52="*OTET")," ",Schedule!J52)</f>
        <v xml:space="preserve"> </v>
      </c>
      <c r="G43" s="553" t="str">
        <f>IF(OR(Schedule!K52=0,Schedule!K52=3,Schedule!K52="OT",Schedule!K52="3V",Schedule!K52="OTNV",Schedule!K52="OTV",Schedule!K52="3NV",Schedule!K52="3*",Schedule!K52="*3",Schedule!K52="2OTBT",Schedule!K52="4OTBT",Schedule!K52="2OTET",Schedule!K52="4OTET",Schedule!K52="*OTBT",Schedule!K52="*OTET")," ",Schedule!K52)</f>
        <v xml:space="preserve"> </v>
      </c>
      <c r="H43" s="553" t="str">
        <f>IF(OR(Schedule!L52=0,Schedule!L52=3,Schedule!L52="OT",Schedule!L52="3V",Schedule!L52="OTNV",Schedule!L52="OTV",Schedule!L52="3NV",Schedule!L52="3*",Schedule!L52="*3",Schedule!L52="2OTBT",Schedule!L52="4OTBT",Schedule!L52="2OTET",Schedule!L52="4OTET",Schedule!L52="*OTBT",Schedule!L52="*OTET")," ",Schedule!L52)</f>
        <v xml:space="preserve"> </v>
      </c>
      <c r="J43" s="99"/>
      <c r="K43" s="781" t="str">
        <f>IF(A44=" "," ",".")</f>
        <v>.</v>
      </c>
      <c r="L43" s="97"/>
      <c r="M43" s="97"/>
      <c r="N43" s="97"/>
      <c r="O43" s="39"/>
      <c r="P43" s="39"/>
      <c r="Q43" s="39"/>
      <c r="R43" s="39"/>
      <c r="S43" s="39"/>
      <c r="T43" s="39"/>
      <c r="U43" s="39"/>
      <c r="V43" s="39"/>
      <c r="W43" s="39"/>
    </row>
    <row r="44" spans="1:23" ht="13.5" customHeight="1" x14ac:dyDescent="0.2">
      <c r="A44" s="11" t="str">
        <f>'Master List'!C42</f>
        <v>E. BONTON</v>
      </c>
      <c r="B44" s="4" t="str">
        <f>AB137</f>
        <v>APPS 2</v>
      </c>
      <c r="C44" s="554" t="str">
        <f>AE137</f>
        <v>APPS 2</v>
      </c>
      <c r="D44" s="554" t="str">
        <f>AH137</f>
        <v>APPS 2</v>
      </c>
      <c r="E44" s="4" t="str">
        <f>AK137</f>
        <v xml:space="preserve"> </v>
      </c>
      <c r="F44" s="4" t="str">
        <f>AN137</f>
        <v>APPS 2</v>
      </c>
      <c r="G44" s="4" t="str">
        <f>AQ137</f>
        <v>APPS 2</v>
      </c>
      <c r="H44" s="4" t="str">
        <f>AT137</f>
        <v>APPS 2</v>
      </c>
      <c r="J44" s="99"/>
      <c r="K44" s="781" t="str">
        <f>IF(A44=" "," ",".")</f>
        <v>.</v>
      </c>
      <c r="L44" s="97"/>
      <c r="M44" s="97"/>
      <c r="N44" s="97"/>
      <c r="O44" s="39"/>
      <c r="P44" s="39"/>
      <c r="Q44" s="39"/>
      <c r="R44" s="39"/>
      <c r="S44" s="39"/>
      <c r="T44" s="39"/>
      <c r="U44" s="39"/>
      <c r="V44" s="39"/>
      <c r="W44" s="39"/>
    </row>
    <row r="45" spans="1:23" ht="13.5" customHeight="1" x14ac:dyDescent="0.2">
      <c r="A45" s="26"/>
      <c r="B45" s="4" t="str">
        <f>AB138</f>
        <v xml:space="preserve"> </v>
      </c>
      <c r="C45" s="554" t="str">
        <f>AE138</f>
        <v xml:space="preserve"> </v>
      </c>
      <c r="D45" s="554" t="str">
        <f>AH138</f>
        <v xml:space="preserve"> </v>
      </c>
      <c r="E45" s="4" t="str">
        <f>AK138</f>
        <v/>
      </c>
      <c r="F45" s="4" t="str">
        <f>AN138</f>
        <v xml:space="preserve"> </v>
      </c>
      <c r="G45" s="4" t="str">
        <f>AQ138</f>
        <v xml:space="preserve"> </v>
      </c>
      <c r="H45" s="4" t="str">
        <f>AT138</f>
        <v xml:space="preserve"> </v>
      </c>
      <c r="J45" s="99"/>
      <c r="K45" s="781" t="str">
        <f>IF(A44=" "," ",".")</f>
        <v>.</v>
      </c>
      <c r="L45" s="97"/>
      <c r="M45" s="97"/>
      <c r="N45" s="97"/>
      <c r="O45" s="39"/>
      <c r="P45" s="39"/>
      <c r="Q45" s="39"/>
      <c r="R45" s="39"/>
      <c r="S45" s="39"/>
      <c r="T45" s="39"/>
      <c r="U45" s="39"/>
      <c r="V45" s="39"/>
      <c r="W45" s="39"/>
    </row>
    <row r="46" spans="1:23" ht="13.5" customHeight="1" thickBot="1" x14ac:dyDescent="0.25">
      <c r="A46" s="28"/>
      <c r="B46" s="144"/>
      <c r="C46" s="555"/>
      <c r="D46" s="555"/>
      <c r="E46" s="144"/>
      <c r="F46" s="144"/>
      <c r="G46" s="144"/>
      <c r="H46" s="144"/>
      <c r="J46" s="99"/>
      <c r="K46" s="781" t="str">
        <f>IF(A44=" "," ",".")</f>
        <v>.</v>
      </c>
      <c r="L46" s="97"/>
      <c r="M46" s="97"/>
      <c r="N46" s="97"/>
      <c r="O46" s="39"/>
      <c r="P46" s="39"/>
      <c r="Q46" s="39"/>
      <c r="R46" s="39"/>
      <c r="S46" s="39"/>
      <c r="T46" s="39"/>
      <c r="U46" s="39"/>
      <c r="V46" s="39"/>
      <c r="W46" s="39"/>
    </row>
    <row r="47" spans="1:23" ht="13.5" customHeight="1" x14ac:dyDescent="0.2">
      <c r="A47" s="25"/>
      <c r="B47" s="154" t="str">
        <f>IF(OR(Schedule!F53=0,Schedule!F53=3,Schedule!F53="OT",Schedule!F53="3V",Schedule!F53="OTNV",Schedule!F53="OTV",Schedule!F53="3NV",Schedule!F53="3*",Schedule!F53="*3",Schedule!F53="2OTBT",Schedule!F53="4OTBT",Schedule!F53="2OTET",Schedule!F53="4OTET",Schedule!F53="*OTBT",Schedule!F53="*OTET")," ",Schedule!F53)</f>
        <v xml:space="preserve"> </v>
      </c>
      <c r="C47" s="154" t="str">
        <f>IF(OR(Schedule!G53=0,Schedule!G53=3,Schedule!G53="OT",Schedule!G53="3V",Schedule!G53="OTNV",Schedule!G53="OTV",Schedule!G53="3NV",Schedule!G53="3*",Schedule!G53="*3",Schedule!G53="2OTBT",Schedule!G53="4OTBT",Schedule!G53="2OTET",Schedule!G53="4OTET",Schedule!G53="*OTBT",Schedule!G53="*OTET")," ",Schedule!G53)</f>
        <v>NS</v>
      </c>
      <c r="D47" s="154" t="str">
        <f>IF(OR(Schedule!H53=0,Schedule!H53=3,Schedule!H53="OT",Schedule!H53="3V",Schedule!H53="OTNV",Schedule!H53="OTV",Schedule!H53="3NV",Schedule!H53="3*",Schedule!H53="*3",Schedule!H53="2OTBT",Schedule!H53="4OTBT",Schedule!H53="2OTET",Schedule!H53="4OTET",Schedule!H53="*OTBT",Schedule!H53="*OTET")," ",Schedule!H53)</f>
        <v>NS</v>
      </c>
      <c r="E47" s="154" t="str">
        <f>IF(OR(Schedule!I53=0,Schedule!I53=3,Schedule!I53="OT",Schedule!I53="3V",Schedule!I53="OTNV",Schedule!I53="OTV",Schedule!I53="3NV",Schedule!I53="3*",Schedule!I53="*3",Schedule!I53="2OTBT",Schedule!I53="4OTBT",Schedule!I53="2OTET",Schedule!I53="4OTET",Schedule!I53="*OTBT",Schedule!I53="*OTET")," ",Schedule!I53)</f>
        <v xml:space="preserve"> </v>
      </c>
      <c r="F47" s="154" t="str">
        <f>IF(OR(Schedule!J53=0,Schedule!J53=3,Schedule!J53="OT",Schedule!J53="3V",Schedule!J53="OTNV",Schedule!J53="OTV",Schedule!J53="3NV",Schedule!J53="3*",Schedule!J53="*3",Schedule!J53="2OTBT",Schedule!J53="4OTBT",Schedule!J53="2OTET",Schedule!J53="4OTET",Schedule!J53="*OTBT",Schedule!J53="*OTET")," ",Schedule!J53)</f>
        <v xml:space="preserve"> </v>
      </c>
      <c r="G47" s="154" t="str">
        <f>IF(OR(Schedule!K53=0,Schedule!K53=3,Schedule!K53="OT",Schedule!K53="3V",Schedule!K53="OTNV",Schedule!K53="OTV",Schedule!K53="3NV",Schedule!K53="3*",Schedule!K53="*3",Schedule!K53="2OTBT",Schedule!K53="4OTBT",Schedule!K53="2OTET",Schedule!K53="4OTET",Schedule!K53="*OTBT",Schedule!K53="*OTET")," ",Schedule!K53)</f>
        <v xml:space="preserve"> </v>
      </c>
      <c r="H47" s="154" t="str">
        <f>IF(OR(Schedule!L53=0,Schedule!L53=3,Schedule!L53="OT",Schedule!L53="3V",Schedule!L53="OTNV",Schedule!L53="OTV",Schedule!L53="3NV",Schedule!L53="3*",Schedule!L53="*3",Schedule!L53="2OTBT",Schedule!L53="4OTBT",Schedule!L53="2OTET",Schedule!L53="4OTET",Schedule!L53="*OTBT",Schedule!L53="*OTET")," ",Schedule!L53)</f>
        <v xml:space="preserve"> </v>
      </c>
      <c r="J47" s="99"/>
      <c r="K47" s="8" t="str">
        <f>IF(A48=" "," ",".")</f>
        <v>.</v>
      </c>
      <c r="L47" s="97"/>
      <c r="M47" s="97"/>
      <c r="N47" s="97"/>
      <c r="O47" s="39"/>
      <c r="P47" s="39"/>
      <c r="Q47" s="39"/>
      <c r="R47" s="39"/>
      <c r="S47" s="39"/>
      <c r="T47" s="39"/>
      <c r="U47" s="39"/>
      <c r="V47" s="39"/>
      <c r="W47" s="39"/>
    </row>
    <row r="48" spans="1:23" ht="13.5" customHeight="1" x14ac:dyDescent="0.2">
      <c r="A48" s="11" t="str">
        <f>'Master List'!C43</f>
        <v>F. TITUS</v>
      </c>
      <c r="B48" s="4" t="str">
        <f>AB140</f>
        <v>BATTERY ROOM</v>
      </c>
      <c r="C48" s="4" t="str">
        <f>AE140</f>
        <v xml:space="preserve"> </v>
      </c>
      <c r="D48" s="4" t="str">
        <f>AH140</f>
        <v xml:space="preserve"> </v>
      </c>
      <c r="E48" s="4" t="str">
        <f>AK140</f>
        <v>BATTERY ROOM</v>
      </c>
      <c r="F48" s="4" t="str">
        <f>AN140</f>
        <v>BATTERY ROOM</v>
      </c>
      <c r="G48" s="4" t="str">
        <f>AQ140</f>
        <v>BATTERY ROOM</v>
      </c>
      <c r="H48" s="4" t="str">
        <f>AT140</f>
        <v>BATTERY ROOM</v>
      </c>
      <c r="J48" s="99"/>
      <c r="K48" s="8" t="str">
        <f>IF(A48=" "," ",".")</f>
        <v>.</v>
      </c>
      <c r="L48" s="97"/>
      <c r="M48" s="97"/>
      <c r="N48" s="97"/>
      <c r="O48" s="39"/>
      <c r="P48" s="39"/>
      <c r="Q48" s="39"/>
      <c r="R48" s="39"/>
      <c r="S48" s="39"/>
      <c r="T48" s="39"/>
      <c r="U48" s="39"/>
      <c r="V48" s="39"/>
      <c r="W48" s="39"/>
    </row>
    <row r="49" spans="1:23" ht="13.5" customHeight="1" x14ac:dyDescent="0.2">
      <c r="A49" s="26"/>
      <c r="B49" s="4" t="str">
        <f>AB141</f>
        <v xml:space="preserve"> </v>
      </c>
      <c r="C49" s="4" t="str">
        <f>AE141</f>
        <v/>
      </c>
      <c r="D49" s="4" t="str">
        <f>AH141</f>
        <v/>
      </c>
      <c r="E49" s="4" t="str">
        <f>AK141</f>
        <v xml:space="preserve"> </v>
      </c>
      <c r="F49" s="4" t="str">
        <f>AN141</f>
        <v xml:space="preserve"> </v>
      </c>
      <c r="G49" s="4" t="str">
        <f>AQ141</f>
        <v xml:space="preserve"> </v>
      </c>
      <c r="H49" s="4" t="str">
        <f>AT141</f>
        <v xml:space="preserve"> </v>
      </c>
      <c r="J49" s="99"/>
      <c r="K49" s="8" t="str">
        <f>IF(A48=" "," ",".")</f>
        <v>.</v>
      </c>
      <c r="L49" s="97"/>
      <c r="M49" s="97"/>
      <c r="N49" s="97"/>
      <c r="O49" s="39"/>
      <c r="P49" s="39"/>
      <c r="Q49" s="39"/>
      <c r="R49" s="39"/>
      <c r="S49" s="39"/>
      <c r="T49" s="39"/>
      <c r="U49" s="39"/>
      <c r="V49" s="39"/>
      <c r="W49" s="39"/>
    </row>
    <row r="50" spans="1:23" ht="13.5" customHeight="1" thickBot="1" x14ac:dyDescent="0.25">
      <c r="A50" s="28"/>
      <c r="B50" s="144"/>
      <c r="C50" s="144"/>
      <c r="D50" s="144"/>
      <c r="E50" s="144"/>
      <c r="F50" s="144"/>
      <c r="G50" s="144"/>
      <c r="H50" s="144"/>
      <c r="J50" s="99"/>
      <c r="K50" s="8" t="str">
        <f>IF(A48=" "," ",".")</f>
        <v>.</v>
      </c>
      <c r="L50" s="97"/>
      <c r="M50" s="97"/>
      <c r="N50" s="97"/>
      <c r="O50" s="39"/>
      <c r="P50" s="39"/>
      <c r="Q50" s="39"/>
      <c r="R50" s="39"/>
      <c r="S50" s="39"/>
      <c r="T50" s="39"/>
      <c r="U50" s="39"/>
      <c r="V50" s="39"/>
      <c r="W50" s="39"/>
    </row>
    <row r="51" spans="1:23" ht="13.5" customHeight="1" x14ac:dyDescent="0.25">
      <c r="A51" s="25"/>
      <c r="B51" s="154" t="str">
        <f>IF(OR(Schedule!F54=0,Schedule!F54=3,Schedule!F54="OT",Schedule!F54="3V",Schedule!F54="OTNV",Schedule!F54="OTV",Schedule!F54="3NV",Schedule!F54="3*",Schedule!F54="*3",Schedule!F54="2OTBT",Schedule!F54="4OTBT",Schedule!F54="2OTET",Schedule!F54="4OTET",Schedule!F54="*OTBT",Schedule!F54="*OTET")," ",Schedule!F54)</f>
        <v xml:space="preserve"> </v>
      </c>
      <c r="C51" s="154" t="str">
        <f>IF(OR(Schedule!G54=0,Schedule!G54=3,Schedule!G54="OT",Schedule!G54="3V",Schedule!G54="OTNV",Schedule!G54="OTV",Schedule!G54="3NV",Schedule!G54="3*",Schedule!G54="*3",Schedule!G54="2OTBT",Schedule!G54="4OTBT",Schedule!G54="2OTET",Schedule!G54="4OTET",Schedule!G54="*OTBT",Schedule!G54="*OTET")," ",Schedule!G54)</f>
        <v>NS</v>
      </c>
      <c r="D51" s="154" t="str">
        <f>IF(OR(Schedule!H54=0,Schedule!H54=3,Schedule!H54="OT",Schedule!H54="3V",Schedule!H54="OTNV",Schedule!H54="OTV",Schedule!H54="3NV",Schedule!H54="3*",Schedule!H54="*3",Schedule!H54="2OTBT",Schedule!H54="4OTBT",Schedule!H54="2OTET",Schedule!H54="4OTET",Schedule!H54="*OTBT",Schedule!H54="*OTET")," ",Schedule!H54)</f>
        <v xml:space="preserve"> </v>
      </c>
      <c r="E51" s="154" t="str">
        <f>IF(OR(Schedule!I54=0,Schedule!I54=3,Schedule!I54="OT",Schedule!I54="3V",Schedule!I54="OTNV",Schedule!I54="OTV",Schedule!I54="3NV",Schedule!I54="3*",Schedule!I54="*3",Schedule!I54="2OTBT",Schedule!I54="4OTBT",Schedule!I54="2OTET",Schedule!I54="4OTET",Schedule!I54="*OTBT",Schedule!I54="*OTET")," ",Schedule!I54)</f>
        <v xml:space="preserve"> </v>
      </c>
      <c r="F51" s="154" t="str">
        <f>IF(OR(Schedule!J54=0,Schedule!J54=3,Schedule!J54="OT",Schedule!J54="3V",Schedule!J54="OTNV",Schedule!J54="OTV",Schedule!J54="3NV",Schedule!J54="3*",Schedule!J54="*3",Schedule!J54="2OTBT",Schedule!J54="4OTBT",Schedule!J54="2OTET",Schedule!J54="4OTET",Schedule!J54="*OTBT",Schedule!J54="*OTET")," ",Schedule!J54)</f>
        <v xml:space="preserve"> </v>
      </c>
      <c r="G51" s="154" t="str">
        <f>IF(OR(Schedule!K54=0,Schedule!K54=3,Schedule!K54="OT",Schedule!K54="3V",Schedule!K54="OTNV",Schedule!K54="OTV",Schedule!K54="3NV",Schedule!K54="3*",Schedule!K54="*3",Schedule!K54="2OTBT",Schedule!K54="4OTBT",Schedule!K54="2OTET",Schedule!K54="4OTET",Schedule!K54="*OTBT",Schedule!K54="*OTET")," ",Schedule!K54)</f>
        <v xml:space="preserve"> </v>
      </c>
      <c r="H51" s="154" t="str">
        <f>IF(OR(Schedule!L54=0,Schedule!L54=3,Schedule!L54="OT",Schedule!L54="3V",Schedule!L54="OTNV",Schedule!L54="OTV",Schedule!L54="3NV",Schedule!L54="3*",Schedule!L54="*3",Schedule!L54="2OTBT",Schedule!L54="4OTBT",Schedule!L54="2OTET",Schedule!L54="4OTET",Schedule!L54="*OTBT",Schedule!L54="*OTET")," ",Schedule!L54)</f>
        <v xml:space="preserve"> </v>
      </c>
      <c r="J51" s="99"/>
      <c r="K51" s="8" t="str">
        <f>IF(A52=" "," ",".")</f>
        <v>.</v>
      </c>
      <c r="L51" s="97"/>
      <c r="M51" s="97"/>
      <c r="N51" s="97"/>
      <c r="O51" s="39"/>
      <c r="P51" s="39"/>
      <c r="Q51" s="39"/>
      <c r="R51" s="39"/>
      <c r="S51" s="142"/>
      <c r="T51" s="39"/>
      <c r="U51" s="39"/>
      <c r="V51" s="39"/>
      <c r="W51" s="39"/>
    </row>
    <row r="52" spans="1:23" ht="13.5" customHeight="1" x14ac:dyDescent="0.25">
      <c r="A52" s="11" t="str">
        <f>'Master List'!C44</f>
        <v>M. RAY</v>
      </c>
      <c r="B52" s="4" t="str">
        <f>AB143</f>
        <v>DBCS</v>
      </c>
      <c r="C52" s="4" t="str">
        <f>AE143</f>
        <v xml:space="preserve"> </v>
      </c>
      <c r="D52" s="4" t="str">
        <f>AH143</f>
        <v>DBCS</v>
      </c>
      <c r="E52" s="4" t="str">
        <f>AK143</f>
        <v>DBCS</v>
      </c>
      <c r="F52" s="4" t="str">
        <f>AN143</f>
        <v>DBCS</v>
      </c>
      <c r="G52" s="4" t="str">
        <f>AQ143</f>
        <v>DBCS</v>
      </c>
      <c r="H52" s="616" t="str">
        <f>AT143</f>
        <v>DBCS</v>
      </c>
      <c r="J52" s="99"/>
      <c r="K52" s="8" t="str">
        <f>IF(A52=" "," ",".")</f>
        <v>.</v>
      </c>
      <c r="L52" s="97"/>
      <c r="M52" s="97"/>
      <c r="N52" s="97"/>
      <c r="O52" s="39"/>
      <c r="P52" s="39"/>
      <c r="Q52" s="39"/>
      <c r="R52" s="39"/>
      <c r="S52" s="142"/>
      <c r="T52" s="39"/>
      <c r="U52" s="39"/>
      <c r="V52" s="39"/>
      <c r="W52" s="39"/>
    </row>
    <row r="53" spans="1:23" ht="13.5" customHeight="1" x14ac:dyDescent="0.2">
      <c r="A53" s="26"/>
      <c r="B53" s="4" t="str">
        <f>AB144</f>
        <v>BATTERY ROOM</v>
      </c>
      <c r="C53" s="4" t="str">
        <f>AE144</f>
        <v/>
      </c>
      <c r="D53" s="4" t="str">
        <f>AH144</f>
        <v>BATTERY ROOM</v>
      </c>
      <c r="E53" s="4" t="str">
        <f>AK144</f>
        <v>BATTERY ROOM</v>
      </c>
      <c r="F53" s="4" t="str">
        <f>AN144</f>
        <v>BATTERY ROOM</v>
      </c>
      <c r="G53" s="4" t="str">
        <f>AQ144</f>
        <v>BATTERY ROOM</v>
      </c>
      <c r="H53" s="616" t="str">
        <f>AT144</f>
        <v>BATTERY ROOM</v>
      </c>
      <c r="J53" s="99"/>
      <c r="K53" s="8" t="str">
        <f>IF(A52=" "," ",".")</f>
        <v>.</v>
      </c>
      <c r="L53" s="97"/>
      <c r="M53" s="97"/>
      <c r="N53" s="97"/>
      <c r="O53" s="39"/>
      <c r="P53" s="39"/>
      <c r="Q53" s="39"/>
      <c r="R53" s="39"/>
      <c r="S53" s="39"/>
      <c r="T53" s="39"/>
      <c r="U53" s="39"/>
      <c r="V53" s="39"/>
      <c r="W53" s="39"/>
    </row>
    <row r="54" spans="1:23" ht="13.5" customHeight="1" thickBot="1" x14ac:dyDescent="0.25">
      <c r="A54" s="28"/>
      <c r="B54" s="144"/>
      <c r="C54" s="144"/>
      <c r="D54" s="144"/>
      <c r="E54" s="144"/>
      <c r="F54" s="144"/>
      <c r="G54" s="144"/>
      <c r="H54" s="144"/>
      <c r="J54" s="99"/>
      <c r="K54" s="8" t="str">
        <f>IF(A52=" "," ",".")</f>
        <v>.</v>
      </c>
      <c r="L54" s="97"/>
      <c r="M54" s="97"/>
      <c r="N54" s="97"/>
      <c r="O54" s="39"/>
      <c r="P54" s="39"/>
      <c r="Q54" s="39"/>
      <c r="R54" s="39"/>
      <c r="S54" s="39"/>
    </row>
    <row r="55" spans="1:23" ht="13.5" customHeight="1" x14ac:dyDescent="0.2">
      <c r="A55" s="176"/>
      <c r="B55" s="154" t="str">
        <f>IF(OR(Schedule!F55=0,Schedule!F55=3,Schedule!F55="OT",Schedule!F55="3V",Schedule!F55="OTNV",Schedule!F55="OTV",Schedule!F55="3NV",Schedule!F55="3*",Schedule!F55="*3",Schedule!F55="2OTBT",Schedule!F55="4OTBT",Schedule!F55="2OTET",Schedule!F55="4OTET",Schedule!F55="*OTBT",Schedule!F55="*OTET")," ",Schedule!F55)</f>
        <v>NS</v>
      </c>
      <c r="C55" s="154" t="str">
        <f>IF(OR(Schedule!G55=0,Schedule!G55=3,Schedule!G55="OT",Schedule!G55="3V",Schedule!G55="OTNV",Schedule!G55="OTV",Schedule!G55="3NV",Schedule!G55="3*",Schedule!G55="*3",Schedule!G55="2OTBT",Schedule!G55="4OTBT",Schedule!G55="2OTET",Schedule!G55="4OTET",Schedule!G55="*OTBT",Schedule!G55="*OTET")," ",Schedule!G55)</f>
        <v>*</v>
      </c>
      <c r="D55" s="154" t="str">
        <f>IF(OR(Schedule!H55=0,Schedule!H55=3,Schedule!H55="OT",Schedule!H55="3V",Schedule!H55="OTNV",Schedule!H55="OTV",Schedule!H55="3NV",Schedule!H55="3*",Schedule!H55="*3",Schedule!H55="2OTBT",Schedule!H55="4OTBT",Schedule!H55="2OTET",Schedule!H55="4OTET",Schedule!H55="*OTBT",Schedule!H55="*OTET")," ",Schedule!H55)</f>
        <v>*</v>
      </c>
      <c r="E55" s="154" t="str">
        <f>IF(OR(Schedule!I55=0,Schedule!I55=3,Schedule!I55="OT",Schedule!I55="3V",Schedule!I55="OTNV",Schedule!I55="OTV",Schedule!I55="3NV",Schedule!I55="3*",Schedule!I55="*3",Schedule!I55="2OTBT",Schedule!I55="4OTBT",Schedule!I55="2OTET",Schedule!I55="4OTET",Schedule!I55="*OTBT",Schedule!I55="*OTET")," ",Schedule!I55)</f>
        <v>*</v>
      </c>
      <c r="F55" s="154" t="str">
        <f>IF(OR(Schedule!J55=0,Schedule!J55=3,Schedule!J55="OT",Schedule!J55="3V",Schedule!J55="OTNV",Schedule!J55="OTV",Schedule!J55="3NV",Schedule!J55="3*",Schedule!J55="*3",Schedule!J55="2OTBT",Schedule!J55="4OTBT",Schedule!J55="2OTET",Schedule!J55="4OTET",Schedule!J55="*OTBT",Schedule!J55="*OTET")," ",Schedule!J55)</f>
        <v>*</v>
      </c>
      <c r="G55" s="154" t="str">
        <f>IF(OR(Schedule!K55=0,Schedule!K55=3,Schedule!K55="OT",Schedule!K55="3V",Schedule!K55="OTNV",Schedule!K55="OTV",Schedule!K55="3NV",Schedule!K55="3*",Schedule!K55="*3",Schedule!K55="2OTBT",Schedule!K55="4OTBT",Schedule!K55="2OTET",Schedule!K55="4OTET",Schedule!K55="*OTBT",Schedule!K55="*OTET")," ",Schedule!K55)</f>
        <v>*</v>
      </c>
      <c r="H55" s="154" t="str">
        <f>IF(OR(Schedule!L55=0,Schedule!L55=3,Schedule!L55="OT",Schedule!L55="3V",Schedule!L55="OTNV",Schedule!L55="OTV",Schedule!L55="3NV",Schedule!L55="3*",Schedule!L55="*3",Schedule!L55="2OTBT",Schedule!L55="4OTBT",Schedule!L55="2OTET",Schedule!L55="4OTET",Schedule!L55="*OTBT",Schedule!L55="*OTET")," ",Schedule!L55)</f>
        <v>NS</v>
      </c>
      <c r="J55" s="99"/>
      <c r="K55" s="8" t="str">
        <f>IF(A56=" "," ",".")</f>
        <v>.</v>
      </c>
      <c r="L55" s="97"/>
      <c r="M55" s="97"/>
      <c r="N55" s="97"/>
      <c r="O55" s="39"/>
      <c r="P55" s="39"/>
      <c r="Q55" s="39"/>
      <c r="R55" s="39"/>
      <c r="S55" s="39"/>
    </row>
    <row r="56" spans="1:23" ht="13.5" customHeight="1" x14ac:dyDescent="0.2">
      <c r="A56" s="11" t="str">
        <f>'Master List'!C45</f>
        <v>M. ALLEN</v>
      </c>
      <c r="B56" s="4" t="str">
        <f>AB146</f>
        <v xml:space="preserve"> </v>
      </c>
      <c r="C56" s="616" t="str">
        <f>AE146</f>
        <v xml:space="preserve"> </v>
      </c>
      <c r="D56" s="4" t="str">
        <f>AH146</f>
        <v xml:space="preserve"> </v>
      </c>
      <c r="E56" s="4" t="str">
        <f>AK146</f>
        <v xml:space="preserve"> </v>
      </c>
      <c r="F56" s="4" t="str">
        <f>AN146</f>
        <v xml:space="preserve"> </v>
      </c>
      <c r="G56" s="4" t="str">
        <f>AQ146</f>
        <v xml:space="preserve"> </v>
      </c>
      <c r="H56" s="616" t="str">
        <f>AT146</f>
        <v xml:space="preserve"> </v>
      </c>
      <c r="J56" s="99"/>
      <c r="K56" s="8" t="str">
        <f>IF(A56=" "," ",".")</f>
        <v>.</v>
      </c>
      <c r="L56" s="97"/>
      <c r="M56" s="97"/>
      <c r="N56" s="97"/>
      <c r="O56" s="39"/>
      <c r="P56" s="39"/>
      <c r="Q56" s="39"/>
      <c r="R56" s="39"/>
      <c r="S56" s="39"/>
    </row>
    <row r="57" spans="1:23" ht="13.5" customHeight="1" x14ac:dyDescent="0.2">
      <c r="A57" s="176"/>
      <c r="B57" s="4" t="str">
        <f>AB147</f>
        <v/>
      </c>
      <c r="C57" s="616" t="str">
        <f>AE147</f>
        <v/>
      </c>
      <c r="D57" s="4" t="str">
        <f>AH147</f>
        <v/>
      </c>
      <c r="E57" s="4" t="str">
        <f>AK147</f>
        <v/>
      </c>
      <c r="F57" s="4" t="str">
        <f>AN147</f>
        <v/>
      </c>
      <c r="G57" s="4" t="str">
        <f>AQ147</f>
        <v/>
      </c>
      <c r="H57" s="616" t="str">
        <f>AT147</f>
        <v/>
      </c>
      <c r="J57" s="99"/>
      <c r="K57" s="8" t="str">
        <f>IF(A56=" "," ",".")</f>
        <v>.</v>
      </c>
      <c r="L57" s="97"/>
      <c r="M57" s="97"/>
      <c r="N57" s="97"/>
      <c r="O57" s="39"/>
      <c r="P57" s="39"/>
      <c r="Q57" s="39"/>
      <c r="R57" s="39"/>
      <c r="S57" s="39"/>
    </row>
    <row r="58" spans="1:23" ht="13.5" customHeight="1" thickBot="1" x14ac:dyDescent="0.25">
      <c r="A58" s="176"/>
      <c r="B58" s="155"/>
      <c r="C58" s="155"/>
      <c r="D58" s="155"/>
      <c r="E58" s="155"/>
      <c r="F58" s="155"/>
      <c r="G58" s="155"/>
      <c r="H58" s="155"/>
      <c r="J58" s="99"/>
      <c r="K58" s="8" t="str">
        <f>IF(A56=" "," ",".")</f>
        <v>.</v>
      </c>
      <c r="L58" s="97"/>
      <c r="M58" s="97"/>
      <c r="N58" s="97"/>
      <c r="O58" s="39"/>
      <c r="P58" s="39"/>
      <c r="Q58" s="39"/>
      <c r="R58" s="39"/>
      <c r="S58" s="39"/>
    </row>
    <row r="59" spans="1:23" ht="13.5" customHeight="1" x14ac:dyDescent="0.2">
      <c r="A59" s="544"/>
      <c r="B59" s="154" t="str">
        <f>IF(OR(Schedule!F56=0,Schedule!F56=3,Schedule!F56="OT",Schedule!F56="3V",Schedule!F56="OTNV",Schedule!F56="OTV",Schedule!F56="3NV",Schedule!F56="3*",Schedule!F56="*3",Schedule!F56="2OTBT",Schedule!F56="4OTBT",Schedule!F56="2OTET",Schedule!F56="4OTET",Schedule!F56="*OTBT",Schedule!F56="*OTET")," ",Schedule!F56)</f>
        <v xml:space="preserve"> </v>
      </c>
      <c r="C59" s="154" t="str">
        <f>IF(OR(Schedule!G56=0,Schedule!G56=3,Schedule!G56="OT",Schedule!G56="3V",Schedule!G56="OTNV",Schedule!G56="OTV",Schedule!G56="3NV",Schedule!G56="3*",Schedule!G56="*3",Schedule!G56="2OTBT",Schedule!G56="4OTBT",Schedule!G56="2OTET",Schedule!G56="4OTET",Schedule!G56="*OTBT",Schedule!G56="*OTET")," ",Schedule!G56)</f>
        <v xml:space="preserve"> </v>
      </c>
      <c r="D59" s="154" t="str">
        <f>IF(OR(Schedule!H56=0,Schedule!H56=3,Schedule!H56="OT",Schedule!H56="3V",Schedule!H56="OTNV",Schedule!H56="OTV",Schedule!H56="3NV",Schedule!H56="3*",Schedule!H56="*3",Schedule!H56="2OTBT",Schedule!H56="4OTBT",Schedule!H56="2OTET",Schedule!H56="4OTET",Schedule!H56="*OTBT",Schedule!H56="*OTET")," ",Schedule!H56)</f>
        <v xml:space="preserve"> </v>
      </c>
      <c r="E59" s="154" t="str">
        <f>IF(OR(Schedule!I56=0,Schedule!I56=3,Schedule!I56="OT",Schedule!I56="3V",Schedule!I56="OTNV",Schedule!I56="OTV",Schedule!I56="3NV",Schedule!I56="3*",Schedule!I56="*3",Schedule!I56="2OTBT",Schedule!I56="4OTBT",Schedule!I56="2OTET",Schedule!I56="4OTET",Schedule!I56="*OTBT",Schedule!I56="*OTET")," ",Schedule!I56)</f>
        <v xml:space="preserve"> </v>
      </c>
      <c r="F59" s="154" t="str">
        <f>IF(OR(Schedule!J56=0,Schedule!J56=3,Schedule!J56="OT",Schedule!J56="3V",Schedule!J56="OTNV",Schedule!J56="OTV",Schedule!J56="3NV",Schedule!J56="3*",Schedule!J56="*3",Schedule!J56="2OTBT",Schedule!J56="4OTBT",Schedule!J56="2OTET",Schedule!J56="4OTET",Schedule!J56="*OTBT",Schedule!J56="*OTET")," ",Schedule!J56)</f>
        <v>NS</v>
      </c>
      <c r="G59" s="154" t="str">
        <f>IF(OR(Schedule!K56=0,Schedule!K56=3,Schedule!K56="OT",Schedule!K56="3V",Schedule!K56="OTNV",Schedule!K56="OTV",Schedule!K56="3NV",Schedule!K56="3*",Schedule!K56="*3",Schedule!K56="2OTBT",Schedule!K56="4OTBT",Schedule!K56="2OTET",Schedule!K56="4OTET",Schedule!K56="*OTBT",Schedule!K56="*OTET")," ",Schedule!K56)</f>
        <v xml:space="preserve"> </v>
      </c>
      <c r="H59" s="154" t="str">
        <f>IF(OR(Schedule!L56=0,Schedule!L56=3,Schedule!L56="OT",Schedule!L56="3V",Schedule!L56="OTNV",Schedule!L56="OTV",Schedule!L56="3NV",Schedule!L56="3*",Schedule!L56="*3",Schedule!L56="2OTBT",Schedule!L56="4OTBT",Schedule!L56="2OTET",Schedule!L56="4OTET",Schedule!L56="*OTBT",Schedule!L56="*OTET")," ",Schedule!L56)</f>
        <v xml:space="preserve"> </v>
      </c>
      <c r="J59" s="99"/>
      <c r="K59" s="8" t="str">
        <f>IF(A60=" "," ",".")</f>
        <v>.</v>
      </c>
      <c r="L59" s="97"/>
      <c r="M59" s="97"/>
      <c r="N59" s="97"/>
      <c r="O59" s="39"/>
      <c r="P59" s="39"/>
      <c r="Q59" s="39"/>
      <c r="R59" s="39"/>
      <c r="S59" s="39"/>
    </row>
    <row r="60" spans="1:23" ht="13.5" customHeight="1" x14ac:dyDescent="0.2">
      <c r="A60" s="11" t="str">
        <f>'Master List'!C46</f>
        <v>R. MALONE</v>
      </c>
      <c r="B60" s="4" t="str">
        <f>AB149</f>
        <v>APPS 1</v>
      </c>
      <c r="C60" s="4" t="str">
        <f>AE149</f>
        <v>APPS 1</v>
      </c>
      <c r="D60" s="4" t="str">
        <f>AH149</f>
        <v>APPS 2</v>
      </c>
      <c r="E60" s="4" t="str">
        <f>AK149</f>
        <v>APPS 2</v>
      </c>
      <c r="F60" s="4" t="str">
        <f>AN149</f>
        <v xml:space="preserve"> </v>
      </c>
      <c r="G60" s="4" t="str">
        <f>AQ149</f>
        <v>APPS 2</v>
      </c>
      <c r="H60" s="4" t="str">
        <f>AT149</f>
        <v>APPS 2</v>
      </c>
      <c r="J60" s="99"/>
      <c r="K60" s="8" t="str">
        <f>IF(A60=" "," ",".")</f>
        <v>.</v>
      </c>
      <c r="L60" s="97"/>
      <c r="M60" s="97"/>
      <c r="N60" s="97"/>
      <c r="O60" s="39"/>
      <c r="P60" s="39"/>
      <c r="Q60" s="39"/>
      <c r="R60" s="39"/>
      <c r="S60" s="39"/>
    </row>
    <row r="61" spans="1:23" ht="13.5" customHeight="1" x14ac:dyDescent="0.2">
      <c r="A61" s="26"/>
      <c r="B61" s="4" t="str">
        <f>AB150</f>
        <v xml:space="preserve"> </v>
      </c>
      <c r="C61" s="4" t="str">
        <f>AE150</f>
        <v xml:space="preserve"> </v>
      </c>
      <c r="D61" s="4" t="str">
        <f>AH150</f>
        <v xml:space="preserve"> </v>
      </c>
      <c r="E61" s="4" t="str">
        <f>AK150</f>
        <v xml:space="preserve"> </v>
      </c>
      <c r="F61" s="4" t="str">
        <f>AN150</f>
        <v/>
      </c>
      <c r="G61" s="4" t="str">
        <f>AQ150</f>
        <v xml:space="preserve"> </v>
      </c>
      <c r="H61" s="4" t="str">
        <f>AT150</f>
        <v xml:space="preserve"> </v>
      </c>
      <c r="J61" s="99"/>
      <c r="K61" s="8" t="str">
        <f>IF(A60=" "," ",".")</f>
        <v>.</v>
      </c>
      <c r="L61" s="97"/>
      <c r="M61" s="97"/>
      <c r="N61" s="97"/>
      <c r="O61" s="39"/>
      <c r="P61" s="39"/>
      <c r="Q61" s="39"/>
      <c r="R61" s="39"/>
      <c r="S61" s="39"/>
    </row>
    <row r="62" spans="1:23" ht="13.5" customHeight="1" thickBot="1" x14ac:dyDescent="0.25">
      <c r="A62" s="28"/>
      <c r="B62" s="42"/>
      <c r="C62" s="42"/>
      <c r="D62" s="42"/>
      <c r="E62" s="42"/>
      <c r="F62" s="42"/>
      <c r="G62" s="42"/>
      <c r="H62" s="42"/>
      <c r="J62" s="99"/>
      <c r="K62" s="8" t="str">
        <f>IF(A60=" "," ",".")</f>
        <v>.</v>
      </c>
      <c r="N62" s="97"/>
      <c r="O62" s="39"/>
      <c r="P62" s="39"/>
      <c r="Q62" s="39"/>
      <c r="R62" s="39"/>
      <c r="S62" s="39"/>
    </row>
    <row r="63" spans="1:23" ht="13.5" customHeight="1" x14ac:dyDescent="0.25">
      <c r="A63" s="25"/>
      <c r="B63" s="154" t="str">
        <f>IF(OR(Schedule!F57=0,Schedule!F57=3,Schedule!F57="OT",Schedule!F57="3V",Schedule!F57="OTNV",Schedule!F57="OTV",Schedule!F57="3NV",Schedule!F57="3*",Schedule!F57="*3",Schedule!F57="2OTBT",Schedule!F57="4OTBT",Schedule!F57="2OTET",Schedule!F57="4OTET",Schedule!F57="*OTBT",Schedule!F57="*OTET")," ",Schedule!F57)</f>
        <v xml:space="preserve"> </v>
      </c>
      <c r="C63" s="154" t="str">
        <f>IF(OR(Schedule!G57=0,Schedule!G57=3,Schedule!G57="OT",Schedule!G57="3V",Schedule!G57="OTNV",Schedule!G57="OTV",Schedule!G57="3NV",Schedule!G57="3*",Schedule!G57="*3",Schedule!G57="2OTBT",Schedule!G57="4OTBT",Schedule!G57="2OTET",Schedule!G57="4OTET",Schedule!G57="*OTBT",Schedule!G57="*OTET")," ",Schedule!G57)</f>
        <v>NS</v>
      </c>
      <c r="D63" s="154" t="str">
        <f>IF(OR(Schedule!H57=0,Schedule!H57=3,Schedule!H57="OT",Schedule!H57="3V",Schedule!H57="OTNV",Schedule!H57="OTV",Schedule!H57="3NV",Schedule!H57="3*",Schedule!H57="*3",Schedule!H57="2OTBT",Schedule!H57="4OTBT",Schedule!H57="2OTET",Schedule!H57="4OTET",Schedule!H57="*OTBT",Schedule!H57="*OTET")," ",Schedule!H57)</f>
        <v xml:space="preserve"> </v>
      </c>
      <c r="E63" s="154" t="str">
        <f>IF(OR(Schedule!I57=0,Schedule!I57=3,Schedule!I57="OT",Schedule!I57="3V",Schedule!I57="OTNV",Schedule!I57="OTV",Schedule!I57="3NV",Schedule!I57="3*",Schedule!I57="*3",Schedule!I57="2OTBT",Schedule!I57="4OTBT",Schedule!I57="2OTET",Schedule!I57="4OTET",Schedule!I57="*OTBT",Schedule!I57="*OTET")," ",Schedule!I57)</f>
        <v xml:space="preserve"> </v>
      </c>
      <c r="F63" s="154" t="str">
        <f>IF(OR(Schedule!J57=0,Schedule!J57=3,Schedule!J57="OT",Schedule!J57="3V",Schedule!J57="OTNV",Schedule!J57="OTV",Schedule!J57="3NV",Schedule!J57="3*",Schedule!J57="*3",Schedule!J57="2OTBT",Schedule!J57="4OTBT",Schedule!J57="2OTET",Schedule!J57="4OTET",Schedule!J57="*OTBT",Schedule!J57="*OTET")," ",Schedule!J57)</f>
        <v xml:space="preserve"> </v>
      </c>
      <c r="G63" s="154" t="str">
        <f>IF(OR(Schedule!K57=0,Schedule!K57=3,Schedule!K57="OT",Schedule!K57="3V",Schedule!K57="OTNV",Schedule!K57="OTV",Schedule!K57="3NV",Schedule!K57="3*",Schedule!K57="*3",Schedule!K57="2OTBT",Schedule!K57="4OTBT",Schedule!K57="2OTET",Schedule!K57="4OTET",Schedule!K57="*OTBT",Schedule!K57="*OTET")," ",Schedule!K57)</f>
        <v xml:space="preserve"> </v>
      </c>
      <c r="H63" s="154" t="str">
        <f>IF(OR(Schedule!L57=0,Schedule!L57=3,Schedule!L57="OT",Schedule!L57="3V",Schedule!L57="OTNV",Schedule!L57="OTV",Schedule!L57="3NV",Schedule!L57="3*",Schedule!L57="*3",Schedule!L57="2OTBT",Schedule!L57="4OTBT",Schedule!L57="2OTET",Schedule!L57="4OTET",Schedule!L57="*OTBT",Schedule!L57="*OTET")," ",Schedule!L57)</f>
        <v xml:space="preserve"> </v>
      </c>
      <c r="J63" s="99"/>
      <c r="K63" s="781" t="str">
        <f>IF(A64=" "," ",".")</f>
        <v>.</v>
      </c>
      <c r="M63" s="139"/>
    </row>
    <row r="64" spans="1:23" ht="13.5" customHeight="1" x14ac:dyDescent="0.25">
      <c r="A64" s="11" t="str">
        <f>'Master List'!C47</f>
        <v>D. SMITH</v>
      </c>
      <c r="B64" s="4" t="str">
        <f>AB152</f>
        <v>010/CFS</v>
      </c>
      <c r="C64" s="4" t="str">
        <f>AE152</f>
        <v xml:space="preserve"> </v>
      </c>
      <c r="D64" s="4" t="str">
        <f>AH152</f>
        <v>010/CFS</v>
      </c>
      <c r="E64" s="4" t="str">
        <f>AK152</f>
        <v>010/CFS</v>
      </c>
      <c r="F64" s="4" t="str">
        <f>AN152</f>
        <v>010/CFS</v>
      </c>
      <c r="G64" s="4" t="str">
        <f>AQ152</f>
        <v>010/CFS</v>
      </c>
      <c r="H64" s="4" t="str">
        <f>AT152</f>
        <v>010/CFS</v>
      </c>
      <c r="J64" s="99"/>
      <c r="K64" s="781" t="str">
        <f>IF(A64=" "," ",".")</f>
        <v>.</v>
      </c>
      <c r="M64" s="139"/>
    </row>
    <row r="65" spans="1:23" ht="13.5" customHeight="1" x14ac:dyDescent="0.25">
      <c r="A65" s="26"/>
      <c r="B65" s="4" t="str">
        <f>AB153</f>
        <v>TROUBLE CALLS</v>
      </c>
      <c r="C65" s="4" t="str">
        <f>AE153</f>
        <v/>
      </c>
      <c r="D65" s="4" t="str">
        <f>AH153</f>
        <v>TROUBLE CALLS</v>
      </c>
      <c r="E65" s="4" t="str">
        <f>AK153</f>
        <v>TROUBLE CALLS</v>
      </c>
      <c r="F65" s="4" t="str">
        <f>AN153</f>
        <v>TROUBLE CALLS</v>
      </c>
      <c r="G65" s="4" t="str">
        <f>AQ153</f>
        <v>TROUBLE CALLS</v>
      </c>
      <c r="H65" s="4" t="str">
        <f>AT153</f>
        <v>TROUBLE CALLS</v>
      </c>
      <c r="J65" s="99"/>
      <c r="K65" s="781" t="str">
        <f>IF(A64=" "," ",".")</f>
        <v>.</v>
      </c>
      <c r="M65" s="139"/>
    </row>
    <row r="66" spans="1:23" ht="13.5" customHeight="1" thickBot="1" x14ac:dyDescent="0.25">
      <c r="A66" s="28"/>
      <c r="B66" s="42"/>
      <c r="C66" s="42"/>
      <c r="D66" s="42"/>
      <c r="E66" s="42"/>
      <c r="F66" s="42"/>
      <c r="G66" s="42"/>
      <c r="H66" s="42"/>
      <c r="J66" s="99"/>
      <c r="K66" s="781" t="str">
        <f>IF(A64=" "," ",".")</f>
        <v>.</v>
      </c>
      <c r="M66" s="99"/>
    </row>
    <row r="67" spans="1:23" ht="13.5" customHeight="1" x14ac:dyDescent="0.2">
      <c r="A67" s="175"/>
      <c r="B67" s="154" t="str">
        <f>IF(OR(Schedule!F58=0,Schedule!F58=3,Schedule!F58="OT",Schedule!F58="3V",Schedule!F58="OTNV",Schedule!F58="OTV",Schedule!F58="3NV",Schedule!F58="3*",Schedule!F58="*3",Schedule!F58="2OTBT",Schedule!F58="4OTBT",Schedule!F58="2OTET",Schedule!F58="4OTET",Schedule!F58="*OTBT",Schedule!F58="*OTET")," ",Schedule!F58)</f>
        <v xml:space="preserve"> </v>
      </c>
      <c r="C67" s="154" t="str">
        <f>IF(OR(Schedule!G58=0,Schedule!G58=3,Schedule!G58="OT",Schedule!G58="3V",Schedule!G58="OTNV",Schedule!G58="OTV",Schedule!G58="3NV",Schedule!G58="3*",Schedule!G58="*3",Schedule!G58="2OTBT",Schedule!G58="4OTBT",Schedule!G58="2OTET",Schedule!G58="4OTET",Schedule!G58="*OTBT",Schedule!G58="*OTET")," ",Schedule!G58)</f>
        <v xml:space="preserve"> </v>
      </c>
      <c r="D67" s="154" t="str">
        <f>IF(OR(Schedule!H58=0,Schedule!H58=3,Schedule!H58="OT",Schedule!H58="3V",Schedule!H58="OTNV",Schedule!H58="OTV",Schedule!H58="3NV",Schedule!H58="3*",Schedule!H58="*3",Schedule!H58="2OTBT",Schedule!H58="4OTBT",Schedule!H58="2OTET",Schedule!H58="4OTET",Schedule!H58="*OTBT",Schedule!H58="*OTET")," ",Schedule!H58)</f>
        <v>NS</v>
      </c>
      <c r="E67" s="154" t="str">
        <f>IF(OR(Schedule!I58=0,Schedule!I58=3,Schedule!I58="OT",Schedule!I58="3V",Schedule!I58="OTNV",Schedule!I58="OTV",Schedule!I58="3NV",Schedule!I58="3*",Schedule!I58="*3",Schedule!I58="2OTBT",Schedule!I58="4OTBT",Schedule!I58="2OTET",Schedule!I58="4OTET",Schedule!I58="*OTBT",Schedule!I58="*OTET")," ",Schedule!I58)</f>
        <v xml:space="preserve"> </v>
      </c>
      <c r="F67" s="154" t="str">
        <f>IF(OR(Schedule!J58=0,Schedule!J58=3,Schedule!J58="OT",Schedule!J58="3V",Schedule!J58="OTNV",Schedule!J58="OTV",Schedule!J58="3NV",Schedule!J58="3*",Schedule!J58="*3",Schedule!J58="2OTBT",Schedule!J58="4OTBT",Schedule!J58="2OTET",Schedule!J58="4OTET",Schedule!J58="*OTBT",Schedule!J58="*OTET")," ",Schedule!J58)</f>
        <v xml:space="preserve"> </v>
      </c>
      <c r="G67" s="154" t="str">
        <f>IF(OR(Schedule!K58=0,Schedule!K58=3,Schedule!K58="OT",Schedule!K58="3V",Schedule!K58="OTNV",Schedule!K58="OTV",Schedule!K58="3NV",Schedule!K58="3*",Schedule!K58="*3",Schedule!K58="2OTBT",Schedule!K58="4OTBT",Schedule!K58="2OTET",Schedule!K58="4OTET",Schedule!K58="*OTBT",Schedule!K58="*OTET")," ",Schedule!K58)</f>
        <v xml:space="preserve"> </v>
      </c>
      <c r="H67" s="154" t="str">
        <f>IF(OR(Schedule!L58=0,Schedule!L58=3,Schedule!L58="OT",Schedule!L58="3V",Schedule!L58="OTNV",Schedule!L58="OTV",Schedule!L58="3NV",Schedule!L58="3*",Schedule!L58="*3",Schedule!L58="2OTBT",Schedule!L58="4OTBT",Schedule!L58="2OTET",Schedule!L58="4OTET",Schedule!L58="*OTBT",Schedule!L58="*OTET")," ",Schedule!L58)</f>
        <v xml:space="preserve"> </v>
      </c>
      <c r="J67" s="99"/>
      <c r="K67" s="781" t="str">
        <f>IF(A68=" "," ",".")</f>
        <v>.</v>
      </c>
      <c r="M67" s="99"/>
    </row>
    <row r="68" spans="1:23" ht="13.5" customHeight="1" x14ac:dyDescent="0.2">
      <c r="A68" s="11" t="str">
        <f>'Master List'!C48</f>
        <v>T. SZYMCZAK</v>
      </c>
      <c r="B68" s="4" t="str">
        <f>AB155</f>
        <v>APPS 2</v>
      </c>
      <c r="C68" s="4" t="str">
        <f>AE155</f>
        <v>APPS 2</v>
      </c>
      <c r="D68" s="4" t="str">
        <f>AH155</f>
        <v xml:space="preserve"> </v>
      </c>
      <c r="E68" s="4" t="str">
        <f>AK155</f>
        <v>APPS 2</v>
      </c>
      <c r="F68" s="4" t="str">
        <f>AN155</f>
        <v>APPS 2</v>
      </c>
      <c r="G68" s="4" t="str">
        <f>AQ155</f>
        <v>APPS 1</v>
      </c>
      <c r="H68" s="4" t="str">
        <f>AT155</f>
        <v>SPSS</v>
      </c>
      <c r="J68" s="99"/>
      <c r="K68" s="781" t="str">
        <f>IF(A68=" "," ",".")</f>
        <v>.</v>
      </c>
      <c r="M68" s="99"/>
    </row>
    <row r="69" spans="1:23" ht="13.5" customHeight="1" x14ac:dyDescent="0.2">
      <c r="A69" s="176"/>
      <c r="B69" s="4" t="str">
        <f>AB156</f>
        <v xml:space="preserve">     UniBuEur</v>
      </c>
      <c r="C69" s="4" t="str">
        <f>AE156</f>
        <v xml:space="preserve">     UniBuEur</v>
      </c>
      <c r="D69" s="4" t="str">
        <f>AH156</f>
        <v/>
      </c>
      <c r="E69" s="4" t="str">
        <f>AK156</f>
        <v xml:space="preserve">     UniBuEur</v>
      </c>
      <c r="F69" s="4" t="str">
        <f>AN156</f>
        <v xml:space="preserve">     UniBuEur</v>
      </c>
      <c r="G69" s="4" t="str">
        <f>AQ156</f>
        <v xml:space="preserve">     UniBuEur</v>
      </c>
      <c r="H69" s="4" t="str">
        <f>AT156</f>
        <v xml:space="preserve">     UniBuEur</v>
      </c>
      <c r="J69" s="99"/>
      <c r="K69" s="781" t="str">
        <f>IF(A68=" "," ",".")</f>
        <v>.</v>
      </c>
      <c r="M69" s="99"/>
    </row>
    <row r="70" spans="1:23" ht="9" customHeight="1" thickBot="1" x14ac:dyDescent="0.25">
      <c r="A70" s="28"/>
      <c r="B70" s="42"/>
      <c r="C70" s="42"/>
      <c r="D70" s="42"/>
      <c r="E70" s="42"/>
      <c r="F70" s="42"/>
      <c r="G70" s="42"/>
      <c r="H70" s="42"/>
      <c r="J70" s="99"/>
      <c r="K70" s="781" t="str">
        <f>IF(A68=" "," ",".")</f>
        <v>.</v>
      </c>
      <c r="M70" s="99"/>
    </row>
    <row r="71" spans="1:23" ht="13.5" hidden="1" customHeight="1" thickBot="1" x14ac:dyDescent="0.25">
      <c r="A71" s="175"/>
      <c r="B71" s="154" t="str">
        <f>IF(OR(Schedule!F59=0,Schedule!F59=3,Schedule!F59="OT",Schedule!F59="3V",Schedule!F59="OTNV",Schedule!F59="OTV",Schedule!F59="3NV",Schedule!F59="3*",Schedule!F59="*3",Schedule!F59="2OTBT",Schedule!F59="4OTBT",Schedule!F59="2OTET",Schedule!F59="4OTET",Schedule!F59="*OTBT",Schedule!F59="*OTET")," ",Schedule!F59)</f>
        <v xml:space="preserve"> </v>
      </c>
      <c r="C71" s="154" t="str">
        <f>IF(OR(Schedule!G59=0,Schedule!G59=3,Schedule!G59="OT",Schedule!G59="3V",Schedule!G59="OTNV",Schedule!G59="OTV",Schedule!G59="3NV",Schedule!G59="3*",Schedule!G59="*3",Schedule!G59="2OTBT",Schedule!G59="4OTBT",Schedule!G59="2OTET",Schedule!G59="4OTET",Schedule!G59="*OTBT",Schedule!G59="*OTET")," ",Schedule!G59)</f>
        <v xml:space="preserve"> </v>
      </c>
      <c r="D71" s="154" t="str">
        <f>IF(OR(Schedule!H59=0,Schedule!H59=3,Schedule!H59="OT",Schedule!H59="3V",Schedule!H59="OTNV",Schedule!H59="OTV",Schedule!H59="3NV",Schedule!H59="3*",Schedule!H59="*3",Schedule!H59="2OTBT",Schedule!H59="4OTBT",Schedule!H59="2OTET",Schedule!H59="4OTET",Schedule!H59="*OTBT",Schedule!H59="*OTET")," ",Schedule!H59)</f>
        <v xml:space="preserve"> </v>
      </c>
      <c r="E71" s="154" t="str">
        <f>IF(OR(Schedule!I59=0,Schedule!I59=3,Schedule!I59="OT",Schedule!I59="3V",Schedule!I59="OTNV",Schedule!I59="OTV",Schedule!I59="3NV",Schedule!I59="3*",Schedule!I59="*3",Schedule!I59="2OTBT",Schedule!I59="4OTBT",Schedule!I59="2OTET",Schedule!I59="4OTET",Schedule!I59="*OTBT",Schedule!I59="*OTET")," ",Schedule!I59)</f>
        <v xml:space="preserve"> </v>
      </c>
      <c r="F71" s="154" t="str">
        <f>IF(OR(Schedule!J59=0,Schedule!J59=3,Schedule!J59="OT",Schedule!J59="3V",Schedule!J59="OTNV",Schedule!J59="OTV",Schedule!J59="3NV",Schedule!J59="3*",Schedule!J59="*3",Schedule!J59="2OTBT",Schedule!J59="4OTBT",Schedule!J59="2OTET",Schedule!J59="4OTET",Schedule!J59="*OTBT",Schedule!J59="*OTET")," ",Schedule!J59)</f>
        <v xml:space="preserve"> </v>
      </c>
      <c r="G71" s="154" t="str">
        <f>IF(OR(Schedule!K59=0,Schedule!K59=3,Schedule!K59="OT",Schedule!K59="3V",Schedule!K59="OTNV",Schedule!K59="OTV",Schedule!K59="3NV",Schedule!K59="3*",Schedule!K59="*3",Schedule!K59="2OTBT",Schedule!K59="4OTBT",Schedule!K59="2OTET",Schedule!K59="4OTET",Schedule!K59="*OTBT",Schedule!K59="*OTET")," ",Schedule!K59)</f>
        <v xml:space="preserve"> </v>
      </c>
      <c r="H71" s="154" t="str">
        <f>IF(OR(Schedule!L59=0,Schedule!L59=3,Schedule!L59="OT",Schedule!L59="3V",Schedule!L59="OTNV",Schedule!L59="OTV",Schedule!L59="3NV",Schedule!L59="3*",Schedule!L59="*3",Schedule!L59="2OTBT",Schedule!L59="4OTBT",Schedule!L59="2OTET",Schedule!L59="4OTET",Schedule!L59="*OTBT",Schedule!L59="*OTET")," ",Schedule!L59)</f>
        <v xml:space="preserve"> </v>
      </c>
      <c r="J71" s="99"/>
      <c r="K71" s="781" t="str">
        <f>IF(A72=" "," ",".")</f>
        <v>.</v>
      </c>
      <c r="M71" s="99"/>
    </row>
    <row r="72" spans="1:23" ht="13.5" hidden="1" customHeight="1" thickBot="1" x14ac:dyDescent="0.25">
      <c r="A72" s="11">
        <f>'Master List'!C49</f>
        <v>0</v>
      </c>
      <c r="B72" s="4" t="str">
        <f>AB158</f>
        <v>010/CFS</v>
      </c>
      <c r="C72" s="4" t="str">
        <f>AE158</f>
        <v>HSTS/Tray sys/strapper</v>
      </c>
      <c r="D72" s="4" t="str">
        <f>AH158</f>
        <v>010/CFS</v>
      </c>
      <c r="E72" s="4" t="str">
        <f>AK158</f>
        <v>010/CFS</v>
      </c>
      <c r="F72" s="4" t="str">
        <f>AN158</f>
        <v>010/CFS</v>
      </c>
      <c r="G72" s="4" t="str">
        <f>AQ158</f>
        <v>010/CFS</v>
      </c>
      <c r="H72" s="4" t="str">
        <f>AT158</f>
        <v>010/CFS</v>
      </c>
      <c r="J72" s="99"/>
      <c r="K72" s="781" t="str">
        <f>IF(A72=" "," ",".")</f>
        <v>.</v>
      </c>
      <c r="M72" s="99"/>
    </row>
    <row r="73" spans="1:23" ht="13.5" hidden="1" customHeight="1" thickBot="1" x14ac:dyDescent="0.25">
      <c r="A73" s="176"/>
      <c r="B73" s="4" t="str">
        <f>AB159</f>
        <v>TROUBLE CALLS</v>
      </c>
      <c r="C73" s="4" t="str">
        <f>AE159</f>
        <v>TROUBLE CALLS</v>
      </c>
      <c r="D73" s="4" t="str">
        <f>AH159</f>
        <v>TROUBLE CALLS</v>
      </c>
      <c r="E73" s="4" t="str">
        <f>AK159</f>
        <v>TROUBLE CALLS</v>
      </c>
      <c r="F73" s="4" t="str">
        <f>AN159</f>
        <v>TROUBLE CALLS</v>
      </c>
      <c r="G73" s="4" t="str">
        <f>AQ159</f>
        <v>TROUBLE CALLS</v>
      </c>
      <c r="H73" s="4" t="str">
        <f>AT159</f>
        <v>TROUBLE CALLS</v>
      </c>
      <c r="J73" s="99"/>
      <c r="K73" s="781" t="str">
        <f>IF(A72=" "," ",".")</f>
        <v>.</v>
      </c>
      <c r="M73" s="99"/>
      <c r="T73" s="39"/>
      <c r="U73" s="39"/>
      <c r="V73" s="39"/>
      <c r="W73" s="39"/>
    </row>
    <row r="74" spans="1:23" ht="13.5" hidden="1" customHeight="1" thickBot="1" x14ac:dyDescent="0.25">
      <c r="A74" s="28"/>
      <c r="B74" s="42"/>
      <c r="C74" s="42"/>
      <c r="D74" s="42"/>
      <c r="E74" s="42"/>
      <c r="F74" s="42"/>
      <c r="G74" s="42"/>
      <c r="H74" s="42"/>
      <c r="J74" s="99"/>
      <c r="K74" s="781" t="str">
        <f>IF(A72=" "," ",".")</f>
        <v>.</v>
      </c>
      <c r="M74" s="99"/>
      <c r="T74" s="39"/>
      <c r="U74" s="39"/>
      <c r="V74" s="39"/>
      <c r="W74" s="39"/>
    </row>
    <row r="75" spans="1:23" ht="13.5" hidden="1" customHeight="1" thickBot="1" x14ac:dyDescent="0.25">
      <c r="A75" s="175"/>
      <c r="B75" s="154" t="str">
        <f>IF(OR(Schedule!F60=0,Schedule!F60=3,Schedule!F60="OT",Schedule!F60="3V",Schedule!F60="OTNV",Schedule!F60="OTV",Schedule!F60="3NV",Schedule!F60="3*",Schedule!F60="*3",Schedule!F60="2OTBT",Schedule!F60="4OTBT",Schedule!F60="2OTET",Schedule!F60="4OTET",Schedule!F60="*OTBT",Schedule!F60="*OTET")," ",Schedule!F60)</f>
        <v xml:space="preserve"> </v>
      </c>
      <c r="C75" s="154" t="str">
        <f>IF(OR(Schedule!G60=0,Schedule!G60=3,Schedule!G60="OT",Schedule!G60="3V",Schedule!G60="OTNV",Schedule!G60="OTV",Schedule!G60="3NV",Schedule!G60="3*",Schedule!G60="*3",Schedule!G60="2OTBT",Schedule!G60="4OTBT",Schedule!G60="2OTET",Schedule!G60="4OTET",Schedule!G60="*OTBT",Schedule!G60="*OTET")," ",Schedule!G60)</f>
        <v xml:space="preserve"> </v>
      </c>
      <c r="D75" s="154" t="str">
        <f>IF(OR(Schedule!H60=0,Schedule!H60=3,Schedule!H60="OT",Schedule!H60="3V",Schedule!H60="OTNV",Schedule!H60="OTV",Schedule!H60="3NV",Schedule!H60="3*",Schedule!H60="*3",Schedule!H60="2OTBT",Schedule!H60="4OTBT",Schedule!H60="2OTET",Schedule!H60="4OTET",Schedule!H60="*OTBT",Schedule!H60="*OTET")," ",Schedule!H60)</f>
        <v xml:space="preserve"> </v>
      </c>
      <c r="E75" s="154" t="str">
        <f>IF(OR(Schedule!I60=0,Schedule!I60=3,Schedule!I60="OT",Schedule!I60="3V",Schedule!I60="OTNV",Schedule!I60="OTV",Schedule!I60="3NV",Schedule!I60="3*",Schedule!I60="*3",Schedule!I60="2OTBT",Schedule!I60="4OTBT",Schedule!I60="2OTET",Schedule!I60="4OTET",Schedule!I60="*OTBT",Schedule!I60="*OTET")," ",Schedule!I60)</f>
        <v xml:space="preserve"> </v>
      </c>
      <c r="F75" s="154" t="str">
        <f>IF(OR(Schedule!J60=0,Schedule!J60=3,Schedule!J60="OT",Schedule!J60="3V",Schedule!J60="OTNV",Schedule!J60="OTV",Schedule!J60="3NV",Schedule!J60="3*",Schedule!J60="*3",Schedule!J60="2OTBT",Schedule!J60="4OTBT",Schedule!J60="2OTET",Schedule!J60="4OTET",Schedule!J60="*OTBT",Schedule!J60="*OTET")," ",Schedule!J60)</f>
        <v xml:space="preserve"> </v>
      </c>
      <c r="G75" s="154" t="str">
        <f>IF(OR(Schedule!K60=0,Schedule!K60=3,Schedule!K60="OT",Schedule!K60="3V",Schedule!K60="OTNV",Schedule!K60="OTV",Schedule!K60="3NV",Schedule!K60="3*",Schedule!K60="*3",Schedule!K60="2OTBT",Schedule!K60="4OTBT",Schedule!K60="2OTET",Schedule!K60="4OTET",Schedule!K60="*OTBT",Schedule!K60="*OTET")," ",Schedule!K60)</f>
        <v xml:space="preserve"> </v>
      </c>
      <c r="H75" s="154" t="str">
        <f>IF(OR(Schedule!L60=0,Schedule!L60=3,Schedule!L60="OT",Schedule!L60="3V",Schedule!L60="OTNV",Schedule!L60="OTV",Schedule!L60="3NV",Schedule!L60="3*",Schedule!L60="*3",Schedule!L60="2OTBT",Schedule!L60="4OTBT",Schedule!L60="2OTET",Schedule!L60="4OTET",Schedule!L60="*OTBT",Schedule!L60="*OTET")," ",Schedule!L60)</f>
        <v xml:space="preserve"> </v>
      </c>
      <c r="J75" s="99"/>
      <c r="K75" s="781" t="str">
        <f>IF(A76=" "," ",".")</f>
        <v>.</v>
      </c>
      <c r="M75" s="99"/>
      <c r="T75" s="39"/>
      <c r="U75" s="39"/>
      <c r="V75" s="39"/>
      <c r="W75" s="39"/>
    </row>
    <row r="76" spans="1:23" ht="13.5" hidden="1" customHeight="1" thickBot="1" x14ac:dyDescent="0.25">
      <c r="A76" s="11">
        <f>'Master List'!C50</f>
        <v>0</v>
      </c>
      <c r="B76" s="4" t="str">
        <f>AB161</f>
        <v>APPS 2</v>
      </c>
      <c r="C76" s="4" t="str">
        <f>AE161</f>
        <v>APPS 1</v>
      </c>
      <c r="D76" s="4" t="str">
        <f>AH161</f>
        <v>AFSM</v>
      </c>
      <c r="E76" s="4" t="str">
        <f>AK161</f>
        <v>APPS 2</v>
      </c>
      <c r="F76" s="4" t="str">
        <f>AN161</f>
        <v>APPS 2</v>
      </c>
      <c r="G76" s="4" t="str">
        <f>AQ161</f>
        <v>APPS 2</v>
      </c>
      <c r="H76" s="4" t="str">
        <f>AT161</f>
        <v>APPS 2</v>
      </c>
      <c r="K76" s="781" t="str">
        <f>IF(A76=" "," ",".")</f>
        <v>.</v>
      </c>
      <c r="M76" s="99"/>
      <c r="T76" s="39"/>
      <c r="U76" s="39"/>
      <c r="V76" s="39"/>
      <c r="W76" s="39"/>
    </row>
    <row r="77" spans="1:23" ht="13.5" hidden="1" customHeight="1" thickBot="1" x14ac:dyDescent="0.25">
      <c r="A77" s="176"/>
      <c r="B77" s="4" t="str">
        <f>AB162</f>
        <v xml:space="preserve">     UniBuEur</v>
      </c>
      <c r="C77" s="4" t="str">
        <f>AE162</f>
        <v xml:space="preserve">     UniBuEur</v>
      </c>
      <c r="D77" s="4" t="str">
        <f>AH162</f>
        <v xml:space="preserve">     UniBuEur</v>
      </c>
      <c r="E77" s="4" t="str">
        <f>AK162</f>
        <v xml:space="preserve">     UniBuEur</v>
      </c>
      <c r="F77" s="4" t="str">
        <f>AN162</f>
        <v xml:space="preserve">     UniBuEur</v>
      </c>
      <c r="G77" s="4" t="str">
        <f>AQ162</f>
        <v xml:space="preserve">     UniBuEur</v>
      </c>
      <c r="H77" s="4" t="str">
        <f>AT162</f>
        <v xml:space="preserve">     UniBuEur</v>
      </c>
      <c r="K77" s="781" t="str">
        <f>IF(A76=" "," ",".")</f>
        <v>.</v>
      </c>
      <c r="M77" s="99"/>
      <c r="T77" s="39"/>
      <c r="U77" s="39"/>
      <c r="V77" s="39"/>
      <c r="W77" s="39"/>
    </row>
    <row r="78" spans="1:23" ht="13.5" hidden="1" customHeight="1" thickBot="1" x14ac:dyDescent="0.25">
      <c r="A78" s="28"/>
      <c r="B78" s="42"/>
      <c r="C78" s="42"/>
      <c r="D78" s="42"/>
      <c r="E78" s="42"/>
      <c r="F78" s="42"/>
      <c r="G78" s="42"/>
      <c r="H78" s="42"/>
      <c r="K78" s="781" t="str">
        <f>IF(A76=" "," ",".")</f>
        <v>.</v>
      </c>
      <c r="M78" s="99"/>
    </row>
    <row r="79" spans="1:23" ht="0.75" hidden="1" customHeight="1" thickBot="1" x14ac:dyDescent="0.25">
      <c r="A79" s="175"/>
      <c r="B79" s="154" t="str">
        <f>IF(OR(Schedule!F61=0,Schedule!F61=3,Schedule!F61="OT",Schedule!F61="3V",Schedule!F61="OTNV",Schedule!F61="OTV",Schedule!F61="3NV",Schedule!F61="3*",Schedule!F61="*3",Schedule!F61="2OTBT",Schedule!F61="4OTBT",Schedule!F61="2OTET",Schedule!F61="4OTET",Schedule!F61="*OTBT",Schedule!F61="*OTET")," ",Schedule!F61)</f>
        <v xml:space="preserve"> </v>
      </c>
      <c r="C79" s="154" t="str">
        <f>IF(OR(Schedule!G61=0,Schedule!G61=3,Schedule!G61="OT",Schedule!G61="3V",Schedule!G61="OTNV",Schedule!G61="OTV",Schedule!G61="3NV",Schedule!G61="3*",Schedule!G61="*3",Schedule!G61="2OTBT",Schedule!G61="4OTBT",Schedule!G61="2OTET",Schedule!G61="4OTET",Schedule!G61="*OTBT",Schedule!G61="*OTET")," ",Schedule!G61)</f>
        <v xml:space="preserve"> </v>
      </c>
      <c r="D79" s="154" t="str">
        <f>IF(OR(Schedule!H61=0,Schedule!H61=3,Schedule!H61="OT",Schedule!H61="3V",Schedule!H61="OTNV",Schedule!H61="OTV",Schedule!H61="3NV",Schedule!H61="3*",Schedule!H61="*3",Schedule!H61="2OTBT",Schedule!H61="4OTBT",Schedule!H61="2OTET",Schedule!H61="4OTET",Schedule!H61="*OTBT",Schedule!H61="*OTET")," ",Schedule!H61)</f>
        <v xml:space="preserve"> </v>
      </c>
      <c r="E79" s="154" t="str">
        <f>IF(OR(Schedule!I61=0,Schedule!I61=3,Schedule!I61="OT",Schedule!I61="3V",Schedule!I61="OTNV",Schedule!I61="OTV",Schedule!I61="3NV",Schedule!I61="3*",Schedule!I61="*3",Schedule!I61="2OTBT",Schedule!I61="4OTBT",Schedule!I61="2OTET",Schedule!I61="4OTET",Schedule!I61="*OTBT",Schedule!I61="*OTET")," ",Schedule!I61)</f>
        <v xml:space="preserve"> </v>
      </c>
      <c r="F79" s="154" t="str">
        <f>IF(OR(Schedule!J61=0,Schedule!J61=3,Schedule!J61="OT",Schedule!J61="3V",Schedule!J61="OTNV",Schedule!J61="OTV",Schedule!J61="3NV",Schedule!J61="3*",Schedule!J61="*3",Schedule!J61="2OTBT",Schedule!J61="4OTBT",Schedule!J61="2OTET",Schedule!J61="4OTET",Schedule!J61="*OTBT",Schedule!J61="*OTET")," ",Schedule!J61)</f>
        <v xml:space="preserve"> </v>
      </c>
      <c r="G79" s="154" t="str">
        <f>IF(OR(Schedule!K61=0,Schedule!K61=3,Schedule!K61="OT",Schedule!K61="3V",Schedule!K61="OTNV",Schedule!K61="OTV",Schedule!K61="3NV",Schedule!K61="3*",Schedule!K61="*3",Schedule!K61="2OTBT",Schedule!K61="4OTBT",Schedule!K61="2OTET",Schedule!K61="4OTET",Schedule!K61="*OTBT",Schedule!K61="*OTET")," ",Schedule!K61)</f>
        <v xml:space="preserve"> </v>
      </c>
      <c r="H79" s="154" t="str">
        <f>IF(OR(Schedule!L61=0,Schedule!L61=3,Schedule!L61="OT",Schedule!L61="3V",Schedule!L61="OTNV",Schedule!L61="OTV",Schedule!L61="3NV",Schedule!L61="3*",Schedule!L61="*3",Schedule!L61="2OTBT",Schedule!L61="4OTBT",Schedule!L61="2OTET",Schedule!L61="4OTET",Schedule!L61="*OTBT",Schedule!L61="*OTET")," ",Schedule!L61)</f>
        <v xml:space="preserve"> </v>
      </c>
      <c r="K79" s="781" t="str">
        <f>IF(A80=" "," ",".")</f>
        <v>.</v>
      </c>
    </row>
    <row r="80" spans="1:23" ht="16.5" hidden="1" customHeight="1" thickBot="1" x14ac:dyDescent="0.25">
      <c r="A80" s="11">
        <f>'Master List'!C51</f>
        <v>0</v>
      </c>
      <c r="B80" s="4" t="str">
        <f>AB164</f>
        <v>010/CFS</v>
      </c>
      <c r="C80" s="4" t="str">
        <f>AE164</f>
        <v>AFSM/CFS</v>
      </c>
      <c r="D80" s="4" t="str">
        <f>AH164</f>
        <v>AFSM/CFS</v>
      </c>
      <c r="E80" s="4" t="str">
        <f>AK164</f>
        <v>010/CFS</v>
      </c>
      <c r="F80" s="4" t="str">
        <f>AN164</f>
        <v>010/CFS</v>
      </c>
      <c r="G80" s="4" t="str">
        <f>AQ164</f>
        <v>010/CFS</v>
      </c>
      <c r="H80" s="4" t="str">
        <f>AT164</f>
        <v>010/CFS</v>
      </c>
      <c r="K80" s="781" t="str">
        <f>IF(A80=" "," ",".")</f>
        <v>.</v>
      </c>
    </row>
    <row r="81" spans="1:23" ht="16.5" hidden="1" customHeight="1" thickBot="1" x14ac:dyDescent="0.25">
      <c r="A81" s="176"/>
      <c r="B81" s="4" t="str">
        <f>AB165</f>
        <v>TROUBLE CALLS</v>
      </c>
      <c r="C81" s="4" t="str">
        <f>AE165</f>
        <v>TROUBLE CALLS</v>
      </c>
      <c r="D81" s="4" t="str">
        <f>AH165</f>
        <v>TROUBLE CALLS</v>
      </c>
      <c r="E81" s="4" t="str">
        <f>AK165</f>
        <v>TROUBLE CALLS</v>
      </c>
      <c r="F81" s="4" t="str">
        <f>AN165</f>
        <v>TROUBLE CALLS</v>
      </c>
      <c r="G81" s="4" t="str">
        <f>AQ165</f>
        <v>TROUBLE CALLS</v>
      </c>
      <c r="H81" s="4" t="str">
        <f>AT165</f>
        <v>TROUBLE CALLS</v>
      </c>
      <c r="K81" s="781" t="str">
        <f>IF(A80=" "," ",".")</f>
        <v>.</v>
      </c>
    </row>
    <row r="82" spans="1:23" ht="16.5" hidden="1" customHeight="1" thickBot="1" x14ac:dyDescent="0.25">
      <c r="A82" s="28"/>
      <c r="B82" s="42"/>
      <c r="C82" s="42"/>
      <c r="D82" s="42"/>
      <c r="E82" s="42"/>
      <c r="F82" s="42"/>
      <c r="G82" s="42"/>
      <c r="H82" s="42"/>
      <c r="K82" s="781" t="str">
        <f>IF(A80=" "," ",".")</f>
        <v>.</v>
      </c>
    </row>
    <row r="83" spans="1:23" ht="17.100000000000001" hidden="1" customHeight="1" x14ac:dyDescent="0.2">
      <c r="A83" s="175"/>
      <c r="B83" s="154" t="str">
        <f>IF(OR(Schedule!F62=0,Schedule!F62=3,Schedule!F62="OT",Schedule!F62="3V",Schedule!F62="OTNV",Schedule!F62="OTV",Schedule!F62="3NV",Schedule!F62="3*",Schedule!F62="*3",Schedule!F62="2OTBT",Schedule!F62="4OTBT",Schedule!F62="2OTET",Schedule!F62="4OTET",Schedule!F62="*OTBT",Schedule!F62="*OTET")," ",Schedule!F62)</f>
        <v xml:space="preserve"> </v>
      </c>
      <c r="C83" s="154" t="str">
        <f>IF(OR(Schedule!G62=0,Schedule!G62=3,Schedule!G62="OT",Schedule!G62="3V",Schedule!G62="OTNV",Schedule!G62="OTV",Schedule!G62="3NV",Schedule!G62="3*",Schedule!G62="*3",Schedule!G62="2OTBT",Schedule!G62="4OTBT",Schedule!G62="2OTET",Schedule!G62="4OTET",Schedule!G62="*OTBT",Schedule!G62="*OTET")," ",Schedule!G62)</f>
        <v xml:space="preserve"> </v>
      </c>
      <c r="D83" s="154" t="str">
        <f>IF(OR(Schedule!H62=0,Schedule!H62=3,Schedule!H62="OT",Schedule!H62="3V",Schedule!H62="OTNV",Schedule!H62="OTV",Schedule!H62="3NV",Schedule!H62="3*",Schedule!H62="*3",Schedule!H62="2OTBT",Schedule!H62="4OTBT",Schedule!H62="2OTET",Schedule!H62="4OTET",Schedule!H62="*OTBT",Schedule!H62="*OTET")," ",Schedule!H62)</f>
        <v xml:space="preserve"> </v>
      </c>
      <c r="E83" s="154" t="str">
        <f>IF(OR(Schedule!I62=0,Schedule!I62=3,Schedule!I62="OT",Schedule!I62="3V",Schedule!I62="OTNV",Schedule!I62="OTV",Schedule!I62="3NV",Schedule!I62="3*",Schedule!I62="*3",Schedule!I62="2OTBT",Schedule!I62="4OTBT",Schedule!I62="2OTET",Schedule!I62="4OTET",Schedule!I62="*OTBT",Schedule!I62="*OTET")," ",Schedule!I62)</f>
        <v xml:space="preserve"> </v>
      </c>
      <c r="F83" s="154" t="str">
        <f>IF(OR(Schedule!J62=0,Schedule!J62=3,Schedule!J62="OT",Schedule!J62="3V",Schedule!J62="OTNV",Schedule!J62="OTV",Schedule!J62="3NV",Schedule!J62="3*",Schedule!J62="*3",Schedule!J62="2OTBT",Schedule!J62="4OTBT",Schedule!J62="2OTET",Schedule!J62="4OTET",Schedule!J62="*OTBT",Schedule!J62="*OTET")," ",Schedule!J62)</f>
        <v xml:space="preserve"> </v>
      </c>
      <c r="G83" s="154" t="str">
        <f>IF(OR(Schedule!K62=0,Schedule!K62=3,Schedule!K62="OT",Schedule!K62="3V",Schedule!K62="OTNV",Schedule!K62="OTV",Schedule!K62="3NV",Schedule!K62="3*",Schedule!K62="*3",Schedule!K62="2OTBT",Schedule!K62="4OTBT",Schedule!K62="2OTET",Schedule!K62="4OTET",Schedule!K62="*OTBT",Schedule!K62="*OTET")," ",Schedule!K62)</f>
        <v xml:space="preserve"> </v>
      </c>
      <c r="H83" s="154" t="str">
        <f>IF(OR(Schedule!L62=0,Schedule!L62=3,Schedule!L62="OT",Schedule!L62="3V",Schedule!L62="OTNV",Schedule!L62="OTV",Schedule!L62="3NV",Schedule!L62="3*",Schedule!L62="*3",Schedule!L62="2OTBT",Schedule!L62="4OTBT",Schedule!L62="2OTET",Schedule!L62="4OTET",Schedule!L62="*OTBT",Schedule!L62="*OTET")," ",Schedule!L62)</f>
        <v xml:space="preserve"> </v>
      </c>
      <c r="K83" s="8" t="str">
        <f>IF(A84=" "," ",".")</f>
        <v>.</v>
      </c>
    </row>
    <row r="84" spans="1:23" ht="17.100000000000001" hidden="1" customHeight="1" x14ac:dyDescent="0.2">
      <c r="A84" s="11">
        <f>'Master List'!C52</f>
        <v>0</v>
      </c>
      <c r="B84" s="4" t="str">
        <f>AB167</f>
        <v xml:space="preserve"> </v>
      </c>
      <c r="C84" s="4" t="str">
        <f>AE167</f>
        <v xml:space="preserve"> </v>
      </c>
      <c r="D84" s="4" t="str">
        <f>AH167</f>
        <v xml:space="preserve"> </v>
      </c>
      <c r="E84" s="4" t="str">
        <f>AK167</f>
        <v xml:space="preserve"> </v>
      </c>
      <c r="F84" s="4" t="str">
        <f>AN167</f>
        <v xml:space="preserve"> </v>
      </c>
      <c r="G84" s="4" t="str">
        <f>AQ167</f>
        <v xml:space="preserve"> </v>
      </c>
      <c r="H84" s="4" t="str">
        <f>AT167</f>
        <v xml:space="preserve"> </v>
      </c>
      <c r="K84" s="8" t="str">
        <f>IF(A84=" "," ",".")</f>
        <v>.</v>
      </c>
    </row>
    <row r="85" spans="1:23" ht="17.100000000000001" hidden="1" customHeight="1" x14ac:dyDescent="0.2">
      <c r="A85" s="176"/>
      <c r="B85" s="4" t="str">
        <f>AB168</f>
        <v/>
      </c>
      <c r="C85" s="4" t="str">
        <f>AE168</f>
        <v/>
      </c>
      <c r="D85" s="4" t="str">
        <f>AH168</f>
        <v/>
      </c>
      <c r="E85" s="4" t="str">
        <f>AK168</f>
        <v/>
      </c>
      <c r="F85" s="4" t="str">
        <f>AN168</f>
        <v/>
      </c>
      <c r="G85" s="4" t="str">
        <f>AQ168</f>
        <v/>
      </c>
      <c r="H85" s="4" t="str">
        <f>AT168</f>
        <v/>
      </c>
      <c r="K85" s="8" t="str">
        <f>IF(A84=" "," ",".")</f>
        <v>.</v>
      </c>
    </row>
    <row r="86" spans="1:23" ht="17.100000000000001" hidden="1" customHeight="1" thickBot="1" x14ac:dyDescent="0.25">
      <c r="A86" s="28"/>
      <c r="B86" s="42"/>
      <c r="C86" s="42"/>
      <c r="D86" s="42"/>
      <c r="E86" s="42"/>
      <c r="F86" s="42"/>
      <c r="G86" s="42"/>
      <c r="H86" s="42"/>
      <c r="K86" s="8" t="str">
        <f>IF(A84=" "," ",".")</f>
        <v>.</v>
      </c>
      <c r="T86" s="39"/>
      <c r="U86" s="39"/>
      <c r="V86" s="39"/>
      <c r="W86" s="39"/>
    </row>
    <row r="87" spans="1:23" ht="17.100000000000001" hidden="1" customHeight="1" x14ac:dyDescent="0.2">
      <c r="A87" s="175"/>
      <c r="B87" s="154" t="str">
        <f>IF(OR(Schedule!F63=0,Schedule!F63=3,Schedule!F63="OT",Schedule!F63="3V",Schedule!F63="OTNV",Schedule!F63="OTV",Schedule!F63="3NV",Schedule!F63="3*",Schedule!F63="*3",Schedule!F63="2OTBT",Schedule!F63="4OTBT",Schedule!F63="2OTET",Schedule!F63="4OTET",Schedule!F63="*OTBT",Schedule!F63="*OTET")," ",Schedule!F63)</f>
        <v xml:space="preserve"> </v>
      </c>
      <c r="C87" s="154" t="str">
        <f>IF(OR(Schedule!G63=0,Schedule!G63=3,Schedule!G63="OT",Schedule!G63="3V",Schedule!G63="OTNV",Schedule!G63="OTV",Schedule!G63="3NV",Schedule!G63="3*",Schedule!G63="*3",Schedule!G63="2OTBT",Schedule!G63="4OTBT",Schedule!G63="2OTET",Schedule!G63="4OTET",Schedule!G63="*OTBT",Schedule!G63="*OTET")," ",Schedule!G63)</f>
        <v xml:space="preserve"> </v>
      </c>
      <c r="D87" s="154" t="str">
        <f>IF(OR(Schedule!H63=0,Schedule!H63=3,Schedule!H63="OT",Schedule!H63="3V",Schedule!H63="OTNV",Schedule!H63="OTV",Schedule!H63="3NV",Schedule!H63="3*",Schedule!H63="*3",Schedule!H63="2OTBT",Schedule!H63="4OTBT",Schedule!H63="2OTET",Schedule!H63="4OTET",Schedule!H63="*OTBT",Schedule!H63="*OTET")," ",Schedule!H63)</f>
        <v xml:space="preserve"> </v>
      </c>
      <c r="E87" s="154" t="str">
        <f>IF(OR(Schedule!I63=0,Schedule!I63=3,Schedule!I63="OT",Schedule!I63="3V",Schedule!I63="OTNV",Schedule!I63="OTV",Schedule!I63="3NV",Schedule!I63="3*",Schedule!I63="*3",Schedule!I63="2OTBT",Schedule!I63="4OTBT",Schedule!I63="2OTET",Schedule!I63="4OTET",Schedule!I63="*OTBT",Schedule!I63="*OTET")," ",Schedule!I63)</f>
        <v xml:space="preserve"> </v>
      </c>
      <c r="F87" s="154" t="str">
        <f>IF(OR(Schedule!J63=0,Schedule!J63=3,Schedule!J63="OT",Schedule!J63="3V",Schedule!J63="OTNV",Schedule!J63="OTV",Schedule!J63="3NV",Schedule!J63="3*",Schedule!J63="*3",Schedule!J63="2OTBT",Schedule!J63="4OTBT",Schedule!J63="2OTET",Schedule!J63="4OTET",Schedule!J63="*OTBT",Schedule!J63="*OTET")," ",Schedule!J63)</f>
        <v xml:space="preserve"> </v>
      </c>
      <c r="G87" s="154" t="str">
        <f>IF(OR(Schedule!K63=0,Schedule!K63=3,Schedule!K63="OT",Schedule!K63="3V",Schedule!K63="OTNV",Schedule!K63="OTV",Schedule!K63="3NV",Schedule!K63="3*",Schedule!K63="*3",Schedule!K63="2OTBT",Schedule!K63="4OTBT",Schedule!K63="2OTET",Schedule!K63="4OTET",Schedule!K63="*OTBT",Schedule!K63="*OTET")," ",Schedule!K63)</f>
        <v xml:space="preserve"> </v>
      </c>
      <c r="H87" s="154" t="str">
        <f>IF(OR(Schedule!L63=0,Schedule!L63=3,Schedule!L63="OT",Schedule!L63="3V",Schedule!L63="OTNV",Schedule!L63="OTV",Schedule!L63="3NV",Schedule!L63="3*",Schedule!L63="*3",Schedule!L63="2OTBT",Schedule!L63="4OTBT",Schedule!L63="2OTET",Schedule!L63="4OTET",Schedule!L63="*OTBT",Schedule!L63="*OTET")," ",Schedule!L63)</f>
        <v xml:space="preserve"> </v>
      </c>
      <c r="K87" s="8" t="str">
        <f>IF(A88=" "," ",".")</f>
        <v>.</v>
      </c>
      <c r="T87" s="39"/>
      <c r="U87" s="39"/>
      <c r="V87" s="39"/>
      <c r="W87" s="39"/>
    </row>
    <row r="88" spans="1:23" ht="17.100000000000001" hidden="1" customHeight="1" x14ac:dyDescent="0.2">
      <c r="A88" s="11">
        <f>'Master List'!C53</f>
        <v>0</v>
      </c>
      <c r="B88" s="4" t="str">
        <f>AB170</f>
        <v xml:space="preserve"> </v>
      </c>
      <c r="C88" s="4" t="str">
        <f>AE170</f>
        <v xml:space="preserve"> </v>
      </c>
      <c r="D88" s="4" t="str">
        <f>AH170</f>
        <v xml:space="preserve"> </v>
      </c>
      <c r="E88" s="4" t="str">
        <f>AK170</f>
        <v xml:space="preserve"> </v>
      </c>
      <c r="F88" s="4" t="str">
        <f>AN170</f>
        <v xml:space="preserve"> </v>
      </c>
      <c r="G88" s="4" t="str">
        <f>AQ170</f>
        <v xml:space="preserve"> </v>
      </c>
      <c r="H88" s="4" t="str">
        <f>AT170</f>
        <v xml:space="preserve"> </v>
      </c>
      <c r="K88" s="8" t="str">
        <f>IF(A88=" "," ",".")</f>
        <v>.</v>
      </c>
      <c r="T88" s="39"/>
      <c r="U88" s="39"/>
      <c r="V88" s="39"/>
      <c r="W88" s="39"/>
    </row>
    <row r="89" spans="1:23" ht="17.100000000000001" hidden="1" customHeight="1" x14ac:dyDescent="0.2">
      <c r="A89" s="176"/>
      <c r="B89" s="4" t="str">
        <f>AB171</f>
        <v/>
      </c>
      <c r="C89" s="4" t="str">
        <f>AE171</f>
        <v/>
      </c>
      <c r="D89" s="4" t="str">
        <f>AH171</f>
        <v/>
      </c>
      <c r="E89" s="4" t="str">
        <f>AK171</f>
        <v/>
      </c>
      <c r="F89" s="4" t="str">
        <f>AN171</f>
        <v/>
      </c>
      <c r="G89" s="4" t="str">
        <f>AQ171</f>
        <v/>
      </c>
      <c r="H89" s="4" t="str">
        <f>AT171</f>
        <v/>
      </c>
      <c r="K89" s="8" t="str">
        <f>IF(A88=" "," ",".")</f>
        <v>.</v>
      </c>
      <c r="T89" s="39"/>
      <c r="U89" s="39"/>
      <c r="V89" s="39"/>
      <c r="W89" s="39"/>
    </row>
    <row r="90" spans="1:23" ht="17.100000000000001" hidden="1" customHeight="1" thickBot="1" x14ac:dyDescent="0.25">
      <c r="A90" s="28"/>
      <c r="B90" s="42"/>
      <c r="C90" s="42"/>
      <c r="D90" s="42"/>
      <c r="E90" s="42"/>
      <c r="F90" s="42"/>
      <c r="G90" s="42"/>
      <c r="H90" s="42"/>
      <c r="K90" s="8" t="str">
        <f>IF(A88=" "," ",".")</f>
        <v>.</v>
      </c>
    </row>
    <row r="91" spans="1:23" ht="17.100000000000001" hidden="1" customHeight="1" x14ac:dyDescent="0.2">
      <c r="A91" s="175"/>
      <c r="B91" s="154" t="str">
        <f>IF(OR(Schedule!F64=0,Schedule!F64=3,Schedule!F64="OT",Schedule!F64="3V",Schedule!F64="OTNV",Schedule!F64="OTV",Schedule!F64="3NV",Schedule!F64="3*",Schedule!F64="*3",Schedule!F64="2OTBT",Schedule!F64="4OTBT",Schedule!F64="2OTET",Schedule!F64="4OTET",Schedule!F64="*OTBT",Schedule!F64="*OTET")," ",Schedule!F64)</f>
        <v xml:space="preserve"> </v>
      </c>
      <c r="C91" s="154" t="str">
        <f>IF(OR(Schedule!G64=0,Schedule!G64=3,Schedule!G64="OT",Schedule!G64="3V",Schedule!G64="OTNV",Schedule!G64="OTV",Schedule!G64="3NV",Schedule!G64="3*",Schedule!G64="*3",Schedule!G64="2OTBT",Schedule!G64="4OTBT",Schedule!G64="2OTET",Schedule!G64="4OTET",Schedule!G64="*OTBT",Schedule!G64="*OTET")," ",Schedule!G64)</f>
        <v xml:space="preserve"> </v>
      </c>
      <c r="D91" s="154" t="str">
        <f>IF(OR(Schedule!H64=0,Schedule!H64=3,Schedule!H64="OT",Schedule!H64="3V",Schedule!H64="OTNV",Schedule!H64="OTV",Schedule!H64="3NV",Schedule!H64="3*",Schedule!H64="*3",Schedule!H64="2OTBT",Schedule!H64="4OTBT",Schedule!H64="2OTET",Schedule!H64="4OTET",Schedule!H64="*OTBT",Schedule!H64="*OTET")," ",Schedule!H64)</f>
        <v xml:space="preserve"> </v>
      </c>
      <c r="E91" s="154" t="str">
        <f>IF(OR(Schedule!I64=0,Schedule!I64=3,Schedule!I64="OT",Schedule!I64="3V",Schedule!I64="OTNV",Schedule!I64="OTV",Schedule!I64="3NV",Schedule!I64="3*",Schedule!I64="*3",Schedule!I64="2OTBT",Schedule!I64="4OTBT",Schedule!I64="2OTET",Schedule!I64="4OTET",Schedule!I64="*OTBT",Schedule!I64="*OTET")," ",Schedule!I64)</f>
        <v xml:space="preserve"> </v>
      </c>
      <c r="F91" s="154" t="str">
        <f>IF(OR(Schedule!J64=0,Schedule!J64=3,Schedule!J64="OT",Schedule!J64="3V",Schedule!J64="OTNV",Schedule!J64="OTV",Schedule!J64="3NV",Schedule!J64="3*",Schedule!J64="*3",Schedule!J64="2OTBT",Schedule!J64="4OTBT",Schedule!J64="2OTET",Schedule!J64="4OTET",Schedule!J64="*OTBT",Schedule!J64="*OTET")," ",Schedule!J64)</f>
        <v xml:space="preserve"> </v>
      </c>
      <c r="G91" s="154" t="str">
        <f>IF(OR(Schedule!K64=0,Schedule!K64=3,Schedule!K64="OT",Schedule!K64="3V",Schedule!K64="OTNV",Schedule!K64="OTV",Schedule!K64="3NV",Schedule!K64="3*",Schedule!K64="*3",Schedule!K64="2OTBT",Schedule!K64="4OTBT",Schedule!K64="2OTET",Schedule!K64="4OTET",Schedule!K64="*OTBT",Schedule!K64="*OTET")," ",Schedule!K64)</f>
        <v xml:space="preserve"> </v>
      </c>
      <c r="H91" s="154" t="str">
        <f>IF(OR(Schedule!L64=0,Schedule!L64=3,Schedule!L64="OT",Schedule!L64="3V",Schedule!L64="OTNV",Schedule!L64="OTV",Schedule!L64="3NV",Schedule!L64="3*",Schedule!L64="*3",Schedule!L64="2OTBT",Schedule!L64="4OTBT",Schedule!L64="2OTET",Schedule!L64="4OTET",Schedule!L64="*OTBT",Schedule!L64="*OTET")," ",Schedule!L64)</f>
        <v xml:space="preserve"> </v>
      </c>
      <c r="K91" s="8" t="str">
        <f>IF(A92=" "," ",".")</f>
        <v xml:space="preserve"> </v>
      </c>
    </row>
    <row r="92" spans="1:23" ht="17.100000000000001" hidden="1" customHeight="1" x14ac:dyDescent="0.2">
      <c r="A92" s="11" t="str">
        <f>'Master List'!C54</f>
        <v xml:space="preserve"> </v>
      </c>
      <c r="B92" s="4" t="str">
        <f>AB173</f>
        <v xml:space="preserve"> </v>
      </c>
      <c r="C92" s="4" t="str">
        <f>AE173</f>
        <v xml:space="preserve"> </v>
      </c>
      <c r="D92" s="4" t="str">
        <f>AH173</f>
        <v xml:space="preserve"> </v>
      </c>
      <c r="E92" s="4" t="str">
        <f>AK173</f>
        <v xml:space="preserve"> </v>
      </c>
      <c r="F92" s="4" t="str">
        <f>AN173</f>
        <v xml:space="preserve"> </v>
      </c>
      <c r="G92" s="4" t="str">
        <f>AQ173</f>
        <v xml:space="preserve"> </v>
      </c>
      <c r="H92" s="4" t="str">
        <f>AT173</f>
        <v xml:space="preserve"> </v>
      </c>
      <c r="K92" s="8" t="str">
        <f>IF(A92=" "," ",".")</f>
        <v xml:space="preserve"> </v>
      </c>
    </row>
    <row r="93" spans="1:23" ht="17.100000000000001" hidden="1" customHeight="1" x14ac:dyDescent="0.2">
      <c r="A93" s="176"/>
      <c r="B93" s="4" t="str">
        <f>AB174</f>
        <v/>
      </c>
      <c r="C93" s="4" t="str">
        <f>AE174</f>
        <v/>
      </c>
      <c r="D93" s="4" t="str">
        <f>AH174</f>
        <v/>
      </c>
      <c r="E93" s="4" t="str">
        <f>AK174</f>
        <v/>
      </c>
      <c r="F93" s="4" t="str">
        <f>AN174</f>
        <v/>
      </c>
      <c r="G93" s="4" t="str">
        <f>AQ174</f>
        <v/>
      </c>
      <c r="H93" s="4" t="str">
        <f>AT174</f>
        <v/>
      </c>
      <c r="K93" s="8" t="str">
        <f>IF(A92=" "," ",".")</f>
        <v xml:space="preserve"> </v>
      </c>
    </row>
    <row r="94" spans="1:23" ht="17.100000000000001" hidden="1" customHeight="1" thickBot="1" x14ac:dyDescent="0.25">
      <c r="A94" s="28"/>
      <c r="B94" s="42"/>
      <c r="C94" s="42"/>
      <c r="D94" s="42"/>
      <c r="E94" s="42"/>
      <c r="F94" s="42"/>
      <c r="G94" s="42"/>
      <c r="H94" s="42"/>
      <c r="K94" s="8" t="str">
        <f>IF(A92=" "," ",".")</f>
        <v xml:space="preserve"> </v>
      </c>
    </row>
    <row r="95" spans="1:23" ht="17.100000000000001" hidden="1" customHeight="1" x14ac:dyDescent="0.2">
      <c r="A95" s="175"/>
      <c r="B95" s="154" t="str">
        <f>IF(OR(Schedule!F65=0,Schedule!F65=3,Schedule!F65="OT",Schedule!F65="3V",Schedule!F65="OTNV",Schedule!F65="OTV",Schedule!F65="3NV",Schedule!F65="3*",Schedule!F65="*3",Schedule!F65="2OTBT",Schedule!F65="4OTBT",Schedule!F65="2OTET",Schedule!F65="4OTET",Schedule!F65="*OTBT",Schedule!F65="*OTET")," ",Schedule!F65)</f>
        <v xml:space="preserve"> </v>
      </c>
      <c r="C95" s="154" t="str">
        <f>IF(OR(Schedule!G65=0,Schedule!G65=3,Schedule!G65="OT",Schedule!G65="3V",Schedule!G65="OTNV",Schedule!G65="OTV",Schedule!G65="3NV",Schedule!G65="3*",Schedule!G65="*3",Schedule!G65="2OTBT",Schedule!G65="4OTBT",Schedule!G65="2OTET",Schedule!G65="4OTET",Schedule!G65="*OTBT",Schedule!G65="*OTET")," ",Schedule!G65)</f>
        <v xml:space="preserve"> </v>
      </c>
      <c r="D95" s="154" t="str">
        <f>IF(OR(Schedule!H65=0,Schedule!H65=3,Schedule!H65="OT",Schedule!H65="3V",Schedule!H65="OTNV",Schedule!H65="OTV",Schedule!H65="3NV",Schedule!H65="3*",Schedule!H65="*3",Schedule!H65="2OTBT",Schedule!H65="4OTBT",Schedule!H65="2OTET",Schedule!H65="4OTET",Schedule!H65="*OTBT",Schedule!H65="*OTET")," ",Schedule!H65)</f>
        <v xml:space="preserve"> </v>
      </c>
      <c r="E95" s="154" t="str">
        <f>IF(OR(Schedule!I65=0,Schedule!I65=3,Schedule!I65="OT",Schedule!I65="3V",Schedule!I65="OTNV",Schedule!I65="OTV",Schedule!I65="3NV",Schedule!I65="3*",Schedule!I65="*3",Schedule!I65="2OTBT",Schedule!I65="4OTBT",Schedule!I65="2OTET",Schedule!I65="4OTET",Schedule!I65="*OTBT",Schedule!I65="*OTET")," ",Schedule!I65)</f>
        <v xml:space="preserve"> </v>
      </c>
      <c r="F95" s="154" t="str">
        <f>IF(OR(Schedule!J65=0,Schedule!J65=3,Schedule!J65="OT",Schedule!J65="3V",Schedule!J65="OTNV",Schedule!J65="OTV",Schedule!J65="3NV",Schedule!J65="3*",Schedule!J65="*3",Schedule!J65="2OTBT",Schedule!J65="4OTBT",Schedule!J65="2OTET",Schedule!J65="4OTET",Schedule!J65="*OTBT",Schedule!J65="*OTET")," ",Schedule!J65)</f>
        <v xml:space="preserve"> </v>
      </c>
      <c r="G95" s="154" t="str">
        <f>IF(OR(Schedule!K65=0,Schedule!K65=3,Schedule!K65="OT",Schedule!K65="3V",Schedule!K65="OTNV",Schedule!K65="OTV",Schedule!K65="3NV",Schedule!K65="3*",Schedule!K65="*3",Schedule!K65="2OTBT",Schedule!K65="4OTBT",Schedule!K65="2OTET",Schedule!K65="4OTET",Schedule!K65="*OTBT",Schedule!K65="*OTET")," ",Schedule!K65)</f>
        <v xml:space="preserve"> </v>
      </c>
      <c r="H95" s="154" t="str">
        <f>IF(OR(Schedule!L65=0,Schedule!L65=3,Schedule!L65="OT",Schedule!L65="3V",Schedule!L65="OTNV",Schedule!L65="OTV",Schedule!L65="3NV",Schedule!L65="3*",Schedule!L65="*3",Schedule!L65="2OTBT",Schedule!L65="4OTBT",Schedule!L65="2OTET",Schedule!L65="4OTET",Schedule!L65="*OTBT",Schedule!L65="*OTET")," ",Schedule!L65)</f>
        <v xml:space="preserve"> </v>
      </c>
      <c r="K95" s="8" t="str">
        <f>IF(A96=" "," ",".")</f>
        <v xml:space="preserve"> </v>
      </c>
    </row>
    <row r="96" spans="1:23" ht="17.100000000000001" hidden="1" customHeight="1" x14ac:dyDescent="0.2">
      <c r="A96" s="11" t="str">
        <f>'Master List'!C55</f>
        <v xml:space="preserve"> </v>
      </c>
      <c r="B96" s="4" t="str">
        <f>AB176</f>
        <v xml:space="preserve"> </v>
      </c>
      <c r="C96" s="4" t="str">
        <f>AE176</f>
        <v xml:space="preserve"> </v>
      </c>
      <c r="D96" s="4" t="str">
        <f>AH176</f>
        <v xml:space="preserve"> </v>
      </c>
      <c r="E96" s="4" t="str">
        <f>AK176</f>
        <v xml:space="preserve"> </v>
      </c>
      <c r="F96" s="4" t="str">
        <f>AN176</f>
        <v xml:space="preserve"> </v>
      </c>
      <c r="G96" s="4" t="str">
        <f>AQ176</f>
        <v xml:space="preserve"> </v>
      </c>
      <c r="H96" s="4" t="str">
        <f>AT176</f>
        <v xml:space="preserve"> </v>
      </c>
      <c r="K96" s="8" t="str">
        <f>IF(A96=" "," ",".")</f>
        <v xml:space="preserve"> </v>
      </c>
    </row>
    <row r="97" spans="1:49" ht="17.100000000000001" hidden="1" customHeight="1" x14ac:dyDescent="0.2">
      <c r="A97" s="176"/>
      <c r="B97" s="4" t="str">
        <f>AB177</f>
        <v/>
      </c>
      <c r="C97" s="4" t="str">
        <f>AE177</f>
        <v/>
      </c>
      <c r="D97" s="4" t="str">
        <f>AH177</f>
        <v/>
      </c>
      <c r="E97" s="4" t="str">
        <f>AK177</f>
        <v/>
      </c>
      <c r="F97" s="4" t="str">
        <f>AN177</f>
        <v/>
      </c>
      <c r="G97" s="4" t="str">
        <f>AQ177</f>
        <v/>
      </c>
      <c r="H97" s="4" t="str">
        <f>AT177</f>
        <v/>
      </c>
      <c r="K97" s="8" t="str">
        <f>IF(A96=" "," ",".")</f>
        <v xml:space="preserve"> </v>
      </c>
    </row>
    <row r="98" spans="1:49" ht="17.100000000000001" hidden="1" customHeight="1" thickBot="1" x14ac:dyDescent="0.25">
      <c r="A98" s="28"/>
      <c r="B98" s="42"/>
      <c r="C98" s="42"/>
      <c r="D98" s="42"/>
      <c r="E98" s="42"/>
      <c r="F98" s="42"/>
      <c r="G98" s="42"/>
      <c r="H98" s="42"/>
      <c r="K98" s="8" t="str">
        <f>IF(A96=" "," ",".")</f>
        <v xml:space="preserve"> </v>
      </c>
    </row>
    <row r="99" spans="1:49" ht="17.100000000000001" customHeight="1" x14ac:dyDescent="0.2">
      <c r="A99" s="771"/>
      <c r="B99" s="772"/>
      <c r="C99" s="772"/>
      <c r="D99" s="772"/>
      <c r="E99" s="772"/>
      <c r="F99" s="772"/>
      <c r="G99" s="772"/>
      <c r="H99" s="772"/>
      <c r="K99" s="781" t="s">
        <v>333</v>
      </c>
    </row>
    <row r="100" spans="1:49" ht="17.100000000000001" customHeight="1" x14ac:dyDescent="0.2">
      <c r="D100" s="8"/>
      <c r="K100" s="781" t="s">
        <v>333</v>
      </c>
      <c r="Q100" s="17"/>
      <c r="R100" s="17"/>
      <c r="S100" s="17"/>
      <c r="T100" s="17"/>
      <c r="U100" s="17"/>
      <c r="V100" s="17"/>
      <c r="W100" s="17"/>
      <c r="X100" s="17"/>
      <c r="Y100" s="17"/>
      <c r="Z100" s="17"/>
      <c r="AA100" s="17"/>
      <c r="AB100" s="17"/>
      <c r="AC100" s="17"/>
      <c r="AD100" s="17"/>
      <c r="AE100" s="17"/>
      <c r="AF100" s="17"/>
      <c r="AL100" s="17"/>
      <c r="AM100" s="17"/>
      <c r="AN100" s="17"/>
      <c r="AO100" s="17"/>
      <c r="AP100" s="17"/>
      <c r="AQ100" s="17"/>
      <c r="AR100" s="387" t="str">
        <f>G71</f>
        <v xml:space="preserve"> </v>
      </c>
      <c r="AS100" s="387" t="str">
        <f>H71</f>
        <v xml:space="preserve"> </v>
      </c>
      <c r="AT100" s="17"/>
      <c r="AU100" s="17"/>
      <c r="AV100" s="17"/>
      <c r="AW100" s="17"/>
    </row>
    <row r="101" spans="1:49" ht="17.100000000000001" customHeight="1" x14ac:dyDescent="0.2">
      <c r="D101" s="8"/>
      <c r="K101" s="781" t="s">
        <v>333</v>
      </c>
      <c r="Q101" s="17"/>
      <c r="R101" s="17"/>
      <c r="S101" s="17"/>
      <c r="T101" s="17"/>
      <c r="U101" s="17"/>
      <c r="V101" s="17"/>
      <c r="W101" s="17"/>
      <c r="X101" s="17"/>
      <c r="Y101" s="17"/>
      <c r="Z101" s="17"/>
      <c r="AA101" s="17"/>
      <c r="AB101" s="17"/>
      <c r="AC101" s="17"/>
      <c r="AD101" s="17"/>
      <c r="AE101" s="17"/>
      <c r="AF101" s="17"/>
      <c r="AG101" s="17"/>
      <c r="AH101" s="17"/>
      <c r="AI101" s="17"/>
      <c r="AJ101" s="17"/>
      <c r="AK101" s="17"/>
      <c r="AL101" s="17"/>
      <c r="AM101" s="17"/>
      <c r="AN101" s="17"/>
      <c r="AO101" s="17"/>
      <c r="AP101" s="17"/>
      <c r="AQ101" s="17"/>
      <c r="AR101" s="17"/>
      <c r="AS101" s="17"/>
      <c r="AT101" s="17"/>
      <c r="AU101" s="17"/>
      <c r="AV101" s="17"/>
      <c r="AW101" s="17"/>
    </row>
    <row r="102" spans="1:49" ht="17.100000000000001" customHeight="1" x14ac:dyDescent="0.2">
      <c r="D102" s="8"/>
      <c r="K102" s="781" t="s">
        <v>333</v>
      </c>
      <c r="Q102" s="17"/>
      <c r="R102" s="17"/>
      <c r="S102" s="17"/>
      <c r="T102" s="17"/>
      <c r="U102" s="17"/>
      <c r="V102" s="17"/>
      <c r="W102" s="17"/>
      <c r="X102" s="17"/>
      <c r="Y102" s="17"/>
      <c r="Z102" s="17"/>
      <c r="AA102" s="17"/>
      <c r="AB102" s="17"/>
      <c r="AC102" s="17"/>
      <c r="AD102" s="17"/>
      <c r="AE102" s="17"/>
      <c r="AF102" s="17"/>
      <c r="AG102" s="17"/>
      <c r="AH102" s="17"/>
      <c r="AI102" s="17"/>
      <c r="AJ102" s="17"/>
      <c r="AK102" s="17"/>
      <c r="AL102" s="17"/>
      <c r="AM102" s="17"/>
      <c r="AN102" s="17"/>
      <c r="AO102" s="17"/>
      <c r="AP102" s="17"/>
      <c r="AQ102" s="17"/>
      <c r="AR102" s="17"/>
      <c r="AS102" s="17"/>
      <c r="AT102" s="17"/>
      <c r="AU102" s="17"/>
      <c r="AV102" s="17"/>
      <c r="AW102" s="17"/>
    </row>
    <row r="103" spans="1:49" ht="20.100000000000001" customHeight="1" x14ac:dyDescent="0.2">
      <c r="D103" s="8"/>
      <c r="K103" s="781" t="s">
        <v>333</v>
      </c>
      <c r="Q103" s="17"/>
      <c r="R103" s="17"/>
      <c r="S103" s="17"/>
      <c r="T103" s="17"/>
      <c r="U103" s="17"/>
      <c r="V103" s="17"/>
      <c r="W103" s="17"/>
      <c r="X103" s="17"/>
      <c r="Y103" s="17"/>
      <c r="Z103" s="17"/>
      <c r="AA103" s="17"/>
      <c r="AB103" s="849" t="s">
        <v>152</v>
      </c>
      <c r="AC103" s="849"/>
      <c r="AD103" s="848"/>
      <c r="AE103" s="849" t="s">
        <v>153</v>
      </c>
      <c r="AF103" s="849"/>
      <c r="AG103" s="848"/>
      <c r="AH103" s="849" t="s">
        <v>154</v>
      </c>
      <c r="AI103" s="849"/>
      <c r="AJ103" s="848"/>
      <c r="AK103" s="849" t="s">
        <v>155</v>
      </c>
      <c r="AL103" s="849"/>
      <c r="AM103" s="848"/>
      <c r="AN103" s="847" t="s">
        <v>156</v>
      </c>
      <c r="AO103" s="847"/>
      <c r="AP103" s="848"/>
      <c r="AQ103" s="849" t="s">
        <v>157</v>
      </c>
      <c r="AR103" s="849"/>
      <c r="AS103" s="849"/>
      <c r="AT103" s="849" t="s">
        <v>158</v>
      </c>
      <c r="AU103" s="849"/>
      <c r="AV103" s="848"/>
      <c r="AW103" s="17"/>
    </row>
    <row r="104" spans="1:49" ht="20.100000000000001" customHeight="1" x14ac:dyDescent="0.2">
      <c r="D104" s="8"/>
      <c r="K104" s="781" t="s">
        <v>333</v>
      </c>
      <c r="Q104" s="17"/>
      <c r="R104" s="17"/>
      <c r="S104" s="17"/>
      <c r="T104" s="17"/>
      <c r="U104" s="17"/>
      <c r="V104" s="17"/>
      <c r="W104" s="17"/>
      <c r="X104" s="17"/>
      <c r="Y104" s="17"/>
      <c r="Z104" s="17"/>
      <c r="AA104" s="17"/>
      <c r="AB104" s="307"/>
      <c r="AC104" s="307" t="s">
        <v>159</v>
      </c>
      <c r="AD104" s="307" t="s">
        <v>160</v>
      </c>
      <c r="AE104" s="308"/>
      <c r="AF104" s="307" t="s">
        <v>159</v>
      </c>
      <c r="AG104" s="307" t="s">
        <v>160</v>
      </c>
      <c r="AH104" s="308"/>
      <c r="AI104" s="307" t="s">
        <v>159</v>
      </c>
      <c r="AJ104" s="307" t="s">
        <v>160</v>
      </c>
      <c r="AK104" s="147"/>
      <c r="AL104" s="307" t="s">
        <v>159</v>
      </c>
      <c r="AM104" s="307" t="s">
        <v>160</v>
      </c>
      <c r="AN104" s="171"/>
      <c r="AO104" s="307" t="s">
        <v>159</v>
      </c>
      <c r="AP104" s="307" t="s">
        <v>160</v>
      </c>
      <c r="AQ104" s="308"/>
      <c r="AR104" s="307" t="s">
        <v>159</v>
      </c>
      <c r="AS104" s="307" t="s">
        <v>160</v>
      </c>
      <c r="AT104" s="308"/>
      <c r="AU104" s="307" t="s">
        <v>159</v>
      </c>
      <c r="AV104" s="307" t="s">
        <v>160</v>
      </c>
      <c r="AW104" s="17"/>
    </row>
    <row r="105" spans="1:49" ht="20.100000000000001" customHeight="1" x14ac:dyDescent="0.25">
      <c r="D105" s="8"/>
      <c r="K105" s="781" t="s">
        <v>333</v>
      </c>
      <c r="Q105" s="323"/>
      <c r="R105" s="335" t="s">
        <v>159</v>
      </c>
      <c r="S105" s="324"/>
      <c r="T105" s="17"/>
      <c r="U105" s="17"/>
      <c r="V105" s="333"/>
      <c r="W105" s="335" t="s">
        <v>161</v>
      </c>
      <c r="X105" s="334"/>
      <c r="Y105" s="320"/>
      <c r="Z105" s="17"/>
      <c r="AA105" s="17"/>
      <c r="AB105" s="17"/>
      <c r="AC105" s="17"/>
      <c r="AD105" s="17"/>
      <c r="AE105" s="17"/>
      <c r="AF105" s="17"/>
      <c r="AG105" s="17"/>
      <c r="AH105" s="17"/>
      <c r="AI105" s="17"/>
      <c r="AJ105" s="17"/>
      <c r="AK105" s="17"/>
      <c r="AL105" s="17"/>
      <c r="AM105" s="17">
        <v>23</v>
      </c>
      <c r="AN105" s="17"/>
      <c r="AO105" s="17"/>
      <c r="AP105" s="17"/>
      <c r="AQ105" s="17"/>
      <c r="AR105" s="17"/>
      <c r="AS105" s="17"/>
      <c r="AT105" s="17"/>
      <c r="AU105" s="17"/>
      <c r="AV105" s="17"/>
      <c r="AW105" s="17"/>
    </row>
    <row r="106" spans="1:49" ht="20.100000000000001" customHeight="1" x14ac:dyDescent="0.2">
      <c r="D106" s="8"/>
      <c r="K106" s="781" t="str">
        <f>IF(AA107=" "," ",".")</f>
        <v>.</v>
      </c>
      <c r="Q106" s="325"/>
      <c r="R106" s="326"/>
      <c r="S106" s="327"/>
      <c r="T106" s="17"/>
      <c r="U106" s="17"/>
      <c r="V106" s="325"/>
      <c r="W106" s="326"/>
      <c r="X106" s="326"/>
      <c r="Y106" s="327"/>
      <c r="Z106" s="17"/>
      <c r="AA106" s="313"/>
      <c r="AB106" s="318" t="str">
        <f>B3</f>
        <v xml:space="preserve"> </v>
      </c>
      <c r="AC106" s="336">
        <v>25</v>
      </c>
      <c r="AD106" s="337">
        <v>2</v>
      </c>
      <c r="AE106" s="318" t="str">
        <f>C3</f>
        <v xml:space="preserve"> </v>
      </c>
      <c r="AF106" s="336">
        <v>25</v>
      </c>
      <c r="AG106" s="337">
        <v>2</v>
      </c>
      <c r="AH106" s="318" t="str">
        <f>D3</f>
        <v xml:space="preserve"> </v>
      </c>
      <c r="AI106" s="336">
        <v>25</v>
      </c>
      <c r="AJ106" s="337">
        <v>2</v>
      </c>
      <c r="AK106" s="318" t="str">
        <f>E3</f>
        <v xml:space="preserve"> </v>
      </c>
      <c r="AL106" s="336">
        <v>25</v>
      </c>
      <c r="AM106" s="337">
        <v>2</v>
      </c>
      <c r="AN106" s="318" t="str">
        <f>F3</f>
        <v>NS</v>
      </c>
      <c r="AO106" s="336">
        <v>25</v>
      </c>
      <c r="AP106" s="337">
        <v>2</v>
      </c>
      <c r="AQ106" s="318" t="str">
        <f>G3</f>
        <v>NS</v>
      </c>
      <c r="AR106" s="336">
        <v>1</v>
      </c>
      <c r="AS106" s="337">
        <v>19</v>
      </c>
      <c r="AT106" s="318" t="str">
        <f>H3</f>
        <v xml:space="preserve"> </v>
      </c>
      <c r="AU106" s="336">
        <v>25</v>
      </c>
      <c r="AV106" s="337">
        <v>2</v>
      </c>
      <c r="AW106" s="17"/>
    </row>
    <row r="107" spans="1:49" ht="20.100000000000001" customHeight="1" x14ac:dyDescent="0.2">
      <c r="D107" s="8"/>
      <c r="K107" s="781" t="str">
        <f>IF(AA107=" "," ",".")</f>
        <v>.</v>
      </c>
      <c r="Q107" s="325"/>
      <c r="R107" s="326"/>
      <c r="S107" s="327"/>
      <c r="T107" s="17"/>
      <c r="U107" s="17"/>
      <c r="V107" s="325"/>
      <c r="W107" s="326"/>
      <c r="X107" s="326"/>
      <c r="Y107" s="327"/>
      <c r="Z107" s="17"/>
      <c r="AA107" s="338" t="str">
        <f>'Master List'!C32</f>
        <v>J. BRADHAM</v>
      </c>
      <c r="AB107" s="340" t="str">
        <f>IF(OR(AB106&gt;" ",INDEX($R$108:$R$150,AC106)=0)," ",INDEX($R$108:$R$150,AC106))</f>
        <v>DBCS</v>
      </c>
      <c r="AC107" s="341"/>
      <c r="AD107" s="342"/>
      <c r="AE107" s="340" t="str">
        <f>IF(OR(AE106&gt;" ",INDEX($R$108:$R$150,AF106)=0)," ",INDEX($R$108:$R$150,AF106))</f>
        <v>DBCS</v>
      </c>
      <c r="AF107" s="341"/>
      <c r="AG107" s="342"/>
      <c r="AH107" s="340" t="str">
        <f>IF(OR(AH106&gt;" ",INDEX($R$108:$R$150,AI106)=0)," ",INDEX($R$108:$R$150,AI106))</f>
        <v>DBCS</v>
      </c>
      <c r="AI107" s="341"/>
      <c r="AJ107" s="342"/>
      <c r="AK107" s="340" t="str">
        <f>IF(OR(AK106&gt;" ",INDEX($R$108:$R$150,AL106)=0)," ",INDEX($R$108:$R$150,AL106))</f>
        <v>DBCS</v>
      </c>
      <c r="AL107" s="341"/>
      <c r="AM107" s="342"/>
      <c r="AN107" s="340" t="str">
        <f>IF(OR(AN106&gt;" ",INDEX($R$108:$R$150,AO106)=0)," ",INDEX($R$108:$R$150,AO106))</f>
        <v xml:space="preserve"> </v>
      </c>
      <c r="AO107" s="341"/>
      <c r="AP107" s="342"/>
      <c r="AQ107" s="433" t="str">
        <f>IF(OR(AQ106&gt;" ",INDEX($R$108:$R$150,AR106)=0)," ",INDEX($R$108:$R$150,AR106))</f>
        <v xml:space="preserve"> </v>
      </c>
      <c r="AR107" s="341"/>
      <c r="AS107" s="435"/>
      <c r="AT107" s="433" t="str">
        <f>IF(OR(AT106&gt;" ",INDEX($R$108:$R$150,AU106)=0)," ",INDEX($R$108:$R$150,AU106))</f>
        <v>DBCS</v>
      </c>
      <c r="AU107" s="341"/>
      <c r="AV107" s="435"/>
      <c r="AW107" s="17"/>
    </row>
    <row r="108" spans="1:49" ht="20.100000000000001" customHeight="1" x14ac:dyDescent="0.2">
      <c r="D108" s="8"/>
      <c r="K108" s="781" t="str">
        <f>IF(AA107=" "," ",".")</f>
        <v>.</v>
      </c>
      <c r="Q108" s="328">
        <v>1</v>
      </c>
      <c r="R108" s="329" t="s">
        <v>137</v>
      </c>
      <c r="S108" s="347"/>
      <c r="T108" s="309"/>
      <c r="U108" s="309"/>
      <c r="V108" s="328">
        <v>1</v>
      </c>
      <c r="W108" s="329" t="s">
        <v>315</v>
      </c>
      <c r="X108" s="17"/>
      <c r="Y108" s="347"/>
      <c r="Z108" s="309"/>
      <c r="AA108" s="349"/>
      <c r="AB108" s="340" t="str">
        <f>IF(AB107=" ","",INDEX($W$108:$W$151,AD106))</f>
        <v>HSTS/STRAPPER</v>
      </c>
      <c r="AC108" s="343"/>
      <c r="AD108" s="344"/>
      <c r="AE108" s="506" t="str">
        <f>IF(AE107=" ","",INDEX($W$108:$W$151,AG106))</f>
        <v>HSTS/STRAPPER</v>
      </c>
      <c r="AF108" s="529"/>
      <c r="AG108" s="344"/>
      <c r="AH108" s="506" t="str">
        <f>IF(AH107=" ","",INDEX($W$108:$W$151,AJ106))</f>
        <v>HSTS/STRAPPER</v>
      </c>
      <c r="AI108" s="437"/>
      <c r="AJ108" s="344"/>
      <c r="AK108" s="506" t="str">
        <f>IF(AK107=" ","",INDEX($W$108:$W$151,AM106))</f>
        <v>HSTS/STRAPPER</v>
      </c>
      <c r="AL108" s="343"/>
      <c r="AM108" s="344"/>
      <c r="AN108" s="506" t="str">
        <f>IF(AN107=" ","",INDEX($W$108:$W$151,AP106))</f>
        <v/>
      </c>
      <c r="AO108" s="343"/>
      <c r="AP108" s="344"/>
      <c r="AQ108" s="436" t="str">
        <f>IF(AQ107=" ","",INDEX($W$108:$W$151,AS106))</f>
        <v/>
      </c>
      <c r="AR108" s="437"/>
      <c r="AS108" s="438"/>
      <c r="AT108" s="652" t="str">
        <f>IF(AT107=" ","",INDEX($W$108:$W$151,AV106))</f>
        <v>HSTS/STRAPPER</v>
      </c>
      <c r="AU108" s="437"/>
      <c r="AV108" s="438"/>
      <c r="AW108" s="17" t="s">
        <v>56</v>
      </c>
    </row>
    <row r="109" spans="1:49" ht="20.100000000000001" customHeight="1" x14ac:dyDescent="0.2">
      <c r="D109" s="8"/>
      <c r="K109" s="781" t="str">
        <f>IF(AA110=" "," ",".")</f>
        <v>.</v>
      </c>
      <c r="Q109" s="328">
        <v>2</v>
      </c>
      <c r="R109" s="768" t="s">
        <v>343</v>
      </c>
      <c r="S109" s="347"/>
      <c r="T109" s="309"/>
      <c r="U109" s="309"/>
      <c r="V109" s="328">
        <v>2</v>
      </c>
      <c r="W109" s="329" t="s">
        <v>313</v>
      </c>
      <c r="X109" s="17"/>
      <c r="Y109" s="347"/>
      <c r="Z109" s="309"/>
      <c r="AA109" s="350"/>
      <c r="AB109" s="318" t="str">
        <f>B7</f>
        <v xml:space="preserve"> </v>
      </c>
      <c r="AC109" s="336">
        <v>1</v>
      </c>
      <c r="AD109" s="337">
        <v>22</v>
      </c>
      <c r="AE109" s="318" t="str">
        <f>C7</f>
        <v>NS</v>
      </c>
      <c r="AF109" s="336">
        <v>1</v>
      </c>
      <c r="AG109" s="337">
        <v>22</v>
      </c>
      <c r="AH109" s="318" t="str">
        <f>D7</f>
        <v>NS</v>
      </c>
      <c r="AI109" s="336">
        <v>1</v>
      </c>
      <c r="AJ109" s="337">
        <v>22</v>
      </c>
      <c r="AK109" s="318" t="str">
        <f>E7</f>
        <v xml:space="preserve"> </v>
      </c>
      <c r="AL109" s="336">
        <v>1</v>
      </c>
      <c r="AM109" s="337">
        <v>22</v>
      </c>
      <c r="AN109" s="318" t="str">
        <f>F7</f>
        <v xml:space="preserve"> </v>
      </c>
      <c r="AO109" s="336">
        <v>1</v>
      </c>
      <c r="AP109" s="337">
        <v>22</v>
      </c>
      <c r="AQ109" s="388" t="str">
        <f>G7</f>
        <v xml:space="preserve"> </v>
      </c>
      <c r="AR109" s="389">
        <v>1</v>
      </c>
      <c r="AS109" s="390">
        <v>22</v>
      </c>
      <c r="AT109" s="388" t="str">
        <f>H7</f>
        <v xml:space="preserve"> </v>
      </c>
      <c r="AU109" s="389">
        <v>1</v>
      </c>
      <c r="AV109" s="390">
        <v>22</v>
      </c>
      <c r="AW109" s="17"/>
    </row>
    <row r="110" spans="1:49" ht="20.100000000000001" customHeight="1" x14ac:dyDescent="0.2">
      <c r="D110" s="8"/>
      <c r="K110" s="781" t="str">
        <f>IF(AA110=" "," ",".")</f>
        <v>.</v>
      </c>
      <c r="Q110" s="328">
        <v>3</v>
      </c>
      <c r="R110" s="346" t="s">
        <v>131</v>
      </c>
      <c r="S110" s="347"/>
      <c r="T110" s="309"/>
      <c r="U110" s="309"/>
      <c r="V110" s="328">
        <v>3</v>
      </c>
      <c r="W110" s="768" t="s">
        <v>56</v>
      </c>
      <c r="X110" s="17"/>
      <c r="Y110" s="347"/>
      <c r="Z110" s="309"/>
      <c r="AA110" s="319" t="str">
        <f>'Master List'!C33</f>
        <v>C. FERNANDEZ JR</v>
      </c>
      <c r="AB110" s="340" t="str">
        <f>IF(OR(AB109&gt;" ",INDEX($R$108:$R$150,AC109)=0)," ",INDEX($R$108:$R$150,AC109))</f>
        <v>AFSM</v>
      </c>
      <c r="AC110" s="341"/>
      <c r="AD110" s="342"/>
      <c r="AE110" s="340" t="str">
        <f>IF(OR(AE109&gt;" ",INDEX($R$108:$R$150,AF109)=0)," ",INDEX($R$108:$R$150,AF109))</f>
        <v xml:space="preserve"> </v>
      </c>
      <c r="AF110" s="341"/>
      <c r="AG110" s="342"/>
      <c r="AH110" s="433" t="str">
        <f>IF(OR(AH109&gt;" ",INDEX($R$108:$R$150,AI109)=0)," ",INDEX($R$108:$R$150,AI109))</f>
        <v xml:space="preserve"> </v>
      </c>
      <c r="AI110" s="341"/>
      <c r="AJ110" s="435"/>
      <c r="AK110" s="340" t="str">
        <f>IF(OR(AK109&gt;" ",INDEX($R$108:$R$150,AL109)=0)," ",INDEX($R$108:$R$150,AL109))</f>
        <v>AFSM</v>
      </c>
      <c r="AL110" s="341"/>
      <c r="AM110" s="342"/>
      <c r="AN110" s="340" t="str">
        <f>IF(OR(AN109&gt;" ",INDEX($R$108:$R$150,AO109)=0)," ",INDEX($R$108:$R$150,AO109))</f>
        <v>AFSM</v>
      </c>
      <c r="AO110" s="341"/>
      <c r="AP110" s="342"/>
      <c r="AQ110" s="433" t="str">
        <f>IF(OR(AQ109&gt;" ",INDEX($R$108:$R$150,AR109)=0)," ",INDEX($R$108:$R$150,AR109))</f>
        <v>AFSM</v>
      </c>
      <c r="AR110" s="341"/>
      <c r="AS110" s="435"/>
      <c r="AT110" s="433" t="str">
        <f>IF(OR(AT109&gt;" ",INDEX($R$108:$R$150,AU109)=0)," ",INDEX($R$108:$R$150,AU109))</f>
        <v>AFSM</v>
      </c>
      <c r="AU110" s="341"/>
      <c r="AV110" s="435"/>
      <c r="AW110" s="17"/>
    </row>
    <row r="111" spans="1:49" ht="20.100000000000001" customHeight="1" x14ac:dyDescent="0.2">
      <c r="D111" s="8"/>
      <c r="K111" s="781" t="str">
        <f>IF(AA110=" "," ",".")</f>
        <v>.</v>
      </c>
      <c r="Q111" s="328">
        <v>4</v>
      </c>
      <c r="R111" s="329" t="s">
        <v>140</v>
      </c>
      <c r="S111" s="347"/>
      <c r="T111" s="309"/>
      <c r="U111" s="309"/>
      <c r="V111" s="328">
        <v>4</v>
      </c>
      <c r="W111" s="329" t="s">
        <v>277</v>
      </c>
      <c r="X111" s="17"/>
      <c r="Y111" s="347"/>
      <c r="Z111" s="309"/>
      <c r="AA111" s="349"/>
      <c r="AB111" s="340" t="str">
        <f>IF(AB110=" ","",INDEX($W$108:$W$151,AD109))</f>
        <v xml:space="preserve">     UniBuEur</v>
      </c>
      <c r="AC111" s="343"/>
      <c r="AD111" s="344"/>
      <c r="AE111" s="506" t="str">
        <f>IF(AE110=" ","",INDEX($W$108:$W$151,AG109))</f>
        <v/>
      </c>
      <c r="AF111" s="343"/>
      <c r="AG111" s="344"/>
      <c r="AH111" s="436" t="str">
        <f>IF(AH110=" ","",INDEX($W$108:$W$151,AJ109))</f>
        <v/>
      </c>
      <c r="AI111" s="437"/>
      <c r="AJ111" s="438"/>
      <c r="AK111" s="506" t="str">
        <f>IF(AK110=" ","",INDEX($W$108:$W$151,AM109))</f>
        <v xml:space="preserve">     UniBuEur</v>
      </c>
      <c r="AL111" s="437"/>
      <c r="AM111" s="344"/>
      <c r="AN111" s="506" t="str">
        <f>IF(AN110=" ","",INDEX($W$108:$W$151,AP109))</f>
        <v xml:space="preserve">     UniBuEur</v>
      </c>
      <c r="AO111" s="343"/>
      <c r="AP111" s="344"/>
      <c r="AQ111" s="436" t="str">
        <f>IF(AQ110=" ","",INDEX($W$108:$W$151,AS109))</f>
        <v xml:space="preserve">     UniBuEur</v>
      </c>
      <c r="AR111" s="437"/>
      <c r="AS111" s="438"/>
      <c r="AT111" s="436" t="str">
        <f>IF(AT110=" ","",INDEX($W$108:$W$151,AV109))</f>
        <v xml:space="preserve">     UniBuEur</v>
      </c>
      <c r="AU111" s="437"/>
      <c r="AV111" s="438"/>
      <c r="AW111" s="17" t="s">
        <v>56</v>
      </c>
    </row>
    <row r="112" spans="1:49" ht="20.100000000000001" customHeight="1" x14ac:dyDescent="0.2">
      <c r="D112" s="8"/>
      <c r="K112" s="781" t="str">
        <f>IF(AA113=" "," ",".")</f>
        <v>.</v>
      </c>
      <c r="Q112" s="328">
        <v>5</v>
      </c>
      <c r="R112" s="329" t="s">
        <v>75</v>
      </c>
      <c r="S112" s="347"/>
      <c r="T112" s="309"/>
      <c r="U112" s="309"/>
      <c r="V112" s="328">
        <v>5</v>
      </c>
      <c r="W112" s="329" t="s">
        <v>319</v>
      </c>
      <c r="X112" s="17"/>
      <c r="Y112" s="347"/>
      <c r="Z112" s="309"/>
      <c r="AA112" s="350"/>
      <c r="AB112" s="318" t="str">
        <f>B11</f>
        <v>NS</v>
      </c>
      <c r="AC112" s="336">
        <v>1</v>
      </c>
      <c r="AD112" s="337">
        <v>22</v>
      </c>
      <c r="AE112" s="318" t="str">
        <f>C11</f>
        <v xml:space="preserve"> </v>
      </c>
      <c r="AF112" s="336">
        <v>1</v>
      </c>
      <c r="AG112" s="337">
        <v>4</v>
      </c>
      <c r="AH112" s="318" t="str">
        <f>D11</f>
        <v xml:space="preserve"> </v>
      </c>
      <c r="AI112" s="336">
        <v>1</v>
      </c>
      <c r="AJ112" s="337">
        <v>4</v>
      </c>
      <c r="AK112" s="318" t="str">
        <f>E11</f>
        <v xml:space="preserve"> </v>
      </c>
      <c r="AL112" s="336">
        <v>1</v>
      </c>
      <c r="AM112" s="337">
        <v>4</v>
      </c>
      <c r="AN112" s="318" t="str">
        <f>F11</f>
        <v xml:space="preserve"> </v>
      </c>
      <c r="AO112" s="336">
        <v>1</v>
      </c>
      <c r="AP112" s="337">
        <v>4</v>
      </c>
      <c r="AQ112" s="388" t="str">
        <f>G11</f>
        <v xml:space="preserve"> </v>
      </c>
      <c r="AR112" s="389">
        <v>1</v>
      </c>
      <c r="AS112" s="390">
        <v>4</v>
      </c>
      <c r="AT112" s="388" t="str">
        <f>H11</f>
        <v>NS</v>
      </c>
      <c r="AU112" s="389">
        <v>1</v>
      </c>
      <c r="AV112" s="390">
        <v>4</v>
      </c>
      <c r="AW112" s="17"/>
    </row>
    <row r="113" spans="4:49" ht="20.100000000000001" customHeight="1" x14ac:dyDescent="0.2">
      <c r="D113" s="8"/>
      <c r="K113" s="781" t="str">
        <f>IF(AA113=" "," ",".")</f>
        <v>.</v>
      </c>
      <c r="Q113" s="328">
        <v>6</v>
      </c>
      <c r="R113" s="329" t="s">
        <v>199</v>
      </c>
      <c r="S113" s="347"/>
      <c r="T113" s="309"/>
      <c r="U113" s="309"/>
      <c r="V113" s="328">
        <v>6</v>
      </c>
      <c r="W113" s="329" t="s">
        <v>324</v>
      </c>
      <c r="X113" s="17"/>
      <c r="Y113" s="347"/>
      <c r="Z113" s="309"/>
      <c r="AA113" s="319" t="str">
        <f>'Master List'!C34</f>
        <v>W. BROWN</v>
      </c>
      <c r="AB113" s="850" t="str">
        <f>IF(OR(AB112&gt;" ",INDEX($R$108:$R$150,AC112)=0)," ",INDEX($R$108:$R$150,AC112))</f>
        <v xml:space="preserve"> </v>
      </c>
      <c r="AC113" s="851"/>
      <c r="AD113" s="852"/>
      <c r="AE113" s="340" t="str">
        <f>IF(OR(AE112&gt;" ",INDEX($R$108:$R$150,AF112)=0)," ",INDEX($R$108:$R$150,AF112))</f>
        <v>AFSM</v>
      </c>
      <c r="AF113" s="341"/>
      <c r="AG113" s="342"/>
      <c r="AH113" s="340" t="str">
        <f>IF(OR(AH112&gt;" ",INDEX($R$108:$R$150,AI112)=0)," ",INDEX($R$108:$R$150,AI112))</f>
        <v>AFSM</v>
      </c>
      <c r="AI113" s="341"/>
      <c r="AJ113" s="342"/>
      <c r="AK113" s="340" t="str">
        <f>IF(OR(AK112&gt;" ",INDEX($R$108:$R$150,AL112)=0)," ",INDEX($R$108:$R$150,AL112))</f>
        <v>AFSM</v>
      </c>
      <c r="AL113" s="341"/>
      <c r="AM113" s="342"/>
      <c r="AN113" s="340" t="str">
        <f>IF(OR(AN112&gt;" ",INDEX($R$108:$R$150,AO112)=0)," ",INDEX($R$108:$R$150,AO112))</f>
        <v>AFSM</v>
      </c>
      <c r="AO113" s="341"/>
      <c r="AP113" s="342"/>
      <c r="AQ113" s="433" t="str">
        <f>IF(OR(AQ112&gt;" ",INDEX($R$108:$R$150,AR112)=0)," ",INDEX($R$108:$R$150,AR112))</f>
        <v>AFSM</v>
      </c>
      <c r="AR113" s="434"/>
      <c r="AS113" s="435"/>
      <c r="AT113" s="433" t="str">
        <f>IF(OR(AT112&gt;" ",INDEX($R$108:$R$150,AU112)=0)," ",INDEX($R$108:$R$150,AU112))</f>
        <v xml:space="preserve"> </v>
      </c>
      <c r="AU113" s="341"/>
      <c r="AV113" s="435"/>
      <c r="AW113" s="17"/>
    </row>
    <row r="114" spans="4:49" ht="20.100000000000001" customHeight="1" x14ac:dyDescent="0.2">
      <c r="D114" s="8"/>
      <c r="K114" s="781" t="str">
        <f>IF(AA113=" "," ",".")</f>
        <v>.</v>
      </c>
      <c r="Q114" s="328">
        <v>7</v>
      </c>
      <c r="R114" s="329" t="s">
        <v>178</v>
      </c>
      <c r="S114" s="347"/>
      <c r="T114" s="309"/>
      <c r="U114" s="309"/>
      <c r="V114" s="328">
        <v>7</v>
      </c>
      <c r="W114" s="329" t="s">
        <v>271</v>
      </c>
      <c r="X114" s="17"/>
      <c r="Y114" s="347"/>
      <c r="Z114" s="309"/>
      <c r="AA114" s="349"/>
      <c r="AB114" s="506" t="str">
        <f>IF(AB113=" ","",INDEX($W$108:$W$151,AD112))</f>
        <v/>
      </c>
      <c r="AC114" s="343"/>
      <c r="AD114" s="344"/>
      <c r="AE114" s="506" t="str">
        <f>IF(AE113=" ","",INDEX($W$108:$W$151,AG112))</f>
        <v xml:space="preserve">     FSS RELIEF</v>
      </c>
      <c r="AF114" s="343"/>
      <c r="AG114" s="344"/>
      <c r="AH114" s="506" t="str">
        <f>IF(AH113=" ","",INDEX($W$108:$W$151,AJ112))</f>
        <v xml:space="preserve">     FSS RELIEF</v>
      </c>
      <c r="AI114" s="343"/>
      <c r="AJ114" s="344"/>
      <c r="AK114" s="340" t="str">
        <f>IF(AK113=" ","",INDEX($W$108:$W$151,AM112))</f>
        <v xml:space="preserve">     FSS RELIEF</v>
      </c>
      <c r="AL114" s="437"/>
      <c r="AM114" s="344"/>
      <c r="AN114" s="340" t="str">
        <f>IF(AN113=" ","",INDEX($W$108:$W$151,AP112))</f>
        <v xml:space="preserve">     FSS RELIEF</v>
      </c>
      <c r="AO114" s="343"/>
      <c r="AP114" s="344"/>
      <c r="AQ114" s="436" t="str">
        <f>IF(AQ113=" ","",INDEX($W$108:$W$151,AS112))</f>
        <v xml:space="preserve">     FSS RELIEF</v>
      </c>
      <c r="AR114" s="437"/>
      <c r="AS114" s="438"/>
      <c r="AT114" s="436" t="str">
        <f>IF(AT113=" ","",INDEX($W$108:$W$151,AV112))</f>
        <v/>
      </c>
      <c r="AU114" s="437"/>
      <c r="AV114" s="438"/>
      <c r="AW114" s="17" t="s">
        <v>56</v>
      </c>
    </row>
    <row r="115" spans="4:49" ht="20.100000000000001" customHeight="1" x14ac:dyDescent="0.2">
      <c r="D115" s="8"/>
      <c r="K115" s="781" t="str">
        <f>IF(AA116=" "," ",".")</f>
        <v>.</v>
      </c>
      <c r="Q115" s="328">
        <v>8</v>
      </c>
      <c r="R115" s="476" t="s">
        <v>278</v>
      </c>
      <c r="S115" s="347"/>
      <c r="T115" s="309"/>
      <c r="U115" s="309"/>
      <c r="V115" s="328">
        <v>8</v>
      </c>
      <c r="W115" s="364" t="s">
        <v>357</v>
      </c>
      <c r="X115" s="17"/>
      <c r="Y115" s="347"/>
      <c r="Z115" s="309"/>
      <c r="AA115" s="350"/>
      <c r="AB115" s="318" t="str">
        <f>B15</f>
        <v>NS</v>
      </c>
      <c r="AC115" s="336">
        <v>1</v>
      </c>
      <c r="AD115" s="337">
        <v>22</v>
      </c>
      <c r="AE115" s="318" t="str">
        <f>C15</f>
        <v>NS</v>
      </c>
      <c r="AF115" s="336">
        <v>1</v>
      </c>
      <c r="AG115" s="337">
        <v>22</v>
      </c>
      <c r="AH115" s="318" t="str">
        <f>D15</f>
        <v xml:space="preserve"> </v>
      </c>
      <c r="AI115" s="336">
        <v>1</v>
      </c>
      <c r="AJ115" s="337">
        <v>22</v>
      </c>
      <c r="AK115" s="318" t="str">
        <f>E15</f>
        <v xml:space="preserve"> </v>
      </c>
      <c r="AL115" s="336">
        <v>1</v>
      </c>
      <c r="AM115" s="337">
        <v>22</v>
      </c>
      <c r="AN115" s="318" t="str">
        <f>F15</f>
        <v xml:space="preserve"> </v>
      </c>
      <c r="AO115" s="336">
        <v>1</v>
      </c>
      <c r="AP115" s="337">
        <v>22</v>
      </c>
      <c r="AQ115" s="388" t="str">
        <f>G15</f>
        <v xml:space="preserve"> </v>
      </c>
      <c r="AR115" s="389">
        <v>1</v>
      </c>
      <c r="AS115" s="390">
        <v>22</v>
      </c>
      <c r="AT115" s="388" t="str">
        <f>H15</f>
        <v xml:space="preserve"> </v>
      </c>
      <c r="AU115" s="389">
        <v>1</v>
      </c>
      <c r="AV115" s="390">
        <v>4</v>
      </c>
      <c r="AW115" s="17"/>
    </row>
    <row r="116" spans="4:49" ht="20.100000000000001" customHeight="1" x14ac:dyDescent="0.2">
      <c r="D116" s="8"/>
      <c r="K116" s="781" t="str">
        <f>IF(AA116=" "," ",".")</f>
        <v>.</v>
      </c>
      <c r="P116" s="704"/>
      <c r="Q116" s="328">
        <v>9</v>
      </c>
      <c r="R116" s="329" t="s">
        <v>222</v>
      </c>
      <c r="S116" s="347"/>
      <c r="T116" s="309"/>
      <c r="U116" s="309"/>
      <c r="V116" s="328">
        <v>9</v>
      </c>
      <c r="W116" s="329" t="s">
        <v>72</v>
      </c>
      <c r="X116" s="17"/>
      <c r="Y116" s="347"/>
      <c r="Z116" s="309"/>
      <c r="AA116" s="319" t="str">
        <f>'Master List'!C35</f>
        <v>T. SERRANO</v>
      </c>
      <c r="AB116" s="433" t="str">
        <f>IF(OR(AB115&gt;" ",INDEX($R$108:$R$150,AC115)=0)," ",INDEX($R$108:$R$150,AC115))</f>
        <v xml:space="preserve"> </v>
      </c>
      <c r="AC116" s="434"/>
      <c r="AD116" s="435"/>
      <c r="AE116" s="433" t="str">
        <f>IF(OR(AE115&gt;" ",INDEX($R$108:$R$150,AF115)=0)," ",INDEX($R$108:$R$150,AF115))</f>
        <v xml:space="preserve"> </v>
      </c>
      <c r="AF116" s="434"/>
      <c r="AG116" s="435"/>
      <c r="AH116" s="433" t="str">
        <f>IF(OR(AH115&gt;" ",INDEX($R$108:$R$150,AI115)=0)," ",INDEX($R$108:$R$150,AI115))</f>
        <v>AFSM</v>
      </c>
      <c r="AI116" s="434"/>
      <c r="AJ116" s="435"/>
      <c r="AK116" s="433" t="str">
        <f>IF(OR(AK115&gt;" ",INDEX($R$108:$R$150,AL115)=0)," ",INDEX($R$108:$R$150,AL115))</f>
        <v>AFSM</v>
      </c>
      <c r="AL116" s="434"/>
      <c r="AM116" s="435"/>
      <c r="AN116" s="433" t="str">
        <f>IF(OR(AN115&gt;" ",INDEX($R$108:$R$150,AO115)=0)," ",INDEX($R$108:$R$150,AO115))</f>
        <v>AFSM</v>
      </c>
      <c r="AO116" s="434"/>
      <c r="AP116" s="435"/>
      <c r="AQ116" s="433" t="str">
        <f>IF(OR(AQ115&gt;" ",INDEX($R$108:$R$150,AR115)=0)," ",INDEX($R$108:$R$150,AR115))</f>
        <v>AFSM</v>
      </c>
      <c r="AR116" s="341"/>
      <c r="AS116" s="435"/>
      <c r="AT116" s="433" t="str">
        <f>IF(OR(AT115&gt;" ",INDEX($R$108:$R$150,AU115)=0)," ",INDEX($R$108:$R$150,AU115))</f>
        <v>AFSM</v>
      </c>
      <c r="AU116" s="341"/>
      <c r="AV116" s="435"/>
      <c r="AW116" s="17"/>
    </row>
    <row r="117" spans="4:49" ht="20.100000000000001" customHeight="1" x14ac:dyDescent="0.2">
      <c r="D117" s="8"/>
      <c r="K117" s="781" t="str">
        <f>IF(AA116=" "," ",".")</f>
        <v>.</v>
      </c>
      <c r="P117" s="704"/>
      <c r="Q117" s="328">
        <v>10</v>
      </c>
      <c r="R117" s="329" t="s">
        <v>223</v>
      </c>
      <c r="S117" s="339"/>
      <c r="T117" s="309"/>
      <c r="U117" s="309"/>
      <c r="V117" s="328">
        <v>10</v>
      </c>
      <c r="W117" s="427" t="s">
        <v>275</v>
      </c>
      <c r="X117" s="17"/>
      <c r="Y117" s="347"/>
      <c r="Z117" s="309"/>
      <c r="AA117" s="349"/>
      <c r="AB117" s="507" t="str">
        <f>IF(AB116=" ","",INDEX($W$108:$W$151,AD115))</f>
        <v/>
      </c>
      <c r="AC117" s="437"/>
      <c r="AD117" s="438"/>
      <c r="AE117" s="507" t="str">
        <f>IF(AE116=" ","",INDEX($W$108:$W$151,AG115))</f>
        <v/>
      </c>
      <c r="AF117" s="437"/>
      <c r="AG117" s="438"/>
      <c r="AH117" s="507" t="str">
        <f>IF(AH116=" ","",INDEX($W$108:$W$151,AJ115))</f>
        <v xml:space="preserve">     UniBuEur</v>
      </c>
      <c r="AI117" s="596"/>
      <c r="AJ117" s="438"/>
      <c r="AK117" s="433" t="str">
        <f>IF(AK116=" ","",INDEX($W$108:$W$151,AM115))</f>
        <v xml:space="preserve">     UniBuEur</v>
      </c>
      <c r="AL117" s="437"/>
      <c r="AM117" s="438"/>
      <c r="AN117" s="507" t="str">
        <f>IF(AN116=" ","",INDEX($W$108:$W$151,AP115))</f>
        <v xml:space="preserve">     UniBuEur</v>
      </c>
      <c r="AO117" s="437"/>
      <c r="AP117" s="438"/>
      <c r="AQ117" s="436" t="str">
        <f>IF(AQ116=" ","",INDEX($W$108:$W$151,AS115))</f>
        <v xml:space="preserve">     UniBuEur</v>
      </c>
      <c r="AR117" s="437"/>
      <c r="AS117" s="438"/>
      <c r="AT117" s="436" t="str">
        <f>IF(AT116=" ","",INDEX($W$108:$W$151,AV115))</f>
        <v xml:space="preserve">     FSS RELIEF</v>
      </c>
      <c r="AU117" s="437"/>
      <c r="AV117" s="438"/>
      <c r="AW117" s="17" t="s">
        <v>56</v>
      </c>
    </row>
    <row r="118" spans="4:49" ht="20.100000000000001" customHeight="1" x14ac:dyDescent="0.2">
      <c r="D118" s="8"/>
      <c r="K118" s="781" t="str">
        <f>IF(AA119=" "," ",".")</f>
        <v>.</v>
      </c>
      <c r="P118" s="704"/>
      <c r="Q118" s="328">
        <v>11</v>
      </c>
      <c r="R118" s="329" t="s">
        <v>221</v>
      </c>
      <c r="S118" s="347"/>
      <c r="T118" s="309"/>
      <c r="U118" s="309"/>
      <c r="V118" s="328">
        <v>11</v>
      </c>
      <c r="W118" s="329" t="s">
        <v>270</v>
      </c>
      <c r="X118" s="17"/>
      <c r="Y118" s="347"/>
      <c r="Z118" s="309"/>
      <c r="AA118" s="350"/>
      <c r="AB118" s="318" t="str">
        <f>B19</f>
        <v>NS</v>
      </c>
      <c r="AC118" s="336">
        <v>24</v>
      </c>
      <c r="AD118" s="337">
        <v>22</v>
      </c>
      <c r="AE118" s="318" t="str">
        <f>C19</f>
        <v>NS</v>
      </c>
      <c r="AF118" s="336">
        <v>24</v>
      </c>
      <c r="AG118" s="337">
        <v>22</v>
      </c>
      <c r="AH118" s="318" t="str">
        <f>D19</f>
        <v xml:space="preserve"> </v>
      </c>
      <c r="AI118" s="336">
        <v>24</v>
      </c>
      <c r="AJ118" s="337">
        <v>22</v>
      </c>
      <c r="AK118" s="318" t="str">
        <f>E19</f>
        <v xml:space="preserve"> </v>
      </c>
      <c r="AL118" s="336">
        <v>24</v>
      </c>
      <c r="AM118" s="337">
        <v>22</v>
      </c>
      <c r="AN118" s="318" t="str">
        <f>F19</f>
        <v xml:space="preserve"> </v>
      </c>
      <c r="AO118" s="336">
        <v>24</v>
      </c>
      <c r="AP118" s="337">
        <v>22</v>
      </c>
      <c r="AQ118" s="388" t="str">
        <f>G19</f>
        <v xml:space="preserve"> </v>
      </c>
      <c r="AR118" s="389">
        <v>24</v>
      </c>
      <c r="AS118" s="390">
        <v>22</v>
      </c>
      <c r="AT118" s="388" t="str">
        <f>H19</f>
        <v>AL</v>
      </c>
      <c r="AU118" s="389">
        <v>24</v>
      </c>
      <c r="AV118" s="390">
        <v>22</v>
      </c>
      <c r="AW118" s="17"/>
    </row>
    <row r="119" spans="4:49" ht="20.100000000000001" customHeight="1" x14ac:dyDescent="0.2">
      <c r="D119" s="8"/>
      <c r="K119" s="781" t="str">
        <f>IF(AA119=" "," ",".")</f>
        <v>.</v>
      </c>
      <c r="P119" s="704"/>
      <c r="Q119" s="328">
        <v>12</v>
      </c>
      <c r="R119" s="476" t="s">
        <v>244</v>
      </c>
      <c r="S119" s="347"/>
      <c r="T119" s="309"/>
      <c r="U119" s="309"/>
      <c r="V119" s="328">
        <v>12</v>
      </c>
      <c r="W119" s="329" t="s">
        <v>177</v>
      </c>
      <c r="X119" s="17"/>
      <c r="Y119" s="347"/>
      <c r="Z119" s="309"/>
      <c r="AA119" s="319" t="str">
        <f>'Master List'!C36</f>
        <v>K. CRAWFORD</v>
      </c>
      <c r="AB119" s="340" t="str">
        <f>IF(OR(AB118&gt;" ",INDEX($R$108:$R$150,AC118)=0)," ",INDEX($R$108:$R$150,AC118))</f>
        <v xml:space="preserve"> </v>
      </c>
      <c r="AC119" s="341"/>
      <c r="AD119" s="342"/>
      <c r="AE119" s="340" t="str">
        <f>IF(OR(AE118&gt;" ",INDEX($R$108:$R$150,AF118)=0)," ",INDEX($R$108:$R$150,AF118))</f>
        <v xml:space="preserve"> </v>
      </c>
      <c r="AF119" s="341"/>
      <c r="AG119" s="342"/>
      <c r="AH119" s="340" t="str">
        <f>IF(OR(AH118&gt;" ",INDEX($R$108:$R$150,AI118)=0)," ",INDEX($R$108:$R$150,AI118))</f>
        <v>SPSS</v>
      </c>
      <c r="AI119" s="434"/>
      <c r="AJ119" s="435"/>
      <c r="AK119" s="340" t="str">
        <f>IF(OR(AK118&gt;" ",INDEX($R$108:$R$150,AL118)=0)," ",INDEX($R$108:$R$150,AL118))</f>
        <v>SPSS</v>
      </c>
      <c r="AL119" s="341"/>
      <c r="AM119" s="342"/>
      <c r="AN119" s="340" t="str">
        <f>IF(OR(AN118&gt;" ",INDEX($R$108:$R$150,AO118)=0)," ",INDEX($R$108:$R$150,AO118))</f>
        <v>SPSS</v>
      </c>
      <c r="AO119" s="341"/>
      <c r="AP119" s="342"/>
      <c r="AQ119" s="433" t="str">
        <f>IF(OR(AQ118&gt;" ",INDEX($R$108:$R$150,AR118)=0)," ",INDEX($R$108:$R$150,AR118))</f>
        <v>SPSS</v>
      </c>
      <c r="AR119" s="341"/>
      <c r="AS119" s="435"/>
      <c r="AT119" s="433" t="str">
        <f>IF(OR(AT118&gt;" ",INDEX($R$108:$R$150,AU118)=0)," ",INDEX($R$108:$R$150,AU118))</f>
        <v xml:space="preserve"> </v>
      </c>
      <c r="AU119" s="341"/>
      <c r="AV119" s="435"/>
      <c r="AW119" s="17"/>
    </row>
    <row r="120" spans="4:49" ht="20.100000000000001" customHeight="1" x14ac:dyDescent="0.2">
      <c r="D120" s="8"/>
      <c r="K120" s="781" t="str">
        <f>IF(AA119=" "," ",".")</f>
        <v>.</v>
      </c>
      <c r="Q120" s="328">
        <v>13</v>
      </c>
      <c r="R120" s="329" t="s">
        <v>172</v>
      </c>
      <c r="S120" s="347"/>
      <c r="T120" s="309"/>
      <c r="U120" s="309"/>
      <c r="V120" s="328">
        <v>13</v>
      </c>
      <c r="W120" s="329" t="s">
        <v>140</v>
      </c>
      <c r="X120" s="17"/>
      <c r="Y120" s="347"/>
      <c r="Z120" s="309"/>
      <c r="AA120" s="349"/>
      <c r="AB120" s="506" t="str">
        <f>IF(AB119=" ","",INDEX($W$108:$W$151,AD118))</f>
        <v/>
      </c>
      <c r="AC120" s="343"/>
      <c r="AD120" s="344"/>
      <c r="AE120" s="506" t="str">
        <f>IF(AE119=" ","",INDEX($W$108:$W$151,AG118))</f>
        <v/>
      </c>
      <c r="AF120" s="343"/>
      <c r="AG120" s="344"/>
      <c r="AH120" s="506" t="str">
        <f>IF(AH119=" ","",INDEX($W$108:$W$151,AJ118))</f>
        <v xml:space="preserve">     UniBuEur</v>
      </c>
      <c r="AI120" s="437"/>
      <c r="AJ120" s="344"/>
      <c r="AK120" s="506" t="str">
        <f>IF(AK119=" ","",INDEX($W$108:$W$151,AM118))</f>
        <v xml:space="preserve">     UniBuEur</v>
      </c>
      <c r="AL120" s="343"/>
      <c r="AM120" s="344"/>
      <c r="AN120" s="506" t="str">
        <f>IF(AN119=" ","",INDEX($W$108:$W$151,AP118))</f>
        <v xml:space="preserve">     UniBuEur</v>
      </c>
      <c r="AO120" s="343"/>
      <c r="AP120" s="344"/>
      <c r="AQ120" s="436" t="str">
        <f>IF(AQ119=" ","",INDEX($W$108:$W$151,AS118))</f>
        <v xml:space="preserve">     UniBuEur</v>
      </c>
      <c r="AR120" s="437"/>
      <c r="AS120" s="438"/>
      <c r="AT120" s="436" t="str">
        <f>IF(AT119=" ","",INDEX($W$108:$W$151,AV118))</f>
        <v/>
      </c>
      <c r="AU120" s="437"/>
      <c r="AV120" s="438"/>
      <c r="AW120" s="17"/>
    </row>
    <row r="121" spans="4:49" ht="20.100000000000001" customHeight="1" x14ac:dyDescent="0.2">
      <c r="D121" s="8"/>
      <c r="K121" s="781" t="str">
        <f>IF(AA122=" "," ",".")</f>
        <v>.</v>
      </c>
      <c r="Q121" s="328">
        <v>14</v>
      </c>
      <c r="R121" s="703" t="s">
        <v>312</v>
      </c>
      <c r="S121" s="347"/>
      <c r="T121" s="309"/>
      <c r="U121" s="309"/>
      <c r="V121" s="328">
        <v>14</v>
      </c>
      <c r="W121" s="329" t="s">
        <v>197</v>
      </c>
      <c r="X121" s="17"/>
      <c r="Y121" s="347"/>
      <c r="Z121" s="309"/>
      <c r="AA121" s="350"/>
      <c r="AB121" s="318" t="str">
        <f>B23</f>
        <v>*</v>
      </c>
      <c r="AC121" s="336">
        <v>2</v>
      </c>
      <c r="AD121" s="337">
        <v>1</v>
      </c>
      <c r="AE121" s="318" t="str">
        <f>C23</f>
        <v>*</v>
      </c>
      <c r="AF121" s="336">
        <v>2</v>
      </c>
      <c r="AG121" s="337">
        <v>1</v>
      </c>
      <c r="AH121" s="345" t="str">
        <f>D23</f>
        <v>*</v>
      </c>
      <c r="AI121" s="336">
        <v>2</v>
      </c>
      <c r="AJ121" s="337">
        <v>1</v>
      </c>
      <c r="AK121" s="345" t="str">
        <f>E23</f>
        <v>*</v>
      </c>
      <c r="AL121" s="336">
        <v>2</v>
      </c>
      <c r="AM121" s="337">
        <v>1</v>
      </c>
      <c r="AN121" s="345" t="str">
        <f>F23</f>
        <v>*</v>
      </c>
      <c r="AO121" s="336">
        <v>2</v>
      </c>
      <c r="AP121" s="337">
        <v>1</v>
      </c>
      <c r="AQ121" s="391" t="str">
        <f>G23</f>
        <v>*</v>
      </c>
      <c r="AR121" s="389">
        <v>2</v>
      </c>
      <c r="AS121" s="390">
        <v>1</v>
      </c>
      <c r="AT121" s="391" t="str">
        <f>H23</f>
        <v>*</v>
      </c>
      <c r="AU121" s="389">
        <v>2</v>
      </c>
      <c r="AV121" s="390">
        <v>1</v>
      </c>
      <c r="AW121" s="17"/>
    </row>
    <row r="122" spans="4:49" ht="20.100000000000001" customHeight="1" x14ac:dyDescent="0.2">
      <c r="D122" s="8"/>
      <c r="K122" s="781" t="str">
        <f>IF(AA122=" "," ",".")</f>
        <v>.</v>
      </c>
      <c r="Q122" s="328">
        <v>15</v>
      </c>
      <c r="R122" s="329" t="s">
        <v>201</v>
      </c>
      <c r="S122" s="347"/>
      <c r="T122" s="309"/>
      <c r="U122" s="309"/>
      <c r="V122" s="328">
        <v>15</v>
      </c>
      <c r="W122" s="565" t="s">
        <v>287</v>
      </c>
      <c r="X122" s="17"/>
      <c r="Y122" s="347"/>
      <c r="Z122" s="309"/>
      <c r="AA122" s="319" t="str">
        <f>'Master List'!C37</f>
        <v>L. WHITTEN</v>
      </c>
      <c r="AB122" s="340" t="str">
        <f>IF(OR(AB121&gt;" ",INDEX($R$108:$R$150,AC121)=0)," ",INDEX($R$108:$R$150,AC121))</f>
        <v xml:space="preserve"> </v>
      </c>
      <c r="AC122" s="341"/>
      <c r="AD122" s="342"/>
      <c r="AE122" s="340" t="str">
        <f>IF(OR(AE121&gt;" ",INDEX($R$108:$R$150,AF121)=0)," ",INDEX($R$108:$R$150,AF121))</f>
        <v xml:space="preserve"> </v>
      </c>
      <c r="AF122" s="341"/>
      <c r="AG122" s="342"/>
      <c r="AH122" s="850" t="str">
        <f>IF(OR(AH121&gt;" ",INDEX($R$108:$R$150,AI121)=0)," ",INDEX($R$108:$R$150,AI121))</f>
        <v xml:space="preserve"> </v>
      </c>
      <c r="AI122" s="851"/>
      <c r="AJ122" s="852"/>
      <c r="AK122" s="340" t="str">
        <f>IF(OR(AK121&gt;" ",INDEX($R$108:$R$150,AL121)=0)," ",INDEX($R$108:$R$150,AL121))</f>
        <v xml:space="preserve"> </v>
      </c>
      <c r="AL122" s="341"/>
      <c r="AM122" s="342"/>
      <c r="AN122" s="340" t="str">
        <f>IF(OR(AN121&gt;" ",INDEX($R$108:$R$150,AO121)=0)," ",INDEX($R$108:$R$150,AO121))</f>
        <v xml:space="preserve"> </v>
      </c>
      <c r="AO122" s="341"/>
      <c r="AP122" s="342"/>
      <c r="AQ122" s="340" t="str">
        <f>IF(OR(AQ121&gt;" ",INDEX($R$108:$R$150,AR121)=0)," ",INDEX($R$108:$R$150,AR121))</f>
        <v xml:space="preserve"> </v>
      </c>
      <c r="AR122" s="341"/>
      <c r="AS122" s="342"/>
      <c r="AT122" s="340" t="str">
        <f>IF(OR(AT121&gt;" ",INDEX($R$108:$R$150,AU121)=0)," ",INDEX($R$108:$R$150,AU121))</f>
        <v xml:space="preserve"> </v>
      </c>
      <c r="AU122" s="341"/>
      <c r="AV122" s="342"/>
      <c r="AW122" s="17"/>
    </row>
    <row r="123" spans="4:49" ht="20.100000000000001" customHeight="1" x14ac:dyDescent="0.2">
      <c r="D123" s="8"/>
      <c r="K123" s="781" t="str">
        <f>IF(AA122=" "," ",".")</f>
        <v>.</v>
      </c>
      <c r="Q123" s="328">
        <v>16</v>
      </c>
      <c r="R123" s="444" t="s">
        <v>246</v>
      </c>
      <c r="S123" s="347"/>
      <c r="T123" s="309"/>
      <c r="U123" s="309"/>
      <c r="V123" s="328">
        <v>16</v>
      </c>
      <c r="W123" s="770" t="s">
        <v>56</v>
      </c>
      <c r="X123" s="17"/>
      <c r="Y123" s="347"/>
      <c r="Z123" s="309"/>
      <c r="AA123" s="349"/>
      <c r="AB123" s="506" t="str">
        <f>IF(AB122=" ","",INDEX($W$108:$W$135,AD121))</f>
        <v/>
      </c>
      <c r="AC123" s="437"/>
      <c r="AD123" s="344"/>
      <c r="AE123" s="506" t="str">
        <f>IF(AE122=" ","",INDEX($W$108:$W$135,AG121))</f>
        <v/>
      </c>
      <c r="AF123" s="437"/>
      <c r="AG123" s="344"/>
      <c r="AH123" s="506" t="str">
        <f>IF(AH122=" ","",INDEX($W$108:$W$135,AJ121))</f>
        <v/>
      </c>
      <c r="AI123" s="343"/>
      <c r="AJ123" s="344"/>
      <c r="AK123" s="506" t="str">
        <f>IF(AK122=" ","",INDEX($W$108:$W$135,AM121))</f>
        <v/>
      </c>
      <c r="AL123" s="343"/>
      <c r="AM123" s="344"/>
      <c r="AN123" s="506" t="str">
        <f>IF(AN122=" ","",INDEX($W$108:$W$135,AP121))</f>
        <v/>
      </c>
      <c r="AO123" s="343"/>
      <c r="AP123" s="344"/>
      <c r="AQ123" s="340" t="str">
        <f>IF(AQ122=" ","",INDEX($W$108:$W$135,AS121))</f>
        <v/>
      </c>
      <c r="AR123" s="437"/>
      <c r="AS123" s="344"/>
      <c r="AT123" s="506" t="str">
        <f>IF(AT122=" ","",INDEX($W$108:$W$135,AV121))</f>
        <v/>
      </c>
      <c r="AU123" s="437"/>
      <c r="AV123" s="344"/>
      <c r="AW123" s="17"/>
    </row>
    <row r="124" spans="4:49" ht="20.100000000000001" customHeight="1" x14ac:dyDescent="0.2">
      <c r="D124" s="8"/>
      <c r="K124" s="781" t="str">
        <f>IF(AA125=" "," ",".")</f>
        <v>.</v>
      </c>
      <c r="Q124" s="328">
        <v>17</v>
      </c>
      <c r="R124" s="329" t="s">
        <v>224</v>
      </c>
      <c r="S124" s="347"/>
      <c r="T124" s="309"/>
      <c r="U124" s="309"/>
      <c r="V124" s="328">
        <v>17</v>
      </c>
      <c r="W124" s="545" t="s">
        <v>273</v>
      </c>
      <c r="X124" s="17"/>
      <c r="Y124" s="347"/>
      <c r="Z124" s="309"/>
      <c r="AA124" s="350"/>
      <c r="AB124" s="318" t="str">
        <f>B27</f>
        <v>*</v>
      </c>
      <c r="AC124" s="336">
        <v>1</v>
      </c>
      <c r="AD124" s="337">
        <v>19</v>
      </c>
      <c r="AE124" s="318" t="str">
        <f>C27</f>
        <v>*</v>
      </c>
      <c r="AF124" s="336">
        <v>1</v>
      </c>
      <c r="AG124" s="337">
        <v>19</v>
      </c>
      <c r="AH124" s="318" t="str">
        <f>D27</f>
        <v>*</v>
      </c>
      <c r="AI124" s="336">
        <v>24</v>
      </c>
      <c r="AJ124" s="337">
        <v>22</v>
      </c>
      <c r="AK124" s="318" t="str">
        <f>E27</f>
        <v>*</v>
      </c>
      <c r="AL124" s="336">
        <v>28</v>
      </c>
      <c r="AM124" s="337">
        <v>19</v>
      </c>
      <c r="AN124" s="318" t="str">
        <f>F27</f>
        <v>*</v>
      </c>
      <c r="AO124" s="336">
        <v>24</v>
      </c>
      <c r="AP124" s="337">
        <v>22</v>
      </c>
      <c r="AQ124" s="388" t="str">
        <f>G27</f>
        <v>*</v>
      </c>
      <c r="AR124" s="389">
        <v>24</v>
      </c>
      <c r="AS124" s="390">
        <v>22</v>
      </c>
      <c r="AT124" s="388" t="str">
        <f>H27</f>
        <v>*</v>
      </c>
      <c r="AU124" s="389">
        <v>24</v>
      </c>
      <c r="AV124" s="390">
        <v>22</v>
      </c>
      <c r="AW124" s="17"/>
    </row>
    <row r="125" spans="4:49" ht="20.100000000000001" customHeight="1" x14ac:dyDescent="0.2">
      <c r="D125" s="8"/>
      <c r="K125" s="781" t="str">
        <f>IF(AA125=" "," ",".")</f>
        <v>.</v>
      </c>
      <c r="Q125" s="328">
        <v>18</v>
      </c>
      <c r="R125" s="329" t="s">
        <v>141</v>
      </c>
      <c r="S125" s="347"/>
      <c r="T125" s="309"/>
      <c r="U125" s="309"/>
      <c r="V125" s="328">
        <v>18</v>
      </c>
      <c r="W125" s="329" t="s">
        <v>281</v>
      </c>
      <c r="X125" s="17"/>
      <c r="Y125" s="347"/>
      <c r="Z125" s="309"/>
      <c r="AA125" s="319" t="str">
        <f>'Master List'!C38</f>
        <v>W. BATES</v>
      </c>
      <c r="AB125" s="433" t="str">
        <f>IF(OR(AB124&gt;" ",INDEX($R$108:$R$150,AC124)=0)," ",INDEX($R$108:$R$150,AC124))</f>
        <v xml:space="preserve"> </v>
      </c>
      <c r="AC125" s="434"/>
      <c r="AD125" s="435"/>
      <c r="AE125" s="433" t="str">
        <f>IF(OR(AE124&gt;" ",INDEX($R$108:$R$150,AF124)=0)," ",INDEX($R$108:$R$150,AF124))</f>
        <v xml:space="preserve"> </v>
      </c>
      <c r="AF125" s="434"/>
      <c r="AG125" s="435"/>
      <c r="AH125" s="433" t="str">
        <f>IF(OR(AH124&gt;" ",INDEX($R$108:$R$150,AI124)=0)," ",INDEX($R$108:$R$150,AI124))</f>
        <v xml:space="preserve"> </v>
      </c>
      <c r="AI125" s="434"/>
      <c r="AJ125" s="435"/>
      <c r="AK125" s="433" t="str">
        <f>IF(OR(AK124&gt;" ",INDEX($R$108:$R$150,AL124)=0)," ",INDEX($R$108:$R$150,AL124))</f>
        <v xml:space="preserve"> </v>
      </c>
      <c r="AL125" s="434"/>
      <c r="AM125" s="435"/>
      <c r="AN125" s="433" t="str">
        <f>IF(OR(AN124&gt;" ",INDEX($R$108:$R$150,AO124)=0)," ",INDEX($R$108:$R$150,AO124))</f>
        <v xml:space="preserve"> </v>
      </c>
      <c r="AO125" s="433"/>
      <c r="AP125" s="433"/>
      <c r="AQ125" s="433" t="str">
        <f>IF(OR(AQ124&gt;" ",INDEX($R$108:$R$150,AR124)=0)," ",INDEX($R$108:$R$150,AR124))</f>
        <v xml:space="preserve"> </v>
      </c>
      <c r="AR125" s="434"/>
      <c r="AS125" s="435"/>
      <c r="AT125" s="433" t="str">
        <f>IF(OR(AT124&gt;" ",INDEX($R$108:$R$150,AU124)=0)," ",INDEX($R$108:$R$150,AU124))</f>
        <v xml:space="preserve"> </v>
      </c>
      <c r="AU125" s="341"/>
      <c r="AV125" s="435"/>
      <c r="AW125" s="17"/>
    </row>
    <row r="126" spans="4:49" ht="20.100000000000001" customHeight="1" x14ac:dyDescent="0.2">
      <c r="D126" s="8"/>
      <c r="K126" s="781" t="str">
        <f>IF(AA125=" "," ",".")</f>
        <v>.</v>
      </c>
      <c r="Q126" s="328">
        <v>19</v>
      </c>
      <c r="R126" s="329" t="s">
        <v>218</v>
      </c>
      <c r="S126" s="347"/>
      <c r="T126" s="309"/>
      <c r="U126" s="309"/>
      <c r="V126" s="328">
        <v>19</v>
      </c>
      <c r="W126" s="329" t="s">
        <v>292</v>
      </c>
      <c r="X126" s="17"/>
      <c r="Y126" s="347"/>
      <c r="Z126" s="309"/>
      <c r="AA126" s="349"/>
      <c r="AB126" s="507" t="str">
        <f>IF(AB125=" ","",INDEX($W$108:$W$151,AD124))</f>
        <v/>
      </c>
      <c r="AC126" s="437"/>
      <c r="AD126" s="438"/>
      <c r="AE126" s="507" t="str">
        <f>IF(AE125=" ","",INDEX($W$108:$W$151,AG124))</f>
        <v/>
      </c>
      <c r="AF126" s="437"/>
      <c r="AG126" s="438"/>
      <c r="AH126" s="507" t="str">
        <f>IF(AH125=" ","",INDEX($W$108:$W$151,AJ124))</f>
        <v/>
      </c>
      <c r="AI126" s="437"/>
      <c r="AJ126" s="438"/>
      <c r="AK126" s="433" t="str">
        <f>IF(AK125=" ","",INDEX($W$108:$W$151,AM124))</f>
        <v/>
      </c>
      <c r="AL126" s="437"/>
      <c r="AM126" s="438"/>
      <c r="AN126" s="507" t="str">
        <f>IF(AN125=" ","",INDEX($W$108:$W$151,AP124))</f>
        <v/>
      </c>
      <c r="AO126" s="437"/>
      <c r="AP126" s="438"/>
      <c r="AQ126" s="436" t="str">
        <f>IF(AQ125=" ","",INDEX($W$108:$W$151,AS124))</f>
        <v/>
      </c>
      <c r="AR126" s="437"/>
      <c r="AS126" s="438"/>
      <c r="AT126" s="436" t="str">
        <f>IF(AT125=" ","",INDEX($W$108:$W$151,AV124))</f>
        <v/>
      </c>
      <c r="AU126" s="437"/>
      <c r="AV126" s="438"/>
      <c r="AW126" s="17"/>
    </row>
    <row r="127" spans="4:49" ht="20.100000000000001" customHeight="1" x14ac:dyDescent="0.2">
      <c r="D127" s="8"/>
      <c r="K127" s="781" t="str">
        <f>IF(AA128=" "," ",".")</f>
        <v>.</v>
      </c>
      <c r="Q127" s="328">
        <v>20</v>
      </c>
      <c r="R127" s="329" t="s">
        <v>228</v>
      </c>
      <c r="S127" s="339"/>
      <c r="T127" s="309"/>
      <c r="U127" s="309"/>
      <c r="V127" s="328">
        <v>20</v>
      </c>
      <c r="W127" s="351" t="s">
        <v>326</v>
      </c>
      <c r="X127" s="17"/>
      <c r="Y127" s="347"/>
      <c r="Z127" s="309"/>
      <c r="AA127" s="350"/>
      <c r="AB127" s="453" t="str">
        <f>B31</f>
        <v xml:space="preserve"> </v>
      </c>
      <c r="AC127" s="443">
        <v>2</v>
      </c>
      <c r="AD127" s="454">
        <v>28</v>
      </c>
      <c r="AE127" s="453" t="str">
        <f>C31</f>
        <v xml:space="preserve"> </v>
      </c>
      <c r="AF127" s="443">
        <v>2</v>
      </c>
      <c r="AG127" s="454">
        <v>28</v>
      </c>
      <c r="AH127" s="318" t="str">
        <f>D31</f>
        <v xml:space="preserve"> </v>
      </c>
      <c r="AI127" s="443">
        <v>2</v>
      </c>
      <c r="AJ127" s="454">
        <v>28</v>
      </c>
      <c r="AK127" s="453" t="str">
        <f>E31</f>
        <v xml:space="preserve"> </v>
      </c>
      <c r="AL127" s="443">
        <v>2</v>
      </c>
      <c r="AM127" s="454">
        <v>28</v>
      </c>
      <c r="AN127" s="453" t="str">
        <f>F31</f>
        <v xml:space="preserve"> </v>
      </c>
      <c r="AO127" s="443">
        <v>2</v>
      </c>
      <c r="AP127" s="454">
        <v>28</v>
      </c>
      <c r="AQ127" s="453" t="str">
        <f>G31</f>
        <v>NS</v>
      </c>
      <c r="AR127" s="443">
        <v>2</v>
      </c>
      <c r="AS127" s="454">
        <v>28</v>
      </c>
      <c r="AT127" s="453" t="str">
        <f>H31</f>
        <v xml:space="preserve"> </v>
      </c>
      <c r="AU127" s="443">
        <v>2</v>
      </c>
      <c r="AV127" s="454">
        <v>28</v>
      </c>
      <c r="AW127" s="17"/>
    </row>
    <row r="128" spans="4:49" ht="20.100000000000001" customHeight="1" x14ac:dyDescent="0.2">
      <c r="D128" s="8"/>
      <c r="K128" s="781" t="str">
        <f>IF(AA128=" "," ",".")</f>
        <v>.</v>
      </c>
      <c r="Q128" s="328">
        <v>21</v>
      </c>
      <c r="R128" s="329" t="s">
        <v>274</v>
      </c>
      <c r="S128" s="339"/>
      <c r="T128" s="309"/>
      <c r="U128" s="309"/>
      <c r="V128" s="328">
        <v>21</v>
      </c>
      <c r="W128" s="768" t="s">
        <v>56</v>
      </c>
      <c r="X128" s="17"/>
      <c r="Y128" s="347"/>
      <c r="Z128" s="309"/>
      <c r="AA128" s="319" t="str">
        <f>'Master List'!C39</f>
        <v>M. RESENDEZ</v>
      </c>
      <c r="AB128" s="433" t="str">
        <f>IF(OR(AB127&gt;" ",INDEX($R$108:$R$150,AC127)=0)," ",INDEX($R$108:$R$150,AC127))</f>
        <v>APPS 1</v>
      </c>
      <c r="AC128" s="434"/>
      <c r="AD128" s="435"/>
      <c r="AE128" s="433" t="str">
        <f>IF(OR(AE127&gt;" ",INDEX($R$108:$R$150,AF127)=0)," ",INDEX($R$108:$R$150,AF127))</f>
        <v>APPS 1</v>
      </c>
      <c r="AF128" s="434"/>
      <c r="AG128" s="435"/>
      <c r="AH128" s="433" t="str">
        <f>IF(OR(AH127&gt;" ",INDEX($R$108:$R$150,AI127)=0)," ",INDEX($R$108:$R$150,AI127))</f>
        <v>APPS 1</v>
      </c>
      <c r="AI128" s="434"/>
      <c r="AJ128" s="435"/>
      <c r="AK128" s="433" t="str">
        <f>IF(OR(AK127&gt;" ",INDEX($R$108:$R$150,AL127)=0)," ",INDEX($R$108:$R$150,AL127))</f>
        <v>APPS 1</v>
      </c>
      <c r="AL128" s="434"/>
      <c r="AM128" s="435"/>
      <c r="AN128" s="433" t="str">
        <f>IF(OR(AN127&gt;" ",INDEX($R$108:$R$150,AO127)=0)," ",INDEX($R$108:$R$150,AO127))</f>
        <v>APPS 1</v>
      </c>
      <c r="AO128" s="434"/>
      <c r="AP128" s="435"/>
      <c r="AQ128" s="433" t="str">
        <f>IF(OR(AQ127&gt;" ",INDEX($R$108:$R$150,AR127)=0)," ",INDEX($R$108:$R$150,AR127))</f>
        <v xml:space="preserve"> </v>
      </c>
      <c r="AR128" s="341"/>
      <c r="AS128" s="435"/>
      <c r="AT128" s="433" t="str">
        <f>IF(OR(AT127&gt;" ",INDEX($R$108:$R$150,AU127)=0)," ",INDEX($R$108:$R$150,AU127))</f>
        <v>APPS 1</v>
      </c>
      <c r="AU128" s="341"/>
      <c r="AV128" s="435"/>
      <c r="AW128" s="17"/>
    </row>
    <row r="129" spans="4:49" ht="20.100000000000001" customHeight="1" x14ac:dyDescent="0.2">
      <c r="D129" s="8"/>
      <c r="K129" s="781" t="str">
        <f>IF(AA128=" "," ",".")</f>
        <v>.</v>
      </c>
      <c r="Q129" s="328">
        <v>22</v>
      </c>
      <c r="R129" s="329" t="s">
        <v>296</v>
      </c>
      <c r="S129" s="339"/>
      <c r="T129" s="309"/>
      <c r="U129" s="309"/>
      <c r="V129" s="328">
        <v>22</v>
      </c>
      <c r="W129" s="508" t="s">
        <v>300</v>
      </c>
      <c r="X129" s="508"/>
      <c r="Y129" s="347"/>
      <c r="Z129" s="309"/>
      <c r="AA129" s="349"/>
      <c r="AB129" s="507" t="str">
        <f>IF(AB128=" ","",INDEX($W$108:$W$151,AD127))</f>
        <v xml:space="preserve"> </v>
      </c>
      <c r="AC129" s="437"/>
      <c r="AD129" s="438"/>
      <c r="AE129" s="507" t="str">
        <f>IF(AE128=" ","",INDEX($W$108:$W$151,AG127))</f>
        <v xml:space="preserve"> </v>
      </c>
      <c r="AF129" s="437"/>
      <c r="AG129" s="438"/>
      <c r="AH129" s="507" t="str">
        <f>IF(AH128=" ","",INDEX($W$108:$W$151,AJ127))</f>
        <v xml:space="preserve"> </v>
      </c>
      <c r="AI129" s="437"/>
      <c r="AJ129" s="438"/>
      <c r="AK129" s="507" t="str">
        <f>IF(AK128=" ","",INDEX($W$108:$W$151,AM127))</f>
        <v xml:space="preserve"> </v>
      </c>
      <c r="AL129" s="437"/>
      <c r="AM129" s="438"/>
      <c r="AN129" s="507" t="str">
        <f>IF(AN128=" ","",INDEX($W$108:$W$151,AP127))</f>
        <v xml:space="preserve"> </v>
      </c>
      <c r="AO129" s="437"/>
      <c r="AP129" s="438"/>
      <c r="AQ129" s="436" t="str">
        <f>IF(AQ128=" ","",INDEX($W$108:$W$151,AS127))</f>
        <v/>
      </c>
      <c r="AR129" s="437"/>
      <c r="AS129" s="438"/>
      <c r="AT129" s="436" t="str">
        <f>IF(AT128=" ","",INDEX($W$108:$W$151,AV127))</f>
        <v xml:space="preserve"> </v>
      </c>
      <c r="AU129" s="437"/>
      <c r="AV129" s="438"/>
      <c r="AW129" s="17"/>
    </row>
    <row r="130" spans="4:49" ht="20.100000000000001" customHeight="1" x14ac:dyDescent="0.2">
      <c r="D130" s="8"/>
      <c r="K130" s="781" t="str">
        <f>IF(AA131=" "," ",".")</f>
        <v>.</v>
      </c>
      <c r="Q130" s="328">
        <v>23</v>
      </c>
      <c r="R130" s="329" t="s">
        <v>130</v>
      </c>
      <c r="S130" s="339"/>
      <c r="T130" s="309"/>
      <c r="U130" s="309"/>
      <c r="V130" s="328">
        <v>23</v>
      </c>
      <c r="W130" s="508" t="s">
        <v>311</v>
      </c>
      <c r="X130" s="17"/>
      <c r="Y130" s="347"/>
      <c r="Z130" s="309"/>
      <c r="AA130" s="350"/>
      <c r="AB130" s="453" t="str">
        <f>B35</f>
        <v>*</v>
      </c>
      <c r="AC130" s="443">
        <v>2</v>
      </c>
      <c r="AD130" s="454">
        <v>28</v>
      </c>
      <c r="AE130" s="453" t="str">
        <f>C35</f>
        <v>*</v>
      </c>
      <c r="AF130" s="443">
        <v>2</v>
      </c>
      <c r="AG130" s="454">
        <v>28</v>
      </c>
      <c r="AH130" s="318" t="str">
        <f>D35</f>
        <v>*</v>
      </c>
      <c r="AI130" s="443">
        <v>2</v>
      </c>
      <c r="AJ130" s="454">
        <v>28</v>
      </c>
      <c r="AK130" s="453" t="str">
        <f>E35</f>
        <v>*</v>
      </c>
      <c r="AL130" s="443">
        <v>2</v>
      </c>
      <c r="AM130" s="454">
        <v>28</v>
      </c>
      <c r="AN130" s="453" t="str">
        <f>F35</f>
        <v>*</v>
      </c>
      <c r="AO130" s="443">
        <v>2</v>
      </c>
      <c r="AP130" s="454">
        <v>28</v>
      </c>
      <c r="AQ130" s="453" t="str">
        <f>G35</f>
        <v>*</v>
      </c>
      <c r="AR130" s="443">
        <v>2</v>
      </c>
      <c r="AS130" s="454">
        <v>28</v>
      </c>
      <c r="AT130" s="453" t="str">
        <f>H35</f>
        <v>*</v>
      </c>
      <c r="AU130" s="443">
        <v>2</v>
      </c>
      <c r="AV130" s="454">
        <v>28</v>
      </c>
      <c r="AW130" s="17"/>
    </row>
    <row r="131" spans="4:49" ht="20.100000000000001" customHeight="1" x14ac:dyDescent="0.2">
      <c r="D131" s="8"/>
      <c r="K131" s="781" t="str">
        <f>IF(AA131=" "," ",".")</f>
        <v>.</v>
      </c>
      <c r="Q131" s="328">
        <v>24</v>
      </c>
      <c r="R131" s="329" t="s">
        <v>322</v>
      </c>
      <c r="S131" s="339"/>
      <c r="T131" s="309"/>
      <c r="U131" s="309"/>
      <c r="V131" s="328">
        <v>24</v>
      </c>
      <c r="W131" s="768" t="s">
        <v>56</v>
      </c>
      <c r="X131" s="348"/>
      <c r="Y131" s="347"/>
      <c r="Z131" s="309"/>
      <c r="AA131" s="319" t="str">
        <f>'Master List'!C40</f>
        <v>M. LEE</v>
      </c>
      <c r="AB131" s="433" t="str">
        <f>IF(OR(AB130&gt;" ",INDEX($R$108:$R$150,AC130)=0)," ",INDEX($R$108:$R$150,AC130))</f>
        <v xml:space="preserve"> </v>
      </c>
      <c r="AC131" s="434"/>
      <c r="AD131" s="435"/>
      <c r="AE131" s="433" t="str">
        <f>IF(OR(AE130&gt;" ",INDEX($R$108:$R$150,AF130)=0)," ",INDEX($R$108:$R$150,AF130))</f>
        <v xml:space="preserve"> </v>
      </c>
      <c r="AF131" s="434"/>
      <c r="AG131" s="435"/>
      <c r="AH131" s="433" t="str">
        <f>IF(OR(AH130&gt;" ",INDEX($R$108:$R$150,AI130)=0)," ",INDEX($R$108:$R$150,AI130))</f>
        <v xml:space="preserve"> </v>
      </c>
      <c r="AI131" s="434"/>
      <c r="AJ131" s="435"/>
      <c r="AK131" s="433" t="str">
        <f>IF(OR(AK130&gt;" ",INDEX($R$108:$R$150,AL130)=0)," ",INDEX($R$108:$R$150,AL130))</f>
        <v xml:space="preserve"> </v>
      </c>
      <c r="AL131" s="434"/>
      <c r="AM131" s="435"/>
      <c r="AN131" s="433" t="str">
        <f>IF(OR(AN130&gt;" ",INDEX($R$108:$R$150,AO130)=0)," ",INDEX($R$108:$R$150,AO130))</f>
        <v xml:space="preserve"> </v>
      </c>
      <c r="AO131" s="434"/>
      <c r="AP131" s="435"/>
      <c r="AQ131" s="433" t="str">
        <f>IF(OR(AQ130&gt;" ",INDEX($R$108:$R$150,AR130)=0)," ",INDEX($R$108:$R$150,AR130))</f>
        <v xml:space="preserve"> </v>
      </c>
      <c r="AR131" s="341"/>
      <c r="AS131" s="435"/>
      <c r="AT131" s="433" t="str">
        <f>IF(OR(AT130&gt;" ",INDEX($R$108:$R$150,AU130)=0)," ",INDEX($R$108:$R$150,AU130))</f>
        <v xml:space="preserve"> </v>
      </c>
      <c r="AU131" s="341"/>
      <c r="AV131" s="435"/>
      <c r="AW131" s="17"/>
    </row>
    <row r="132" spans="4:49" ht="20.100000000000001" customHeight="1" x14ac:dyDescent="0.2">
      <c r="D132" s="8"/>
      <c r="K132" s="781" t="str">
        <f>IF(AA131=" "," ",".")</f>
        <v>.</v>
      </c>
      <c r="Q132" s="328">
        <v>25</v>
      </c>
      <c r="R132" s="329" t="s">
        <v>136</v>
      </c>
      <c r="S132" s="339"/>
      <c r="T132" s="309"/>
      <c r="U132" s="309"/>
      <c r="V132" s="328">
        <v>25</v>
      </c>
      <c r="W132" s="768" t="s">
        <v>56</v>
      </c>
      <c r="X132" s="348"/>
      <c r="Y132" s="347"/>
      <c r="Z132" s="309"/>
      <c r="AA132" s="349"/>
      <c r="AB132" s="507" t="str">
        <f>IF(AB131=" ","",INDEX($W$108:$W$151,AD130))</f>
        <v/>
      </c>
      <c r="AC132" s="437"/>
      <c r="AD132" s="438"/>
      <c r="AE132" s="507" t="str">
        <f>IF(AE131=" ","",INDEX($W$108:$W$151,AG130))</f>
        <v/>
      </c>
      <c r="AF132" s="437"/>
      <c r="AG132" s="438"/>
      <c r="AH132" s="507" t="str">
        <f>IF(AH131=" ","",INDEX($W$108:$W$151,AJ130))</f>
        <v/>
      </c>
      <c r="AI132" s="437"/>
      <c r="AJ132" s="438"/>
      <c r="AK132" s="507" t="str">
        <f>IF(AK131=" ","",INDEX($W$108:$W$151,AM130))</f>
        <v/>
      </c>
      <c r="AL132" s="437"/>
      <c r="AM132" s="438"/>
      <c r="AN132" s="507" t="str">
        <f>IF(AN131=" ","",INDEX($W$108:$W$151,AP130))</f>
        <v/>
      </c>
      <c r="AO132" s="437"/>
      <c r="AP132" s="438"/>
      <c r="AQ132" s="436" t="str">
        <f>IF(AQ131=" ","",INDEX($W$108:$W$151,AS130))</f>
        <v/>
      </c>
      <c r="AR132" s="437"/>
      <c r="AS132" s="438"/>
      <c r="AT132" s="436" t="str">
        <f>IF(AT131=" ","",INDEX($W$108:$W$151,AV130))</f>
        <v/>
      </c>
      <c r="AU132" s="437"/>
      <c r="AV132" s="438"/>
      <c r="AW132" s="17"/>
    </row>
    <row r="133" spans="4:49" ht="20.100000000000001" customHeight="1" x14ac:dyDescent="0.2">
      <c r="D133" s="8"/>
      <c r="K133" s="781" t="str">
        <f>IF(AA134=" "," ",".")</f>
        <v>.</v>
      </c>
      <c r="Q133" s="328">
        <v>26</v>
      </c>
      <c r="R133" s="329" t="s">
        <v>311</v>
      </c>
      <c r="S133" s="339"/>
      <c r="T133" s="309"/>
      <c r="U133" s="309"/>
      <c r="V133" s="328">
        <v>26</v>
      </c>
      <c r="W133" s="768" t="s">
        <v>56</v>
      </c>
      <c r="X133" s="348"/>
      <c r="Y133" s="347"/>
      <c r="Z133" s="309"/>
      <c r="AA133" s="350"/>
      <c r="AB133" s="453" t="str">
        <f>B39</f>
        <v xml:space="preserve"> </v>
      </c>
      <c r="AC133" s="443">
        <v>25</v>
      </c>
      <c r="AD133" s="454">
        <v>1</v>
      </c>
      <c r="AE133" s="453" t="str">
        <f>C39</f>
        <v xml:space="preserve"> </v>
      </c>
      <c r="AF133" s="443">
        <v>25</v>
      </c>
      <c r="AG133" s="454">
        <v>1</v>
      </c>
      <c r="AH133" s="318" t="str">
        <f>D39</f>
        <v xml:space="preserve"> </v>
      </c>
      <c r="AI133" s="443">
        <v>25</v>
      </c>
      <c r="AJ133" s="454">
        <v>1</v>
      </c>
      <c r="AK133" s="453" t="str">
        <f>E39</f>
        <v xml:space="preserve"> </v>
      </c>
      <c r="AL133" s="443">
        <v>25</v>
      </c>
      <c r="AM133" s="454">
        <v>1</v>
      </c>
      <c r="AN133" s="453" t="str">
        <f>F39</f>
        <v>NS</v>
      </c>
      <c r="AO133" s="443">
        <v>25</v>
      </c>
      <c r="AP133" s="454">
        <v>1</v>
      </c>
      <c r="AQ133" s="453" t="str">
        <f>G39</f>
        <v xml:space="preserve"> </v>
      </c>
      <c r="AR133" s="443">
        <v>25</v>
      </c>
      <c r="AS133" s="454">
        <v>1</v>
      </c>
      <c r="AT133" s="453" t="str">
        <f>H39</f>
        <v xml:space="preserve"> </v>
      </c>
      <c r="AU133" s="443">
        <v>25</v>
      </c>
      <c r="AV133" s="454">
        <v>1</v>
      </c>
      <c r="AW133" s="17"/>
    </row>
    <row r="134" spans="4:49" ht="20.100000000000001" customHeight="1" x14ac:dyDescent="0.2">
      <c r="D134" s="8"/>
      <c r="K134" s="781" t="str">
        <f>IF(AA134=" "," ",".")</f>
        <v>.</v>
      </c>
      <c r="Q134" s="328">
        <v>27</v>
      </c>
      <c r="R134" s="329" t="s">
        <v>72</v>
      </c>
      <c r="S134" s="339"/>
      <c r="T134" s="309"/>
      <c r="U134" s="309"/>
      <c r="V134" s="328">
        <v>27</v>
      </c>
      <c r="W134" s="768" t="s">
        <v>56</v>
      </c>
      <c r="X134" s="348"/>
      <c r="Y134" s="347"/>
      <c r="Z134" s="309"/>
      <c r="AA134" s="319" t="str">
        <f>'Master List'!C41</f>
        <v>R. BAIWIR</v>
      </c>
      <c r="AB134" s="433" t="str">
        <f>IF(OR(AB133&gt;" ",INDEX($R$108:$R$150,AC133)=0)," ",INDEX($R$108:$R$150,AC133))</f>
        <v>DBCS</v>
      </c>
      <c r="AC134" s="434"/>
      <c r="AD134" s="435"/>
      <c r="AE134" s="433" t="str">
        <f>IF(OR(AE133&gt;" ",INDEX($R$108:$R$150,AF133)=0)," ",INDEX($R$108:$R$150,AF133))</f>
        <v>DBCS</v>
      </c>
      <c r="AF134" s="434"/>
      <c r="AG134" s="435"/>
      <c r="AH134" s="433" t="str">
        <f>IF(OR(AH133&gt;" ",INDEX($R$108:$R$150,AI133)=0)," ",INDEX($R$108:$R$150,AI133))</f>
        <v>DBCS</v>
      </c>
      <c r="AI134" s="434"/>
      <c r="AJ134" s="435"/>
      <c r="AK134" s="433" t="str">
        <f>IF(OR(AK133&gt;" ",INDEX($R$108:$R$150,AL133)=0)," ",INDEX($R$108:$R$150,AL133))</f>
        <v>DBCS</v>
      </c>
      <c r="AL134" s="434"/>
      <c r="AM134" s="435"/>
      <c r="AN134" s="433" t="str">
        <f>IF(OR(AN133&gt;" ",INDEX($R$108:$R$150,AO133)=0)," ",INDEX($R$108:$R$150,AO133))</f>
        <v xml:space="preserve"> </v>
      </c>
      <c r="AO134" s="434"/>
      <c r="AP134" s="435"/>
      <c r="AQ134" s="433" t="str">
        <f>IF(OR(AQ133&gt;" ",INDEX($R$108:$R$150,AR133)=0)," ",INDEX($R$108:$R$150,AR133))</f>
        <v>DBCS</v>
      </c>
      <c r="AR134" s="341"/>
      <c r="AS134" s="435"/>
      <c r="AT134" s="433" t="str">
        <f>IF(OR(AT133&gt;" ",INDEX($R$108:$R$150,AU133)=0)," ",INDEX($R$108:$R$150,AU133))</f>
        <v>DBCS</v>
      </c>
      <c r="AU134" s="341"/>
      <c r="AV134" s="435"/>
      <c r="AW134" s="17"/>
    </row>
    <row r="135" spans="4:49" ht="20.100000000000001" customHeight="1" x14ac:dyDescent="0.2">
      <c r="D135" s="8"/>
      <c r="K135" s="781" t="str">
        <f>IF(AA134=" "," ",".")</f>
        <v>.</v>
      </c>
      <c r="Q135" s="328">
        <v>28</v>
      </c>
      <c r="R135" s="329" t="s">
        <v>331</v>
      </c>
      <c r="S135" s="339"/>
      <c r="T135" s="309"/>
      <c r="U135" s="309"/>
      <c r="V135" s="399">
        <v>28</v>
      </c>
      <c r="W135" s="769" t="s">
        <v>56</v>
      </c>
      <c r="X135" s="702" t="s">
        <v>164</v>
      </c>
      <c r="Y135" s="354"/>
      <c r="Z135" s="309"/>
      <c r="AA135" s="349"/>
      <c r="AB135" s="507" t="str">
        <f>IF(AB134=" ","",INDEX($W$108:$W$151,AD133))</f>
        <v>ECBM ROUTES</v>
      </c>
      <c r="AC135" s="437"/>
      <c r="AD135" s="438"/>
      <c r="AE135" s="507" t="str">
        <f>IF(AE134=" ","",INDEX($W$108:$W$151,AG133))</f>
        <v>ECBM ROUTES</v>
      </c>
      <c r="AF135" s="437"/>
      <c r="AG135" s="438"/>
      <c r="AH135" s="507" t="str">
        <f>IF(AH134=" ","",INDEX($W$108:$W$151,AJ133))</f>
        <v>ECBM ROUTES</v>
      </c>
      <c r="AI135" s="437"/>
      <c r="AJ135" s="438"/>
      <c r="AK135" s="507" t="str">
        <f>IF(AK134=" ","",INDEX($W$108:$W$151,AM133))</f>
        <v>ECBM ROUTES</v>
      </c>
      <c r="AL135" s="437"/>
      <c r="AM135" s="438"/>
      <c r="AN135" s="507" t="str">
        <f>IF(AN134=" ","",INDEX($W$108:$W$151,AP133))</f>
        <v/>
      </c>
      <c r="AO135" s="437"/>
      <c r="AP135" s="438"/>
      <c r="AQ135" s="436" t="str">
        <f>IF(AQ134=" ","",INDEX($W$108:$W$151,AS133))</f>
        <v>ECBM ROUTES</v>
      </c>
      <c r="AR135" s="437"/>
      <c r="AS135" s="438"/>
      <c r="AT135" s="436" t="str">
        <f>IF(AT134=" ","",INDEX($W$108:$W$151,AV133))</f>
        <v>ECBM ROUTES</v>
      </c>
      <c r="AU135" s="437"/>
      <c r="AV135" s="438"/>
      <c r="AW135" s="17"/>
    </row>
    <row r="136" spans="4:49" ht="20.100000000000001" customHeight="1" x14ac:dyDescent="0.2">
      <c r="D136" s="8"/>
      <c r="K136" s="781" t="str">
        <f>IF(AA137=" "," ",".")</f>
        <v>.</v>
      </c>
      <c r="Q136" s="328">
        <v>29</v>
      </c>
      <c r="R136" s="767" t="s">
        <v>344</v>
      </c>
      <c r="S136" s="339"/>
      <c r="T136" s="309"/>
      <c r="U136" s="309"/>
      <c r="V136" s="414"/>
      <c r="W136" s="768" t="s">
        <v>56</v>
      </c>
      <c r="X136" s="329"/>
      <c r="Y136" s="348"/>
      <c r="Z136" s="309"/>
      <c r="AA136" s="350"/>
      <c r="AB136" s="453" t="str">
        <f>B43</f>
        <v xml:space="preserve"> </v>
      </c>
      <c r="AC136" s="443">
        <v>29</v>
      </c>
      <c r="AD136" s="454">
        <v>28</v>
      </c>
      <c r="AE136" s="453" t="str">
        <f>C43</f>
        <v xml:space="preserve"> </v>
      </c>
      <c r="AF136" s="443">
        <v>29</v>
      </c>
      <c r="AG136" s="454">
        <v>28</v>
      </c>
      <c r="AH136" s="318" t="str">
        <f>D43</f>
        <v xml:space="preserve"> </v>
      </c>
      <c r="AI136" s="443">
        <v>29</v>
      </c>
      <c r="AJ136" s="454">
        <v>28</v>
      </c>
      <c r="AK136" s="453" t="str">
        <f>E43</f>
        <v>NS</v>
      </c>
      <c r="AL136" s="443">
        <v>29</v>
      </c>
      <c r="AM136" s="454">
        <v>28</v>
      </c>
      <c r="AN136" s="453" t="str">
        <f>F43</f>
        <v xml:space="preserve"> </v>
      </c>
      <c r="AO136" s="443">
        <v>29</v>
      </c>
      <c r="AP136" s="454">
        <v>28</v>
      </c>
      <c r="AQ136" s="453" t="str">
        <f>G43</f>
        <v xml:space="preserve"> </v>
      </c>
      <c r="AR136" s="443">
        <v>29</v>
      </c>
      <c r="AS136" s="454">
        <v>28</v>
      </c>
      <c r="AT136" s="453" t="str">
        <f>H43</f>
        <v xml:space="preserve"> </v>
      </c>
      <c r="AU136" s="443">
        <v>29</v>
      </c>
      <c r="AV136" s="454">
        <v>28</v>
      </c>
      <c r="AW136" s="17"/>
    </row>
    <row r="137" spans="4:49" ht="20.100000000000001" customHeight="1" x14ac:dyDescent="0.2">
      <c r="D137" s="8"/>
      <c r="K137" s="781" t="str">
        <f>IF(AA137=" "," ",".")</f>
        <v>.</v>
      </c>
      <c r="Q137" s="328">
        <v>30</v>
      </c>
      <c r="R137" s="767" t="s">
        <v>56</v>
      </c>
      <c r="S137" s="339"/>
      <c r="T137" s="309"/>
      <c r="U137" s="309"/>
      <c r="V137" s="414"/>
      <c r="W137" s="768" t="s">
        <v>56</v>
      </c>
      <c r="X137" s="329"/>
      <c r="Y137" s="348"/>
      <c r="Z137" s="309"/>
      <c r="AA137" s="319" t="str">
        <f>'Master List'!C42</f>
        <v>E. BONTON</v>
      </c>
      <c r="AB137" s="433" t="str">
        <f>IF(OR(AB136&gt;" ",INDEX($R$108:$R$150,AC136)=0)," ",INDEX($R$108:$R$150,AC136))</f>
        <v>APPS 2</v>
      </c>
      <c r="AC137" s="434"/>
      <c r="AD137" s="435"/>
      <c r="AE137" s="433" t="str">
        <f>IF(OR(AE136&gt;" ",INDEX($R$108:$R$150,AF136)=0)," ",INDEX($R$108:$R$150,AF136))</f>
        <v>APPS 2</v>
      </c>
      <c r="AF137" s="434"/>
      <c r="AG137" s="435"/>
      <c r="AH137" s="433" t="str">
        <f>IF(OR(AH136&gt;" ",INDEX($R$108:$R$150,AI136)=0)," ",INDEX($R$108:$R$150,AI136))</f>
        <v>APPS 2</v>
      </c>
      <c r="AI137" s="434"/>
      <c r="AJ137" s="435"/>
      <c r="AK137" s="433" t="str">
        <f>IF(OR(AK136&gt;" ",INDEX($R$108:$R$150,AL136)=0)," ",INDEX($R$108:$R$150,AL136))</f>
        <v xml:space="preserve"> </v>
      </c>
      <c r="AL137" s="434"/>
      <c r="AM137" s="435"/>
      <c r="AN137" s="433" t="str">
        <f>IF(OR(AN136&gt;" ",INDEX($R$108:$R$150,AO136)=0)," ",INDEX($R$108:$R$150,AO136))</f>
        <v>APPS 2</v>
      </c>
      <c r="AO137" s="434"/>
      <c r="AP137" s="435"/>
      <c r="AQ137" s="433" t="str">
        <f>IF(OR(AQ136&gt;" ",INDEX($R$108:$R$150,AR136)=0)," ",INDEX($R$108:$R$150,AR136))</f>
        <v>APPS 2</v>
      </c>
      <c r="AR137" s="341"/>
      <c r="AS137" s="435"/>
      <c r="AT137" s="433" t="str">
        <f>IF(OR(AT136&gt;" ",INDEX($R$108:$R$150,AU136)=0)," ",INDEX($R$108:$R$150,AU136))</f>
        <v>APPS 2</v>
      </c>
      <c r="AU137" s="341"/>
      <c r="AV137" s="435"/>
      <c r="AW137" s="17"/>
    </row>
    <row r="138" spans="4:49" ht="19.5" customHeight="1" x14ac:dyDescent="0.2">
      <c r="D138" s="8"/>
      <c r="K138" s="781" t="str">
        <f>IF(AA137=" "," ",".")</f>
        <v>.</v>
      </c>
      <c r="Q138" s="328">
        <v>31</v>
      </c>
      <c r="R138" s="767" t="s">
        <v>56</v>
      </c>
      <c r="S138" s="339"/>
      <c r="T138" s="309"/>
      <c r="U138" s="309"/>
      <c r="V138" s="414"/>
      <c r="W138" s="768" t="s">
        <v>56</v>
      </c>
      <c r="X138" s="329"/>
      <c r="Y138" s="348"/>
      <c r="Z138" s="309"/>
      <c r="AA138" s="349"/>
      <c r="AB138" s="507" t="str">
        <f>IF(AB137=" ","",INDEX($W$108:$W$151,AD136))</f>
        <v xml:space="preserve"> </v>
      </c>
      <c r="AC138" s="437"/>
      <c r="AD138" s="438"/>
      <c r="AE138" s="507" t="str">
        <f>IF(AE137=" ","",INDEX($W$108:$W$151,AG136))</f>
        <v xml:space="preserve"> </v>
      </c>
      <c r="AF138" s="437"/>
      <c r="AG138" s="438"/>
      <c r="AH138" s="507" t="str">
        <f>IF(AH137=" ","",INDEX($W$108:$W$151,AJ136))</f>
        <v xml:space="preserve"> </v>
      </c>
      <c r="AI138" s="437"/>
      <c r="AJ138" s="438"/>
      <c r="AK138" s="507" t="str">
        <f>IF(AK137=" ","",INDEX($W$108:$W$151,AM136))</f>
        <v/>
      </c>
      <c r="AL138" s="437"/>
      <c r="AM138" s="438"/>
      <c r="AN138" s="507" t="str">
        <f>IF(AN137=" ","",INDEX($W$108:$W$151,AP136))</f>
        <v xml:space="preserve"> </v>
      </c>
      <c r="AO138" s="437"/>
      <c r="AP138" s="438"/>
      <c r="AQ138" s="436" t="str">
        <f>IF(AQ137=" ","",INDEX($W$108:$W$151,AS136))</f>
        <v xml:space="preserve"> </v>
      </c>
      <c r="AR138" s="437"/>
      <c r="AS138" s="438"/>
      <c r="AT138" s="436" t="str">
        <f>IF(AT137=" ","",INDEX($W$108:$W$151,AV136))</f>
        <v xml:space="preserve"> </v>
      </c>
      <c r="AU138" s="437"/>
      <c r="AV138" s="438"/>
      <c r="AW138" s="17"/>
    </row>
    <row r="139" spans="4:49" ht="18" customHeight="1" x14ac:dyDescent="0.2">
      <c r="D139" s="8"/>
      <c r="K139" s="8" t="str">
        <f>IF(AA140=" "," ",".")</f>
        <v>.</v>
      </c>
      <c r="Q139" s="352"/>
      <c r="R139" s="353" t="s">
        <v>56</v>
      </c>
      <c r="S139" s="354"/>
      <c r="T139" s="309"/>
      <c r="U139" s="309"/>
      <c r="W139" s="768" t="s">
        <v>56</v>
      </c>
      <c r="Z139" s="309"/>
      <c r="AA139" s="350"/>
      <c r="AB139" s="453" t="str">
        <f>B47</f>
        <v xml:space="preserve"> </v>
      </c>
      <c r="AC139" s="443">
        <v>26</v>
      </c>
      <c r="AD139" s="454">
        <v>28</v>
      </c>
      <c r="AE139" s="453" t="str">
        <f>C47</f>
        <v>NS</v>
      </c>
      <c r="AF139" s="443">
        <v>29</v>
      </c>
      <c r="AG139" s="454">
        <v>22</v>
      </c>
      <c r="AH139" s="318" t="str">
        <f>D47</f>
        <v>NS</v>
      </c>
      <c r="AI139" s="443">
        <v>26</v>
      </c>
      <c r="AJ139" s="454">
        <v>28</v>
      </c>
      <c r="AK139" s="453" t="str">
        <f>E47</f>
        <v xml:space="preserve"> </v>
      </c>
      <c r="AL139" s="443">
        <v>26</v>
      </c>
      <c r="AM139" s="454">
        <v>28</v>
      </c>
      <c r="AN139" s="453" t="str">
        <f>F47</f>
        <v xml:space="preserve"> </v>
      </c>
      <c r="AO139" s="443">
        <v>26</v>
      </c>
      <c r="AP139" s="454">
        <v>28</v>
      </c>
      <c r="AQ139" s="453" t="str">
        <f>G47</f>
        <v xml:space="preserve"> </v>
      </c>
      <c r="AR139" s="443">
        <v>26</v>
      </c>
      <c r="AS139" s="454">
        <v>28</v>
      </c>
      <c r="AT139" s="453" t="str">
        <f>H47</f>
        <v xml:space="preserve"> </v>
      </c>
      <c r="AU139" s="443">
        <v>26</v>
      </c>
      <c r="AV139" s="454">
        <v>28</v>
      </c>
      <c r="AW139" s="17"/>
    </row>
    <row r="140" spans="4:49" ht="18" customHeight="1" x14ac:dyDescent="0.2">
      <c r="D140" s="8"/>
      <c r="K140" s="8" t="str">
        <f>IF(AA140=" "," ",".")</f>
        <v>.</v>
      </c>
      <c r="R140" s="8" t="s">
        <v>56</v>
      </c>
      <c r="T140" s="309"/>
      <c r="U140" s="309"/>
      <c r="W140" s="768" t="s">
        <v>56</v>
      </c>
      <c r="Z140" s="309"/>
      <c r="AA140" s="319" t="str">
        <f>'Master List'!C43</f>
        <v>F. TITUS</v>
      </c>
      <c r="AB140" s="433" t="str">
        <f>IF(OR(AB139&gt;" ",INDEX($R$108:$R$150,AC139)=0)," ",INDEX($R$108:$R$150,AC139))</f>
        <v>BATTERY ROOM</v>
      </c>
      <c r="AC140" s="434"/>
      <c r="AD140" s="435"/>
      <c r="AE140" s="433" t="str">
        <f>IF(OR(AE139&gt;" ",INDEX($R$108:$R$150,AF139)=0)," ",INDEX($R$108:$R$150,AF139))</f>
        <v xml:space="preserve"> </v>
      </c>
      <c r="AF140" s="434"/>
      <c r="AG140" s="435"/>
      <c r="AH140" s="433" t="str">
        <f>IF(OR(AH139&gt;" ",INDEX($R$108:$R$150,AI139)=0)," ",INDEX($R$108:$R$150,AI139))</f>
        <v xml:space="preserve"> </v>
      </c>
      <c r="AI140" s="434"/>
      <c r="AJ140" s="435"/>
      <c r="AK140" s="433" t="str">
        <f>IF(OR(AK139&gt;" ",INDEX($R$108:$R$150,AL139)=0)," ",INDEX($R$108:$R$150,AL139))</f>
        <v>BATTERY ROOM</v>
      </c>
      <c r="AL140" s="434"/>
      <c r="AM140" s="435"/>
      <c r="AN140" s="433" t="str">
        <f>IF(OR(AN139&gt;" ",INDEX($R$108:$R$150,AO139)=0)," ",INDEX($R$108:$R$150,AO139))</f>
        <v>BATTERY ROOM</v>
      </c>
      <c r="AO140" s="434"/>
      <c r="AP140" s="435"/>
      <c r="AQ140" s="433" t="str">
        <f>IF(OR(AQ139&gt;" ",INDEX($R$108:$R$150,AR139)=0)," ",INDEX($R$108:$R$150,AR139))</f>
        <v>BATTERY ROOM</v>
      </c>
      <c r="AR140" s="341"/>
      <c r="AS140" s="435"/>
      <c r="AT140" s="433" t="str">
        <f>IF(OR(AT139&gt;" ",INDEX($R$108:$R$150,AU139)=0)," ",INDEX($R$108:$R$150,AU139))</f>
        <v>BATTERY ROOM</v>
      </c>
      <c r="AU140" s="341"/>
      <c r="AV140" s="435"/>
      <c r="AW140" s="17"/>
    </row>
    <row r="141" spans="4:49" ht="18" customHeight="1" x14ac:dyDescent="0.2">
      <c r="D141" s="8"/>
      <c r="K141" s="8" t="str">
        <f>IF(AA140=" "," ",".")</f>
        <v>.</v>
      </c>
      <c r="R141" s="8" t="s">
        <v>56</v>
      </c>
      <c r="T141" s="309"/>
      <c r="U141" s="309"/>
      <c r="W141" s="768" t="s">
        <v>56</v>
      </c>
      <c r="Z141" s="309"/>
      <c r="AA141" s="349"/>
      <c r="AB141" s="507" t="str">
        <f>IF(AB140=" ","",INDEX($W$108:$W$151,AD139))</f>
        <v xml:space="preserve"> </v>
      </c>
      <c r="AC141" s="437"/>
      <c r="AD141" s="438"/>
      <c r="AE141" s="507" t="str">
        <f>IF(AE140=" ","",INDEX($W$108:$W$151,AG139))</f>
        <v/>
      </c>
      <c r="AF141" s="437"/>
      <c r="AG141" s="438"/>
      <c r="AH141" s="507" t="str">
        <f>IF(AH140=" ","",INDEX($W$108:$W$151,AJ139))</f>
        <v/>
      </c>
      <c r="AI141" s="437"/>
      <c r="AJ141" s="438"/>
      <c r="AK141" s="507" t="str">
        <f>IF(AK140=" ","",INDEX($W$108:$W$151,AM139))</f>
        <v xml:space="preserve"> </v>
      </c>
      <c r="AL141" s="437"/>
      <c r="AM141" s="438"/>
      <c r="AN141" s="507" t="str">
        <f>IF(AN140=" ","",INDEX($W$108:$W$151,AP139))</f>
        <v xml:space="preserve"> </v>
      </c>
      <c r="AO141" s="437"/>
      <c r="AP141" s="438"/>
      <c r="AQ141" s="436" t="str">
        <f>IF(AQ140=" ","",INDEX($W$108:$W$151,AS139))</f>
        <v xml:space="preserve"> </v>
      </c>
      <c r="AR141" s="437"/>
      <c r="AS141" s="438"/>
      <c r="AT141" s="436" t="str">
        <f>IF(AT140=" ","",INDEX($W$108:$W$151,AV139))</f>
        <v xml:space="preserve"> </v>
      </c>
      <c r="AU141" s="437"/>
      <c r="AV141" s="438"/>
      <c r="AW141" s="17" t="s">
        <v>56</v>
      </c>
    </row>
    <row r="142" spans="4:49" ht="18" customHeight="1" x14ac:dyDescent="0.2">
      <c r="D142" s="8"/>
      <c r="K142" s="8" t="str">
        <f>IF(AA143=" "," ",".")</f>
        <v>.</v>
      </c>
      <c r="R142" s="8" t="s">
        <v>56</v>
      </c>
      <c r="T142" s="309"/>
      <c r="U142" s="309"/>
      <c r="W142" s="768" t="s">
        <v>56</v>
      </c>
      <c r="Z142" s="309"/>
      <c r="AA142" s="350"/>
      <c r="AB142" s="453" t="str">
        <f>B51</f>
        <v xml:space="preserve"> </v>
      </c>
      <c r="AC142" s="443">
        <v>25</v>
      </c>
      <c r="AD142" s="454">
        <v>23</v>
      </c>
      <c r="AE142" s="453" t="str">
        <f>C51</f>
        <v>NS</v>
      </c>
      <c r="AF142" s="443">
        <v>25</v>
      </c>
      <c r="AG142" s="454">
        <v>23</v>
      </c>
      <c r="AH142" s="318" t="str">
        <f>D51</f>
        <v xml:space="preserve"> </v>
      </c>
      <c r="AI142" s="443">
        <v>25</v>
      </c>
      <c r="AJ142" s="454">
        <v>23</v>
      </c>
      <c r="AK142" s="453" t="str">
        <f>E51</f>
        <v xml:space="preserve"> </v>
      </c>
      <c r="AL142" s="443">
        <v>25</v>
      </c>
      <c r="AM142" s="454">
        <v>23</v>
      </c>
      <c r="AN142" s="453" t="str">
        <f>F51</f>
        <v xml:space="preserve"> </v>
      </c>
      <c r="AO142" s="443">
        <v>25</v>
      </c>
      <c r="AP142" s="454">
        <v>23</v>
      </c>
      <c r="AQ142" s="453" t="str">
        <f>G51</f>
        <v xml:space="preserve"> </v>
      </c>
      <c r="AR142" s="443">
        <v>25</v>
      </c>
      <c r="AS142" s="454">
        <v>23</v>
      </c>
      <c r="AT142" s="453" t="str">
        <f>H51</f>
        <v xml:space="preserve"> </v>
      </c>
      <c r="AU142" s="443">
        <v>25</v>
      </c>
      <c r="AV142" s="454">
        <v>23</v>
      </c>
      <c r="AW142" s="17"/>
    </row>
    <row r="143" spans="4:49" ht="18.75" customHeight="1" x14ac:dyDescent="0.2">
      <c r="D143" s="8"/>
      <c r="K143" s="8" t="str">
        <f>IF(AA143=" "," ",".")</f>
        <v>.</v>
      </c>
      <c r="R143" s="8" t="s">
        <v>56</v>
      </c>
      <c r="T143" s="309"/>
      <c r="U143" s="309"/>
      <c r="W143" s="768" t="s">
        <v>56</v>
      </c>
      <c r="Z143" s="309"/>
      <c r="AA143" s="319" t="str">
        <f>'Master List'!C44</f>
        <v>M. RAY</v>
      </c>
      <c r="AB143" s="433" t="str">
        <f>IF(OR(AB142&gt;" ",INDEX($R$108:$R$150,AC142)=0)," ",INDEX($R$108:$R$150,AC142))</f>
        <v>DBCS</v>
      </c>
      <c r="AC143" s="434"/>
      <c r="AD143" s="435"/>
      <c r="AE143" s="433" t="str">
        <f>IF(OR(AE142&gt;" ",INDEX($R$108:$R$150,AF142)=0)," ",INDEX($R$108:$R$150,AF142))</f>
        <v xml:space="preserve"> </v>
      </c>
      <c r="AF143" s="434"/>
      <c r="AG143" s="435"/>
      <c r="AH143" s="433" t="str">
        <f>IF(OR(AH142&gt;" ",INDEX($R$108:$R$150,AI142)=0)," ",INDEX($R$108:$R$150,AI142))</f>
        <v>DBCS</v>
      </c>
      <c r="AI143" s="434"/>
      <c r="AJ143" s="435"/>
      <c r="AK143" s="433" t="str">
        <f>IF(OR(AK142&gt;" ",INDEX($R$108:$R$150,AL142)=0)," ",INDEX($R$108:$R$150,AL142))</f>
        <v>DBCS</v>
      </c>
      <c r="AL143" s="434"/>
      <c r="AM143" s="435"/>
      <c r="AN143" s="433" t="str">
        <f>IF(OR(AN142&gt;" ",INDEX($R$108:$R$150,AO142)=0)," ",INDEX($R$108:$R$150,AO142))</f>
        <v>DBCS</v>
      </c>
      <c r="AO143" s="434"/>
      <c r="AP143" s="435"/>
      <c r="AQ143" s="433" t="str">
        <f>IF(OR(AQ142&gt;" ",INDEX($R$108:$R$150,AR142)=0)," ",INDEX($R$108:$R$150,AR142))</f>
        <v>DBCS</v>
      </c>
      <c r="AR143" s="341"/>
      <c r="AS143" s="435"/>
      <c r="AT143" s="433" t="str">
        <f>IF(OR(AT142&gt;" ",INDEX($R$108:$R$150,AU142)=0)," ",INDEX($R$108:$R$150,AU142))</f>
        <v>DBCS</v>
      </c>
      <c r="AU143" s="341"/>
      <c r="AV143" s="435"/>
      <c r="AW143" s="17"/>
    </row>
    <row r="144" spans="4:49" ht="18.75" customHeight="1" x14ac:dyDescent="0.2">
      <c r="D144" s="8"/>
      <c r="K144" s="8" t="str">
        <f>IF(AA143=" "," ",".")</f>
        <v>.</v>
      </c>
      <c r="Q144" s="704"/>
      <c r="R144" s="8" t="s">
        <v>56</v>
      </c>
      <c r="S144" s="704"/>
      <c r="T144" s="309"/>
      <c r="U144" s="309"/>
      <c r="W144" s="768" t="s">
        <v>56</v>
      </c>
      <c r="Z144" s="309"/>
      <c r="AA144" s="349"/>
      <c r="AB144" s="507" t="str">
        <f>IF(AB143=" ","",INDEX($W$108:$W$151,AD142))</f>
        <v>BATTERY ROOM</v>
      </c>
      <c r="AC144" s="437"/>
      <c r="AD144" s="438"/>
      <c r="AE144" s="507" t="str">
        <f>IF(AE143=" ","",INDEX($W$108:$W$151,AG142))</f>
        <v/>
      </c>
      <c r="AF144" s="437"/>
      <c r="AG144" s="438"/>
      <c r="AH144" s="507" t="str">
        <f>IF(AH143=" ","",INDEX($W$108:$W$151,AJ142))</f>
        <v>BATTERY ROOM</v>
      </c>
      <c r="AI144" s="437"/>
      <c r="AJ144" s="438"/>
      <c r="AK144" s="507" t="str">
        <f>IF(AK143=" ","",INDEX($W$108:$W$151,AM142))</f>
        <v>BATTERY ROOM</v>
      </c>
      <c r="AL144" s="437"/>
      <c r="AM144" s="438"/>
      <c r="AN144" s="507" t="str">
        <f>IF(AN143=" ","",INDEX($W$108:$W$151,AP142))</f>
        <v>BATTERY ROOM</v>
      </c>
      <c r="AO144" s="437"/>
      <c r="AP144" s="438"/>
      <c r="AQ144" s="436" t="str">
        <f>IF(AQ143=" ","",INDEX($W$108:$W$151,AS142))</f>
        <v>BATTERY ROOM</v>
      </c>
      <c r="AR144" s="437"/>
      <c r="AS144" s="438"/>
      <c r="AT144" s="436" t="str">
        <f>IF(AT143=" ","",INDEX($W$108:$W$151,AV142))</f>
        <v>BATTERY ROOM</v>
      </c>
      <c r="AU144" s="437"/>
      <c r="AV144" s="438"/>
      <c r="AW144" s="17" t="s">
        <v>56</v>
      </c>
    </row>
    <row r="145" spans="4:49" ht="18.75" customHeight="1" x14ac:dyDescent="0.2">
      <c r="D145" s="8"/>
      <c r="K145" s="8" t="str">
        <f>IF(AA146=" "," ",".")</f>
        <v>.</v>
      </c>
      <c r="Q145" s="414"/>
      <c r="R145" s="8" t="s">
        <v>56</v>
      </c>
      <c r="S145" s="329"/>
      <c r="T145" s="309"/>
      <c r="U145" s="309"/>
      <c r="V145" s="309"/>
      <c r="W145" s="768" t="s">
        <v>56</v>
      </c>
      <c r="X145" s="309"/>
      <c r="Y145" s="309"/>
      <c r="Z145" s="309"/>
      <c r="AA145" s="350"/>
      <c r="AB145" s="453" t="str">
        <f>B55</f>
        <v>NS</v>
      </c>
      <c r="AC145" s="443">
        <v>26</v>
      </c>
      <c r="AD145" s="454">
        <v>28</v>
      </c>
      <c r="AE145" s="453" t="str">
        <f>C55</f>
        <v>*</v>
      </c>
      <c r="AF145" s="443">
        <v>31</v>
      </c>
      <c r="AG145" s="454">
        <v>1</v>
      </c>
      <c r="AH145" s="318" t="str">
        <f>D55</f>
        <v>*</v>
      </c>
      <c r="AI145" s="443">
        <v>31</v>
      </c>
      <c r="AJ145" s="454">
        <v>1</v>
      </c>
      <c r="AK145" s="453" t="str">
        <f>E55</f>
        <v>*</v>
      </c>
      <c r="AL145" s="443">
        <v>26</v>
      </c>
      <c r="AM145" s="454">
        <v>28</v>
      </c>
      <c r="AN145" s="453" t="str">
        <f>F55</f>
        <v>*</v>
      </c>
      <c r="AO145" s="443">
        <v>26</v>
      </c>
      <c r="AP145" s="454">
        <v>28</v>
      </c>
      <c r="AQ145" s="453" t="str">
        <f>G55</f>
        <v>*</v>
      </c>
      <c r="AR145" s="443">
        <v>26</v>
      </c>
      <c r="AS145" s="454">
        <v>28</v>
      </c>
      <c r="AT145" s="453" t="str">
        <f>H55</f>
        <v>NS</v>
      </c>
      <c r="AU145" s="443">
        <v>26</v>
      </c>
      <c r="AV145" s="454">
        <v>28</v>
      </c>
      <c r="AW145" s="17"/>
    </row>
    <row r="146" spans="4:49" ht="18" customHeight="1" x14ac:dyDescent="0.2">
      <c r="D146" s="8"/>
      <c r="K146" s="8" t="str">
        <f>IF(AA146=" "," ",".")</f>
        <v>.</v>
      </c>
      <c r="Q146" s="414"/>
      <c r="R146" s="8" t="s">
        <v>56</v>
      </c>
      <c r="S146" s="329"/>
      <c r="T146" s="309"/>
      <c r="U146" s="309"/>
      <c r="V146" s="309"/>
      <c r="W146" s="768" t="s">
        <v>56</v>
      </c>
      <c r="X146" s="309"/>
      <c r="Y146" s="309"/>
      <c r="Z146" s="309"/>
      <c r="AA146" s="319" t="str">
        <f>'Master List'!C45</f>
        <v>M. ALLEN</v>
      </c>
      <c r="AB146" s="433" t="str">
        <f>IF(OR(AB145&gt;" ",INDEX($R$108:$R$150,AC145)=0)," ",INDEX($R$108:$R$150,AC145))</f>
        <v xml:space="preserve"> </v>
      </c>
      <c r="AC146" s="434"/>
      <c r="AD146" s="435"/>
      <c r="AE146" s="433" t="str">
        <f>IF(OR(AE145&gt;" ",INDEX($R$108:$R$150,AF145)=0)," ",INDEX($R$108:$R$150,AF145))</f>
        <v xml:space="preserve"> </v>
      </c>
      <c r="AF146" s="434"/>
      <c r="AG146" s="435"/>
      <c r="AH146" s="433" t="str">
        <f>IF(OR(AH145&gt;" ",INDEX($R$108:$R$150,AI145)=0)," ",INDEX($R$108:$R$150,AI145))</f>
        <v xml:space="preserve"> </v>
      </c>
      <c r="AI146" s="434"/>
      <c r="AJ146" s="435"/>
      <c r="AK146" s="433" t="str">
        <f>IF(OR(AK145&gt;" ",INDEX($R$108:$R$150,AL145)=0)," ",INDEX($R$108:$R$150,AL145))</f>
        <v xml:space="preserve"> </v>
      </c>
      <c r="AL146" s="434"/>
      <c r="AM146" s="435"/>
      <c r="AN146" s="433" t="str">
        <f>IF(OR(AN145&gt;" ",INDEX($R$108:$R$150,AO145)=0)," ",INDEX($R$108:$R$150,AO145))</f>
        <v xml:space="preserve"> </v>
      </c>
      <c r="AO146" s="434"/>
      <c r="AP146" s="435"/>
      <c r="AQ146" s="433" t="str">
        <f>IF(OR(AQ145&gt;" ",INDEX($R$108:$R$150,AR145)=0)," ",INDEX($R$108:$R$150,AR145))</f>
        <v xml:space="preserve"> </v>
      </c>
      <c r="AR146" s="341"/>
      <c r="AS146" s="435"/>
      <c r="AT146" s="433" t="str">
        <f>IF(OR(AT145&gt;" ",INDEX($R$108:$R$150,AU145)=0)," ",INDEX($R$108:$R$150,AU145))</f>
        <v xml:space="preserve"> </v>
      </c>
      <c r="AU146" s="341"/>
      <c r="AV146" s="435"/>
      <c r="AW146" s="17"/>
    </row>
    <row r="147" spans="4:49" ht="18" customHeight="1" x14ac:dyDescent="0.2">
      <c r="D147" s="8"/>
      <c r="K147" s="8" t="str">
        <f>IF(AA146=" "," ",".")</f>
        <v>.</v>
      </c>
      <c r="Q147" s="414"/>
      <c r="R147" s="8" t="s">
        <v>56</v>
      </c>
      <c r="S147" s="329"/>
      <c r="T147" s="309"/>
      <c r="U147" s="309"/>
      <c r="V147" s="309"/>
      <c r="W147" s="768" t="s">
        <v>56</v>
      </c>
      <c r="X147" s="309"/>
      <c r="Y147" s="309"/>
      <c r="Z147" s="309"/>
      <c r="AA147" s="349"/>
      <c r="AB147" s="507" t="str">
        <f>IF(AB146=" ","",INDEX($W$108:$W$151,AD145))</f>
        <v/>
      </c>
      <c r="AC147" s="437"/>
      <c r="AD147" s="438"/>
      <c r="AE147" s="507" t="str">
        <f>IF(AE146=" ","",INDEX($W$108:$W$151,AG145))</f>
        <v/>
      </c>
      <c r="AF147" s="437"/>
      <c r="AG147" s="438"/>
      <c r="AH147" s="507" t="str">
        <f>IF(AH146=" ","",INDEX($W$108:$W$151,AJ145))</f>
        <v/>
      </c>
      <c r="AI147" s="437"/>
      <c r="AJ147" s="438"/>
      <c r="AK147" s="507" t="str">
        <f>IF(AK146=" ","",INDEX($W$108:$W$151,AM145))</f>
        <v/>
      </c>
      <c r="AL147" s="437"/>
      <c r="AM147" s="438"/>
      <c r="AN147" s="507" t="str">
        <f>IF(AN146=" ","",INDEX($W$108:$W$151,AP145))</f>
        <v/>
      </c>
      <c r="AO147" s="437"/>
      <c r="AP147" s="438"/>
      <c r="AQ147" s="436" t="str">
        <f>IF(AQ146=" ","",INDEX($W$108:$W$151,AS145))</f>
        <v/>
      </c>
      <c r="AR147" s="437"/>
      <c r="AS147" s="438"/>
      <c r="AT147" s="436" t="str">
        <f>IF(AT146=" ","",INDEX($W$108:$W$151,AV145))</f>
        <v/>
      </c>
      <c r="AU147" s="437"/>
      <c r="AV147" s="438"/>
      <c r="AW147" s="17"/>
    </row>
    <row r="148" spans="4:49" ht="18" customHeight="1" x14ac:dyDescent="0.2">
      <c r="D148" s="8"/>
      <c r="K148" s="8" t="str">
        <f>IF(AA149=" "," ",".")</f>
        <v>.</v>
      </c>
      <c r="R148" s="8" t="s">
        <v>56</v>
      </c>
      <c r="T148" s="309"/>
      <c r="U148" s="309"/>
      <c r="V148" s="309"/>
      <c r="W148" s="768" t="s">
        <v>56</v>
      </c>
      <c r="X148" s="309"/>
      <c r="Y148" s="309"/>
      <c r="Z148" s="309"/>
      <c r="AA148" s="350"/>
      <c r="AB148" s="453" t="str">
        <f>B59</f>
        <v xml:space="preserve"> </v>
      </c>
      <c r="AC148" s="443">
        <v>2</v>
      </c>
      <c r="AD148" s="454">
        <v>28</v>
      </c>
      <c r="AE148" s="453" t="str">
        <f>C59</f>
        <v xml:space="preserve"> </v>
      </c>
      <c r="AF148" s="443">
        <v>2</v>
      </c>
      <c r="AG148" s="454">
        <v>28</v>
      </c>
      <c r="AH148" s="318" t="str">
        <f>D59</f>
        <v xml:space="preserve"> </v>
      </c>
      <c r="AI148" s="443">
        <v>29</v>
      </c>
      <c r="AJ148" s="454">
        <v>28</v>
      </c>
      <c r="AK148" s="453" t="str">
        <f>E59</f>
        <v xml:space="preserve"> </v>
      </c>
      <c r="AL148" s="443">
        <v>29</v>
      </c>
      <c r="AM148" s="454">
        <v>28</v>
      </c>
      <c r="AN148" s="453" t="str">
        <f>F59</f>
        <v>NS</v>
      </c>
      <c r="AO148" s="443">
        <v>29</v>
      </c>
      <c r="AP148" s="454">
        <v>28</v>
      </c>
      <c r="AQ148" s="453" t="str">
        <f>G59</f>
        <v xml:space="preserve"> </v>
      </c>
      <c r="AR148" s="443">
        <v>29</v>
      </c>
      <c r="AS148" s="454">
        <v>28</v>
      </c>
      <c r="AT148" s="453" t="str">
        <f>H59</f>
        <v xml:space="preserve"> </v>
      </c>
      <c r="AU148" s="443">
        <v>29</v>
      </c>
      <c r="AV148" s="454">
        <v>28</v>
      </c>
      <c r="AW148" s="17"/>
    </row>
    <row r="149" spans="4:49" ht="18" customHeight="1" x14ac:dyDescent="0.2">
      <c r="D149" s="8"/>
      <c r="K149" s="8" t="str">
        <f>IF(AA149=" "," ",".")</f>
        <v>.</v>
      </c>
      <c r="R149" s="8" t="s">
        <v>56</v>
      </c>
      <c r="T149" s="309"/>
      <c r="U149" s="309"/>
      <c r="V149" s="309"/>
      <c r="W149" s="768" t="s">
        <v>56</v>
      </c>
      <c r="X149" s="309"/>
      <c r="Y149" s="309"/>
      <c r="Z149" s="309"/>
      <c r="AA149" s="319" t="str">
        <f>'Master List'!C46</f>
        <v>R. MALONE</v>
      </c>
      <c r="AB149" s="433" t="str">
        <f>IF(OR(AB148&gt;" ",INDEX($R$108:$R$150,AC148)=0)," ",INDEX($R$108:$R$150,AC148))</f>
        <v>APPS 1</v>
      </c>
      <c r="AC149" s="434"/>
      <c r="AD149" s="435"/>
      <c r="AE149" s="433" t="str">
        <f>IF(OR(AE148&gt;" ",INDEX($R$108:$R$150,AF148)=0)," ",INDEX($R$108:$R$150,AF148))</f>
        <v>APPS 1</v>
      </c>
      <c r="AF149" s="434"/>
      <c r="AG149" s="435"/>
      <c r="AH149" s="433" t="str">
        <f>IF(OR(AH148&gt;" ",INDEX($R$108:$R$150,AI148)=0)," ",INDEX($R$108:$R$150,AI148))</f>
        <v>APPS 2</v>
      </c>
      <c r="AI149" s="434"/>
      <c r="AJ149" s="435"/>
      <c r="AK149" s="433" t="str">
        <f>IF(OR(AK148&gt;" ",INDEX($R$108:$R$150,AL148)=0)," ",INDEX($R$108:$R$150,AL148))</f>
        <v>APPS 2</v>
      </c>
      <c r="AL149" s="434"/>
      <c r="AM149" s="435"/>
      <c r="AN149" s="433" t="str">
        <f>IF(OR(AN148&gt;" ",INDEX($R$108:$R$150,AO148)=0)," ",INDEX($R$108:$R$150,AO148))</f>
        <v xml:space="preserve"> </v>
      </c>
      <c r="AO149" s="434"/>
      <c r="AP149" s="435"/>
      <c r="AQ149" s="433" t="str">
        <f>IF(OR(AQ148&gt;" ",INDEX($R$108:$R$150,AR148)=0)," ",INDEX($R$108:$R$150,AR148))</f>
        <v>APPS 2</v>
      </c>
      <c r="AR149" s="341"/>
      <c r="AS149" s="435"/>
      <c r="AT149" s="433" t="str">
        <f>IF(OR(AT148&gt;" ",INDEX($R$108:$R$150,AU148)=0)," ",INDEX($R$108:$R$150,AU148))</f>
        <v>APPS 2</v>
      </c>
      <c r="AU149" s="341"/>
      <c r="AV149" s="435"/>
      <c r="AW149" s="17"/>
    </row>
    <row r="150" spans="4:49" ht="18.75" customHeight="1" x14ac:dyDescent="0.2">
      <c r="D150" s="8"/>
      <c r="K150" s="8" t="str">
        <f>IF(AA149=" "," ",".")</f>
        <v>.</v>
      </c>
      <c r="R150" s="8" t="s">
        <v>56</v>
      </c>
      <c r="T150" s="309"/>
      <c r="U150" s="309"/>
      <c r="V150" s="309"/>
      <c r="W150" s="768" t="s">
        <v>56</v>
      </c>
      <c r="X150" s="309"/>
      <c r="Y150" s="309"/>
      <c r="Z150" s="309"/>
      <c r="AA150" s="349"/>
      <c r="AB150" s="507" t="str">
        <f>IF(AB149=" ","",INDEX($W$108:$W$151,AD148))</f>
        <v xml:space="preserve"> </v>
      </c>
      <c r="AC150" s="437"/>
      <c r="AD150" s="438"/>
      <c r="AE150" s="507" t="str">
        <f>IF(AE149=" ","",INDEX($W$108:$W$151,AG148))</f>
        <v xml:space="preserve"> </v>
      </c>
      <c r="AF150" s="437"/>
      <c r="AG150" s="438"/>
      <c r="AH150" s="507" t="str">
        <f>IF(AH149=" ","",INDEX($W$108:$W$151,AJ148))</f>
        <v xml:space="preserve"> </v>
      </c>
      <c r="AI150" s="437"/>
      <c r="AJ150" s="438"/>
      <c r="AK150" s="507" t="str">
        <f>IF(AK149=" ","",INDEX($W$108:$W$151,AM148))</f>
        <v xml:space="preserve"> </v>
      </c>
      <c r="AL150" s="437"/>
      <c r="AM150" s="438"/>
      <c r="AN150" s="507" t="str">
        <f>IF(AN149=" ","",INDEX($W$108:$W$151,AP148))</f>
        <v/>
      </c>
      <c r="AO150" s="437"/>
      <c r="AP150" s="438"/>
      <c r="AQ150" s="436" t="str">
        <f>IF(AQ149=" ","",INDEX($W$108:$W$151,AS148))</f>
        <v xml:space="preserve"> </v>
      </c>
      <c r="AR150" s="437"/>
      <c r="AS150" s="438"/>
      <c r="AT150" s="436" t="str">
        <f>IF(AT149=" ","",INDEX($W$108:$W$151,AV148))</f>
        <v xml:space="preserve"> </v>
      </c>
      <c r="AU150" s="437"/>
      <c r="AV150" s="438"/>
      <c r="AW150" s="17"/>
    </row>
    <row r="151" spans="4:49" ht="20.100000000000001" customHeight="1" x14ac:dyDescent="0.2">
      <c r="K151" s="781" t="str">
        <f>IF(AA152=" "," ",".")</f>
        <v>.</v>
      </c>
      <c r="R151" s="8" t="s">
        <v>56</v>
      </c>
      <c r="T151" s="17"/>
      <c r="U151" s="17"/>
      <c r="V151" s="17"/>
      <c r="W151" s="768" t="s">
        <v>56</v>
      </c>
      <c r="X151" s="17"/>
      <c r="Y151" s="17"/>
      <c r="Z151" s="17"/>
      <c r="AA151" s="350"/>
      <c r="AB151" s="667" t="str">
        <f>B63</f>
        <v xml:space="preserve"> </v>
      </c>
      <c r="AC151" s="668">
        <v>13</v>
      </c>
      <c r="AD151" s="669">
        <v>13</v>
      </c>
      <c r="AE151" s="667" t="str">
        <f>C63</f>
        <v>NS</v>
      </c>
      <c r="AF151" s="668">
        <v>13</v>
      </c>
      <c r="AG151" s="669">
        <v>13</v>
      </c>
      <c r="AH151" s="667" t="str">
        <f>D63</f>
        <v xml:space="preserve"> </v>
      </c>
      <c r="AI151" s="668">
        <v>13</v>
      </c>
      <c r="AJ151" s="669">
        <v>13</v>
      </c>
      <c r="AK151" s="667" t="str">
        <f>E63</f>
        <v xml:space="preserve"> </v>
      </c>
      <c r="AL151" s="668">
        <v>13</v>
      </c>
      <c r="AM151" s="669">
        <v>13</v>
      </c>
      <c r="AN151" s="667" t="str">
        <f>F63</f>
        <v xml:space="preserve"> </v>
      </c>
      <c r="AO151" s="668">
        <v>13</v>
      </c>
      <c r="AP151" s="669">
        <v>13</v>
      </c>
      <c r="AQ151" s="670" t="str">
        <f>G63</f>
        <v xml:space="preserve"> </v>
      </c>
      <c r="AR151" s="668">
        <v>13</v>
      </c>
      <c r="AS151" s="669">
        <v>13</v>
      </c>
      <c r="AT151" s="667" t="str">
        <f>H63</f>
        <v xml:space="preserve"> </v>
      </c>
      <c r="AU151" s="668">
        <v>13</v>
      </c>
      <c r="AV151" s="669">
        <v>13</v>
      </c>
      <c r="AW151" s="17"/>
    </row>
    <row r="152" spans="4:49" ht="20.100000000000001" customHeight="1" x14ac:dyDescent="0.2">
      <c r="K152" s="781" t="str">
        <f>IF(AA152=" "," ",".")</f>
        <v>.</v>
      </c>
      <c r="Q152" s="17"/>
      <c r="R152" s="8" t="s">
        <v>56</v>
      </c>
      <c r="S152" s="17"/>
      <c r="T152" s="17"/>
      <c r="U152" s="17"/>
      <c r="V152" s="17"/>
      <c r="W152" s="768" t="s">
        <v>56</v>
      </c>
      <c r="X152" s="17"/>
      <c r="Y152" s="17"/>
      <c r="Z152" s="17"/>
      <c r="AA152" s="319" t="str">
        <f>'Master List'!C47</f>
        <v>D. SMITH</v>
      </c>
      <c r="AB152" s="671" t="str">
        <f>IF(OR(AB151&gt;" ",INDEX($R$108:$R$150,AC151)=0)," ",INDEX($R$108:$R$150,AC151))</f>
        <v>010/CFS</v>
      </c>
      <c r="AC152" s="672"/>
      <c r="AD152" s="673"/>
      <c r="AE152" s="671" t="str">
        <f>IF(OR(AE151&gt;" ",INDEX($R$108:$R$150,AF151)=0)," ",INDEX($R$108:$R$150,AF151))</f>
        <v xml:space="preserve"> </v>
      </c>
      <c r="AF152" s="672"/>
      <c r="AG152" s="673"/>
      <c r="AH152" s="671" t="str">
        <f>IF(OR(AH151&gt;" ",INDEX($R$108:$R$150,AI151)=0)," ",INDEX($R$108:$R$150,AI151))</f>
        <v>010/CFS</v>
      </c>
      <c r="AI152" s="672"/>
      <c r="AJ152" s="673"/>
      <c r="AK152" s="671" t="str">
        <f>IF(OR(AK151&gt;" ",INDEX($R$108:$R$150,AL151)=0)," ",INDEX($R$108:$R$150,AL151))</f>
        <v>010/CFS</v>
      </c>
      <c r="AL152" s="672"/>
      <c r="AM152" s="673"/>
      <c r="AN152" s="671" t="str">
        <f>IF(OR(AN151&gt;" ",INDEX($R$108:$R$150,AO151)=0)," ",INDEX($R$108:$R$150,AO151))</f>
        <v>010/CFS</v>
      </c>
      <c r="AO152" s="672"/>
      <c r="AP152" s="673"/>
      <c r="AQ152" s="671" t="str">
        <f>IF(OR(AQ151&gt;" ",INDEX($R$108:$R$150,AR151)=0)," ",INDEX($R$108:$R$150,AR151))</f>
        <v>010/CFS</v>
      </c>
      <c r="AR152" s="671"/>
      <c r="AS152" s="671"/>
      <c r="AT152" s="671" t="str">
        <f>IF(OR(AT151&gt;" ",INDEX($R$108:$R$150,AU151)=0)," ",INDEX($R$108:$R$150,AU151))</f>
        <v>010/CFS</v>
      </c>
      <c r="AU152" s="671"/>
      <c r="AV152" s="674"/>
      <c r="AW152" s="17"/>
    </row>
    <row r="153" spans="4:49" ht="20.100000000000001" customHeight="1" x14ac:dyDescent="0.2">
      <c r="K153" s="781" t="str">
        <f>IF(AA152=" "," ",".")</f>
        <v>.</v>
      </c>
      <c r="Q153" s="17"/>
      <c r="R153" s="8" t="s">
        <v>56</v>
      </c>
      <c r="S153" s="17"/>
      <c r="T153" s="17"/>
      <c r="U153" s="17"/>
      <c r="V153" s="17"/>
      <c r="W153" s="768" t="s">
        <v>56</v>
      </c>
      <c r="X153" s="17"/>
      <c r="Y153" s="17"/>
      <c r="Z153" s="17"/>
      <c r="AA153" s="349"/>
      <c r="AB153" s="675" t="str">
        <f>IF(AB152=" ","",INDEX($W$108:$W$151,AD151))</f>
        <v>TROUBLE CALLS</v>
      </c>
      <c r="AC153" s="676"/>
      <c r="AD153" s="677"/>
      <c r="AE153" s="678" t="str">
        <f>IF(AE152=" ","",INDEX($W$108:$W$151,AG151))</f>
        <v/>
      </c>
      <c r="AF153" s="676"/>
      <c r="AG153" s="677"/>
      <c r="AH153" s="678" t="str">
        <f>IF(AH152=" ","",INDEX($W$108:$W$151,AJ151))</f>
        <v>TROUBLE CALLS</v>
      </c>
      <c r="AI153" s="676"/>
      <c r="AJ153" s="677"/>
      <c r="AK153" s="678" t="str">
        <f>IF(AK152=" ","",INDEX($W$108:$W$151,AM151))</f>
        <v>TROUBLE CALLS</v>
      </c>
      <c r="AL153" s="676"/>
      <c r="AM153" s="677"/>
      <c r="AN153" s="678" t="str">
        <f>IF(AN152=" ","",INDEX($W$108:$W$151,AP151))</f>
        <v>TROUBLE CALLS</v>
      </c>
      <c r="AO153" s="676"/>
      <c r="AP153" s="677"/>
      <c r="AQ153" s="671" t="str">
        <f>IF(AQ152=" ","",INDEX($W$108:$W$151,AS151))</f>
        <v>TROUBLE CALLS</v>
      </c>
      <c r="AR153" s="671"/>
      <c r="AS153" s="671"/>
      <c r="AT153" s="671" t="str">
        <f>IF(AT152=" ","",INDEX($W$108:$W$151,AV151))</f>
        <v>TROUBLE CALLS</v>
      </c>
      <c r="AU153" s="671"/>
      <c r="AV153" s="679"/>
      <c r="AW153" s="17"/>
    </row>
    <row r="154" spans="4:49" ht="20.100000000000001" customHeight="1" x14ac:dyDescent="0.2">
      <c r="K154" s="781" t="str">
        <f>IF(AA155=" "," ",".")</f>
        <v>.</v>
      </c>
      <c r="Q154" s="17"/>
      <c r="R154" s="8" t="s">
        <v>56</v>
      </c>
      <c r="S154" s="17"/>
      <c r="T154" s="17"/>
      <c r="U154" s="17"/>
      <c r="V154" s="17"/>
      <c r="W154" s="768" t="s">
        <v>56</v>
      </c>
      <c r="X154" s="17"/>
      <c r="Y154" s="17"/>
      <c r="Z154" s="17"/>
      <c r="AA154" s="350"/>
      <c r="AB154" s="667" t="str">
        <f>B67</f>
        <v xml:space="preserve"> </v>
      </c>
      <c r="AC154" s="668">
        <v>29</v>
      </c>
      <c r="AD154" s="669">
        <v>22</v>
      </c>
      <c r="AE154" s="667" t="str">
        <f>C67</f>
        <v xml:space="preserve"> </v>
      </c>
      <c r="AF154" s="668">
        <v>29</v>
      </c>
      <c r="AG154" s="669">
        <v>22</v>
      </c>
      <c r="AH154" s="667" t="str">
        <f>D67</f>
        <v>NS</v>
      </c>
      <c r="AI154" s="668">
        <v>2</v>
      </c>
      <c r="AJ154" s="669">
        <v>22</v>
      </c>
      <c r="AK154" s="667" t="str">
        <f>E67</f>
        <v xml:space="preserve"> </v>
      </c>
      <c r="AL154" s="668">
        <v>29</v>
      </c>
      <c r="AM154" s="669">
        <v>22</v>
      </c>
      <c r="AN154" s="667" t="str">
        <f>F67</f>
        <v xml:space="preserve"> </v>
      </c>
      <c r="AO154" s="668">
        <v>29</v>
      </c>
      <c r="AP154" s="669">
        <v>22</v>
      </c>
      <c r="AQ154" s="667" t="str">
        <f>G67</f>
        <v xml:space="preserve"> </v>
      </c>
      <c r="AR154" s="668">
        <v>2</v>
      </c>
      <c r="AS154" s="669">
        <v>22</v>
      </c>
      <c r="AT154" s="667" t="str">
        <f>H67</f>
        <v xml:space="preserve"> </v>
      </c>
      <c r="AU154" s="668">
        <v>24</v>
      </c>
      <c r="AV154" s="669">
        <v>22</v>
      </c>
      <c r="AW154" s="17"/>
    </row>
    <row r="155" spans="4:49" ht="20.100000000000001" customHeight="1" x14ac:dyDescent="0.2">
      <c r="K155" s="781" t="str">
        <f>IF(AA155=" "," ",".")</f>
        <v>.</v>
      </c>
      <c r="Q155" s="17"/>
      <c r="R155" s="8" t="s">
        <v>56</v>
      </c>
      <c r="S155" s="17"/>
      <c r="T155" s="17"/>
      <c r="U155" s="17"/>
      <c r="V155" s="17"/>
      <c r="W155" s="768" t="s">
        <v>56</v>
      </c>
      <c r="X155" s="17"/>
      <c r="Y155" s="17"/>
      <c r="Z155" s="17"/>
      <c r="AA155" s="319" t="str">
        <f>'Master List'!C48</f>
        <v>T. SZYMCZAK</v>
      </c>
      <c r="AB155" s="671" t="str">
        <f>IF(OR(AB154&gt;" ",INDEX($R$108:$R$150,AC154)=0)," ",INDEX($R$108:$R$150,AC154))</f>
        <v>APPS 2</v>
      </c>
      <c r="AC155" s="672"/>
      <c r="AD155" s="673"/>
      <c r="AE155" s="671" t="str">
        <f>IF(OR(AE154&gt;" ",INDEX($R$108:$R$150,AF154)=0)," ",INDEX($R$108:$R$150,AF154))</f>
        <v>APPS 2</v>
      </c>
      <c r="AF155" s="672"/>
      <c r="AG155" s="673"/>
      <c r="AH155" s="671" t="str">
        <f>IF(OR(AH154&gt;" ",INDEX($R$108:$R$150,AI154)=0)," ",INDEX($R$108:$R$150,AI154))</f>
        <v xml:space="preserve"> </v>
      </c>
      <c r="AI155" s="672"/>
      <c r="AJ155" s="673"/>
      <c r="AK155" s="671" t="str">
        <f>IF(OR(AK154&gt;" ",INDEX($R$108:$R$150,AL154)=0)," ",INDEX($R$108:$R$150,AL154))</f>
        <v>APPS 2</v>
      </c>
      <c r="AL155" s="672"/>
      <c r="AM155" s="673"/>
      <c r="AN155" s="671" t="str">
        <f>IF(OR(AN154&gt;" ",INDEX($R$108:$R$150,AO154)=0)," ",INDEX($R$108:$R$150,AO154))</f>
        <v>APPS 2</v>
      </c>
      <c r="AO155" s="672"/>
      <c r="AP155" s="673"/>
      <c r="AQ155" s="671" t="str">
        <f>IF(OR(AQ154&gt;" ",INDEX($R$108:$R$150,AR154)=0)," ",INDEX($R$108:$R$150,AR154))</f>
        <v>APPS 1</v>
      </c>
      <c r="AR155" s="672"/>
      <c r="AS155" s="673"/>
      <c r="AT155" s="671" t="str">
        <f>IF(OR(AT154&gt;" ",INDEX($R$108:$R$150,AU154)=0)," ",INDEX($R$108:$R$150,AU154))</f>
        <v>SPSS</v>
      </c>
      <c r="AU155" s="672"/>
      <c r="AV155" s="673"/>
      <c r="AW155" s="17"/>
    </row>
    <row r="156" spans="4:49" ht="20.100000000000001" customHeight="1" x14ac:dyDescent="0.2">
      <c r="K156" s="781" t="str">
        <f>IF(AA155=" "," ",".")</f>
        <v>.</v>
      </c>
      <c r="Q156" s="17"/>
      <c r="R156" s="8" t="s">
        <v>56</v>
      </c>
      <c r="S156" s="17"/>
      <c r="T156" s="17"/>
      <c r="U156" s="17"/>
      <c r="V156" s="17"/>
      <c r="W156" s="768" t="s">
        <v>56</v>
      </c>
      <c r="X156" s="17"/>
      <c r="Y156" s="17"/>
      <c r="Z156" s="17"/>
      <c r="AA156" s="349"/>
      <c r="AB156" s="678" t="str">
        <f>IF(AB155=" ","",INDEX($W$108:$W$151,AD154))</f>
        <v xml:space="preserve">     UniBuEur</v>
      </c>
      <c r="AC156" s="676"/>
      <c r="AD156" s="677"/>
      <c r="AE156" s="678" t="str">
        <f>IF(AE155=" ","",INDEX($W$108:$W$151,AG154))</f>
        <v xml:space="preserve">     UniBuEur</v>
      </c>
      <c r="AF156" s="676"/>
      <c r="AG156" s="677"/>
      <c r="AH156" s="678" t="str">
        <f>IF(AH155=" ","",INDEX($W$108:$W$151,AJ154))</f>
        <v/>
      </c>
      <c r="AI156" s="676"/>
      <c r="AJ156" s="677"/>
      <c r="AK156" s="678" t="str">
        <f>IF(AK155=" ","",INDEX($W$108:$W$151,AM154))</f>
        <v xml:space="preserve">     UniBuEur</v>
      </c>
      <c r="AL156" s="676"/>
      <c r="AM156" s="677"/>
      <c r="AN156" s="678" t="str">
        <f>IF(AN155=" ","",INDEX($W$108:$W$151,AP154))</f>
        <v xml:space="preserve">     UniBuEur</v>
      </c>
      <c r="AO156" s="676"/>
      <c r="AP156" s="677"/>
      <c r="AQ156" s="686" t="str">
        <f>IF(AQ155=" ","",INDEX($W$108:$W$151,AS154))</f>
        <v xml:space="preserve">     UniBuEur</v>
      </c>
      <c r="AR156" s="676"/>
      <c r="AS156" s="677"/>
      <c r="AT156" s="686" t="str">
        <f>IF(AT155=" ","",INDEX($W$108:$W$151,AV154))</f>
        <v xml:space="preserve">     UniBuEur</v>
      </c>
      <c r="AU156" s="676"/>
      <c r="AV156" s="677"/>
      <c r="AW156" s="17"/>
    </row>
    <row r="157" spans="4:49" ht="0.75" customHeight="1" x14ac:dyDescent="0.25">
      <c r="K157" s="781" t="str">
        <f>IF(AA158=" "," ",".")</f>
        <v>.</v>
      </c>
      <c r="Q157" s="17"/>
      <c r="R157" s="8" t="s">
        <v>56</v>
      </c>
      <c r="S157" s="17"/>
      <c r="T157" s="17"/>
      <c r="U157" s="17"/>
      <c r="V157" s="17"/>
      <c r="W157" s="768" t="s">
        <v>56</v>
      </c>
      <c r="X157" s="17"/>
      <c r="Y157" s="17"/>
      <c r="Z157" s="383"/>
      <c r="AA157" s="350"/>
      <c r="AB157" s="318" t="str">
        <f>B71</f>
        <v xml:space="preserve"> </v>
      </c>
      <c r="AC157" s="336">
        <v>13</v>
      </c>
      <c r="AD157" s="337">
        <v>13</v>
      </c>
      <c r="AE157" s="318" t="str">
        <f>C71</f>
        <v xml:space="preserve"> </v>
      </c>
      <c r="AF157" s="336">
        <v>14</v>
      </c>
      <c r="AG157" s="337">
        <v>13</v>
      </c>
      <c r="AH157" s="318" t="str">
        <f>D71</f>
        <v xml:space="preserve"> </v>
      </c>
      <c r="AI157" s="336">
        <v>13</v>
      </c>
      <c r="AJ157" s="337">
        <v>13</v>
      </c>
      <c r="AK157" s="318" t="str">
        <f>E71</f>
        <v xml:space="preserve"> </v>
      </c>
      <c r="AL157" s="336">
        <v>13</v>
      </c>
      <c r="AM157" s="337">
        <v>13</v>
      </c>
      <c r="AN157" s="318" t="str">
        <f>F71</f>
        <v xml:space="preserve"> </v>
      </c>
      <c r="AO157" s="336">
        <v>13</v>
      </c>
      <c r="AP157" s="337">
        <v>13</v>
      </c>
      <c r="AQ157" s="388" t="str">
        <f>G71</f>
        <v xml:space="preserve"> </v>
      </c>
      <c r="AR157" s="389">
        <v>13</v>
      </c>
      <c r="AS157" s="390">
        <v>13</v>
      </c>
      <c r="AT157" s="388" t="str">
        <f>H71</f>
        <v xml:space="preserve"> </v>
      </c>
      <c r="AU157" s="389">
        <v>13</v>
      </c>
      <c r="AV157" s="390">
        <v>13</v>
      </c>
      <c r="AW157" s="17"/>
    </row>
    <row r="158" spans="4:49" ht="19.5" hidden="1" customHeight="1" x14ac:dyDescent="0.25">
      <c r="K158" s="781" t="str">
        <f>IF(AA158=" "," ",".")</f>
        <v>.</v>
      </c>
      <c r="Q158" s="17"/>
      <c r="R158" s="8" t="s">
        <v>56</v>
      </c>
      <c r="S158" s="17"/>
      <c r="T158" s="17"/>
      <c r="U158" s="17"/>
      <c r="V158" s="17"/>
      <c r="W158" s="768" t="s">
        <v>56</v>
      </c>
      <c r="X158" s="17"/>
      <c r="Y158" s="17"/>
      <c r="Z158" s="383"/>
      <c r="AA158" s="319">
        <f>'Master List'!C49</f>
        <v>0</v>
      </c>
      <c r="AB158" s="340" t="str">
        <f>IF(OR(AB157&gt;" ",INDEX($R$108:$R$150,AC157)=0)," ",INDEX($R$108:$R$150,AC157))</f>
        <v>010/CFS</v>
      </c>
      <c r="AC158" s="341"/>
      <c r="AD158" s="342"/>
      <c r="AE158" s="506" t="str">
        <f>IF(OR(AE157&gt;" ",INDEX($R$108:$R$150,AF157)=0)," ",INDEX($R$108:$R$150,AF157))</f>
        <v>HSTS/Tray sys/strapper</v>
      </c>
      <c r="AF158" s="341"/>
      <c r="AG158" s="342"/>
      <c r="AH158" s="340" t="str">
        <f>IF(OR(AH157&gt;" ",INDEX($R$108:$R$150,AI157)=0)," ",INDEX($R$108:$R$150,AI157))</f>
        <v>010/CFS</v>
      </c>
      <c r="AI158" s="341"/>
      <c r="AJ158" s="342"/>
      <c r="AK158" s="340" t="str">
        <f>IF(OR(AK157&gt;" ",INDEX($R$108:$R$150,AL157)=0)," ",INDEX($R$108:$R$150,AL157))</f>
        <v>010/CFS</v>
      </c>
      <c r="AL158" s="341"/>
      <c r="AM158" s="342"/>
      <c r="AN158" s="340" t="str">
        <f>IF(OR(AN157&gt;" ",INDEX($R$108:$R$150,AO157)=0)," ",INDEX($R$108:$R$150,AO157))</f>
        <v>010/CFS</v>
      </c>
      <c r="AO158" s="341"/>
      <c r="AP158" s="342"/>
      <c r="AQ158" s="506" t="str">
        <f>IF(OR(AQ157&gt;" ",INDEX($R$108:$R$150,AR157)=0)," ",INDEX($R$108:$R$150,AR157))</f>
        <v>010/CFS</v>
      </c>
      <c r="AR158" s="341"/>
      <c r="AS158" s="342"/>
      <c r="AT158" s="506" t="str">
        <f>IF(OR(AT157&gt;" ",INDEX($R$108:$R$150,AU157)=0)," ",INDEX($R$108:$R$150,AU157))</f>
        <v>010/CFS</v>
      </c>
      <c r="AU158" s="341"/>
      <c r="AV158" s="342"/>
      <c r="AW158" s="17"/>
    </row>
    <row r="159" spans="4:49" ht="19.5" hidden="1" customHeight="1" x14ac:dyDescent="0.2">
      <c r="K159" s="781" t="str">
        <f>IF(AA158=" "," ",".")</f>
        <v>.</v>
      </c>
      <c r="Q159" s="17"/>
      <c r="R159" s="8" t="s">
        <v>56</v>
      </c>
      <c r="S159" s="17"/>
      <c r="T159" s="17"/>
      <c r="U159" s="17"/>
      <c r="V159" s="17"/>
      <c r="W159" s="768" t="s">
        <v>56</v>
      </c>
      <c r="X159" s="17"/>
      <c r="Y159" s="17"/>
      <c r="AA159" s="349"/>
      <c r="AB159" s="506" t="str">
        <f>IF(AB158=" ","",INDEX($W$108:$W$135,AD157))</f>
        <v>TROUBLE CALLS</v>
      </c>
      <c r="AC159" s="343"/>
      <c r="AD159" s="344"/>
      <c r="AE159" s="340" t="str">
        <f>IF(AE158=" ","",INDEX($W$108:$W$135,AG157))</f>
        <v>TROUBLE CALLS</v>
      </c>
      <c r="AF159" s="343"/>
      <c r="AG159" s="344"/>
      <c r="AH159" s="340" t="str">
        <f>IF(AH158=" ","",INDEX($W$108:$W$135,AJ157))</f>
        <v>TROUBLE CALLS</v>
      </c>
      <c r="AI159" s="343"/>
      <c r="AJ159" s="344"/>
      <c r="AK159" s="506" t="str">
        <f>IF(AK158=" ","",INDEX($W$108:$W$135,AM157))</f>
        <v>TROUBLE CALLS</v>
      </c>
      <c r="AL159" s="343"/>
      <c r="AM159" s="344"/>
      <c r="AN159" s="506" t="str">
        <f>IF(AN158=" ","",INDEX($W$108:$W$135,AP157))</f>
        <v>TROUBLE CALLS</v>
      </c>
      <c r="AO159" s="343"/>
      <c r="AP159" s="344"/>
      <c r="AQ159" s="506" t="str">
        <f>IF(AQ158=" ","",INDEX($W$108:$W$135,AS157))</f>
        <v>TROUBLE CALLS</v>
      </c>
      <c r="AR159" s="343"/>
      <c r="AS159" s="344"/>
      <c r="AT159" s="506" t="str">
        <f>IF(AT158=" ","",INDEX($W$108:$W$135,AV157))</f>
        <v>TROUBLE CALLS</v>
      </c>
      <c r="AU159" s="343"/>
      <c r="AV159" s="344"/>
    </row>
    <row r="160" spans="4:49" ht="19.5" hidden="1" customHeight="1" x14ac:dyDescent="0.2">
      <c r="K160" s="781" t="str">
        <f>IF(AA161=" "," ",".")</f>
        <v>.</v>
      </c>
      <c r="Q160" s="17"/>
      <c r="R160" s="8" t="s">
        <v>56</v>
      </c>
      <c r="T160" s="17"/>
      <c r="U160" s="17"/>
      <c r="V160" s="17"/>
      <c r="W160" s="768" t="s">
        <v>56</v>
      </c>
      <c r="X160" s="17"/>
      <c r="Y160" s="17"/>
      <c r="Z160" s="705"/>
      <c r="AA160" s="350"/>
      <c r="AB160" s="453" t="str">
        <f>B75</f>
        <v xml:space="preserve"> </v>
      </c>
      <c r="AC160" s="443">
        <v>29</v>
      </c>
      <c r="AD160" s="454">
        <v>22</v>
      </c>
      <c r="AE160" s="453" t="str">
        <f>C75</f>
        <v xml:space="preserve"> </v>
      </c>
      <c r="AF160" s="443">
        <v>2</v>
      </c>
      <c r="AG160" s="454">
        <v>22</v>
      </c>
      <c r="AH160" s="453" t="str">
        <f>D75</f>
        <v xml:space="preserve"> </v>
      </c>
      <c r="AI160" s="443">
        <v>1</v>
      </c>
      <c r="AJ160" s="454">
        <v>22</v>
      </c>
      <c r="AK160" s="453" t="str">
        <f>E75</f>
        <v xml:space="preserve"> </v>
      </c>
      <c r="AL160" s="443">
        <v>29</v>
      </c>
      <c r="AM160" s="454">
        <v>22</v>
      </c>
      <c r="AN160" s="453" t="str">
        <f>F75</f>
        <v xml:space="preserve"> </v>
      </c>
      <c r="AO160" s="443">
        <v>29</v>
      </c>
      <c r="AP160" s="454">
        <v>22</v>
      </c>
      <c r="AQ160" s="453" t="str">
        <f>G75</f>
        <v xml:space="preserve"> </v>
      </c>
      <c r="AR160" s="443">
        <v>29</v>
      </c>
      <c r="AS160" s="454">
        <v>22</v>
      </c>
      <c r="AT160" s="453" t="str">
        <f>H75</f>
        <v xml:space="preserve"> </v>
      </c>
      <c r="AU160" s="443">
        <v>29</v>
      </c>
      <c r="AV160" s="454">
        <v>22</v>
      </c>
    </row>
    <row r="161" spans="11:48" ht="19.5" hidden="1" customHeight="1" x14ac:dyDescent="0.2">
      <c r="K161" s="781" t="str">
        <f>IF(AA161=" "," ",".")</f>
        <v>.</v>
      </c>
      <c r="Q161" s="17"/>
      <c r="R161" s="8" t="s">
        <v>56</v>
      </c>
      <c r="S161" s="167"/>
      <c r="T161" s="17"/>
      <c r="U161" s="17"/>
      <c r="V161" s="17"/>
      <c r="W161" s="768" t="s">
        <v>56</v>
      </c>
      <c r="X161" s="17"/>
      <c r="Y161" s="17"/>
      <c r="Z161" s="705"/>
      <c r="AA161" s="319">
        <f>'Master List'!C50</f>
        <v>0</v>
      </c>
      <c r="AB161" s="433" t="str">
        <f>IF(OR(AB160&gt;" ",INDEX($R$108:$R$150,AC160)="0")," ",INDEX($R$108:$R$150,AC160))</f>
        <v>APPS 2</v>
      </c>
      <c r="AC161" s="434"/>
      <c r="AD161" s="435"/>
      <c r="AE161" s="433" t="str">
        <f>IF(OR(AE160&gt;" ",INDEX($R$108:$R$150,AF160)=0)," ",INDEX($R$108:$R$150,AF160))</f>
        <v>APPS 1</v>
      </c>
      <c r="AF161" s="434"/>
      <c r="AG161" s="435"/>
      <c r="AH161" s="433" t="str">
        <f>IF(OR(AH160&gt;" ",INDEX($R$108:$R$150,AI160)=0)," ",INDEX($R$108:$R$150,AI160))</f>
        <v>AFSM</v>
      </c>
      <c r="AI161" s="434"/>
      <c r="AJ161" s="435"/>
      <c r="AK161" s="433" t="str">
        <f>IF(OR(AK160&gt;" ",INDEX($R$108:$R$150,AL160)=0)," ",INDEX($R$108:$R$150,AL160))</f>
        <v>APPS 2</v>
      </c>
      <c r="AL161" s="434"/>
      <c r="AM161" s="435"/>
      <c r="AN161" s="433" t="str">
        <f>IF(OR(AN160&gt;" ",INDEX($R$108:$R$150,AO160)=0)," ",INDEX($R$108:$R$150,AO160))</f>
        <v>APPS 2</v>
      </c>
      <c r="AO161" s="434"/>
      <c r="AP161" s="435"/>
      <c r="AQ161" s="433" t="str">
        <f>IF(OR(AQ160&gt;" ",INDEX($R$108:$R$150,AR160)=0)," ",INDEX($R$108:$R$150,AR160))</f>
        <v>APPS 2</v>
      </c>
      <c r="AR161" s="434"/>
      <c r="AS161" s="435"/>
      <c r="AT161" s="433" t="str">
        <f>IF(OR(AT160&gt;" ",INDEX($R$108:$R$150,AU160)=0)," ",INDEX($R$108:$R$150,AU160))</f>
        <v>APPS 2</v>
      </c>
      <c r="AU161" s="434"/>
      <c r="AV161" s="435"/>
    </row>
    <row r="162" spans="11:48" ht="19.5" hidden="1" customHeight="1" x14ac:dyDescent="0.2">
      <c r="K162" s="781" t="str">
        <f>IF(AA161=" "," ",".")</f>
        <v>.</v>
      </c>
      <c r="Q162" s="17"/>
      <c r="R162" s="8" t="s">
        <v>56</v>
      </c>
      <c r="S162" s="167"/>
      <c r="T162" s="17"/>
      <c r="U162" s="17"/>
      <c r="V162" s="17"/>
      <c r="W162" s="768" t="s">
        <v>56</v>
      </c>
      <c r="X162" s="17"/>
      <c r="Y162" s="17"/>
      <c r="Z162" s="17"/>
      <c r="AA162" s="349"/>
      <c r="AB162" s="436" t="str">
        <f>IF(AB161=" ","",INDEX($W$108:$W$151,AD160))</f>
        <v xml:space="preserve">     UniBuEur</v>
      </c>
      <c r="AC162" s="437"/>
      <c r="AD162" s="438"/>
      <c r="AE162" s="436" t="str">
        <f>IF(AE161=" ","",INDEX($W$108:$W$151,AG160))</f>
        <v xml:space="preserve">     UniBuEur</v>
      </c>
      <c r="AF162" s="437"/>
      <c r="AG162" s="438"/>
      <c r="AH162" s="436" t="str">
        <f>IF(AH161=" ","",INDEX($W$108:$W$151,AJ160))</f>
        <v xml:space="preserve">     UniBuEur</v>
      </c>
      <c r="AI162" s="437"/>
      <c r="AJ162" s="438"/>
      <c r="AK162" s="436" t="str">
        <f>IF(AK161=" ","",INDEX($W$108:$W$151,AM160))</f>
        <v xml:space="preserve">     UniBuEur</v>
      </c>
      <c r="AL162" s="437"/>
      <c r="AM162" s="438"/>
      <c r="AN162" s="436" t="str">
        <f>IF(AN161=" ","",INDEX($W$108:$W$151,AP160))</f>
        <v xml:space="preserve">     UniBuEur</v>
      </c>
      <c r="AO162" s="437"/>
      <c r="AP162" s="438"/>
      <c r="AQ162" s="436" t="str">
        <f>IF(AQ161=" ","",INDEX($W$108:$W$151,AS160))</f>
        <v xml:space="preserve">     UniBuEur</v>
      </c>
      <c r="AR162" s="437"/>
      <c r="AS162" s="438"/>
      <c r="AT162" s="436" t="str">
        <f>IF(AT161=" ","",INDEX($W$108:$W$151,AV160))</f>
        <v xml:space="preserve">     UniBuEur</v>
      </c>
      <c r="AU162" s="437"/>
      <c r="AV162" s="438"/>
    </row>
    <row r="163" spans="11:48" ht="1.5" customHeight="1" x14ac:dyDescent="0.2">
      <c r="K163" s="781" t="str">
        <f>IF(AA164=" "," ",".")</f>
        <v>.</v>
      </c>
      <c r="Q163" s="17"/>
      <c r="R163" s="8" t="s">
        <v>56</v>
      </c>
      <c r="S163" s="167"/>
      <c r="T163" s="17"/>
      <c r="U163" s="17"/>
      <c r="V163" s="17"/>
      <c r="W163" s="768" t="s">
        <v>56</v>
      </c>
      <c r="X163" s="17"/>
      <c r="Y163" s="17"/>
      <c r="Z163" s="17"/>
      <c r="AA163" s="350"/>
      <c r="AB163" s="453" t="str">
        <f>B79</f>
        <v xml:space="preserve"> </v>
      </c>
      <c r="AC163" s="443">
        <v>13</v>
      </c>
      <c r="AD163" s="454">
        <v>13</v>
      </c>
      <c r="AE163" s="453" t="str">
        <f>C79</f>
        <v xml:space="preserve"> </v>
      </c>
      <c r="AF163" s="443">
        <v>8</v>
      </c>
      <c r="AG163" s="454">
        <v>13</v>
      </c>
      <c r="AH163" s="453" t="str">
        <f>D79</f>
        <v xml:space="preserve"> </v>
      </c>
      <c r="AI163" s="443">
        <v>8</v>
      </c>
      <c r="AJ163" s="454">
        <v>13</v>
      </c>
      <c r="AK163" s="453" t="str">
        <f>E79</f>
        <v xml:space="preserve"> </v>
      </c>
      <c r="AL163" s="443">
        <v>13</v>
      </c>
      <c r="AM163" s="454">
        <v>13</v>
      </c>
      <c r="AN163" s="453" t="str">
        <f>F79</f>
        <v xml:space="preserve"> </v>
      </c>
      <c r="AO163" s="443">
        <v>13</v>
      </c>
      <c r="AP163" s="454">
        <v>13</v>
      </c>
      <c r="AQ163" s="453" t="str">
        <f>G79</f>
        <v xml:space="preserve"> </v>
      </c>
      <c r="AR163" s="443">
        <v>13</v>
      </c>
      <c r="AS163" s="454">
        <v>13</v>
      </c>
      <c r="AT163" s="453" t="str">
        <f>H79</f>
        <v xml:space="preserve"> </v>
      </c>
      <c r="AU163" s="443">
        <v>13</v>
      </c>
      <c r="AV163" s="454">
        <v>13</v>
      </c>
    </row>
    <row r="164" spans="11:48" ht="19.5" hidden="1" customHeight="1" x14ac:dyDescent="0.2">
      <c r="K164" s="781" t="str">
        <f>IF(AA164=" "," ",".")</f>
        <v>.</v>
      </c>
      <c r="Q164" s="17"/>
      <c r="R164" s="8" t="s">
        <v>56</v>
      </c>
      <c r="S164" s="167"/>
      <c r="T164" s="17"/>
      <c r="U164" s="17"/>
      <c r="V164" s="17"/>
      <c r="W164" s="768" t="s">
        <v>56</v>
      </c>
      <c r="X164" s="17"/>
      <c r="Y164" s="17"/>
      <c r="Z164" s="17"/>
      <c r="AA164" s="319">
        <f>'Master List'!C51</f>
        <v>0</v>
      </c>
      <c r="AB164" s="433" t="str">
        <f>IF(OR(AB163&gt;" ",INDEX($R$108:$R$150,AC163)="0")," ",INDEX($R$108:$R$150,AC163))</f>
        <v>010/CFS</v>
      </c>
      <c r="AC164" s="434"/>
      <c r="AD164" s="435"/>
      <c r="AE164" s="433" t="str">
        <f>IF(OR(AE163&gt;" ",INDEX($R$108:$R$150,AF163)=0)," ",INDEX($R$108:$R$150,AF163))</f>
        <v>AFSM/CFS</v>
      </c>
      <c r="AF164" s="434"/>
      <c r="AG164" s="435"/>
      <c r="AH164" s="433" t="str">
        <f>IF(OR(AH163&gt;" ",INDEX($R$108:$R$150,AI163)=0)," ",INDEX($R$108:$R$150,AI163))</f>
        <v>AFSM/CFS</v>
      </c>
      <c r="AI164" s="434"/>
      <c r="AJ164" s="435"/>
      <c r="AK164" s="433" t="str">
        <f>IF(OR(AK163&gt;" ",INDEX($R$108:$R$150,AL163)=0)," ",INDEX($R$108:$R$150,AL163))</f>
        <v>010/CFS</v>
      </c>
      <c r="AL164" s="434"/>
      <c r="AM164" s="435"/>
      <c r="AN164" s="433" t="str">
        <f>IF(OR(AN163&gt;" ",INDEX($R$108:$R$150,AO163)=0)," ",INDEX($R$108:$R$150,AO163))</f>
        <v>010/CFS</v>
      </c>
      <c r="AO164" s="434"/>
      <c r="AP164" s="435"/>
      <c r="AQ164" s="433" t="str">
        <f>IF(OR(AQ163&gt;" ",INDEX($R$108:$R$150,AR163)=0)," ",INDEX($R$108:$R$150,AR163))</f>
        <v>010/CFS</v>
      </c>
      <c r="AR164" s="434"/>
      <c r="AS164" s="435"/>
      <c r="AT164" s="433" t="str">
        <f>IF(OR(AT163&gt;" ",INDEX($R$108:$R$150,AU163)=0)," ",INDEX($R$108:$R$150,AU163))</f>
        <v>010/CFS</v>
      </c>
      <c r="AU164" s="434"/>
      <c r="AV164" s="435"/>
    </row>
    <row r="165" spans="11:48" ht="19.5" hidden="1" customHeight="1" x14ac:dyDescent="0.2">
      <c r="K165" s="781" t="str">
        <f>IF(AA164=" "," ",".")</f>
        <v>.</v>
      </c>
      <c r="Q165" s="17"/>
      <c r="R165" s="8" t="s">
        <v>56</v>
      </c>
      <c r="S165" s="167"/>
      <c r="T165" s="17"/>
      <c r="U165" s="17"/>
      <c r="V165" s="17"/>
      <c r="W165" s="768" t="s">
        <v>56</v>
      </c>
      <c r="X165" s="17"/>
      <c r="Y165" s="17"/>
      <c r="Z165" s="17"/>
      <c r="AA165" s="349"/>
      <c r="AB165" s="436" t="str">
        <f>IF(AB164=" ","",INDEX($W$108:$W$151,AD163))</f>
        <v>TROUBLE CALLS</v>
      </c>
      <c r="AC165" s="437"/>
      <c r="AD165" s="438"/>
      <c r="AE165" s="436" t="str">
        <f>IF(AE164=" ","",INDEX($W$108:$W$151,AG163))</f>
        <v>TROUBLE CALLS</v>
      </c>
      <c r="AF165" s="437"/>
      <c r="AG165" s="438"/>
      <c r="AH165" s="436" t="str">
        <f>IF(AH164=" ","",INDEX($W$108:$W$151,AJ163))</f>
        <v>TROUBLE CALLS</v>
      </c>
      <c r="AI165" s="437"/>
      <c r="AJ165" s="438"/>
      <c r="AK165" s="436" t="str">
        <f>IF(AK164=" ","",INDEX($W$108:$W$151,AM163))</f>
        <v>TROUBLE CALLS</v>
      </c>
      <c r="AL165" s="437"/>
      <c r="AM165" s="438"/>
      <c r="AN165" s="436" t="str">
        <f>IF(AN164=" ","",INDEX($W$108:$W$151,AP163))</f>
        <v>TROUBLE CALLS</v>
      </c>
      <c r="AO165" s="437"/>
      <c r="AP165" s="438"/>
      <c r="AQ165" s="436" t="str">
        <f>IF(AQ164=" ","",INDEX($W$108:$W$151,AS163))</f>
        <v>TROUBLE CALLS</v>
      </c>
      <c r="AR165" s="437"/>
      <c r="AS165" s="438"/>
      <c r="AT165" s="436" t="str">
        <f>IF(AT164=" ","",INDEX($W$108:$W$151,AV163))</f>
        <v>TROUBLE CALLS</v>
      </c>
      <c r="AU165" s="437"/>
      <c r="AV165" s="438"/>
    </row>
    <row r="166" spans="11:48" hidden="1" x14ac:dyDescent="0.2">
      <c r="K166" s="8" t="str">
        <f>IF(AA167=" "," ",".")</f>
        <v>.</v>
      </c>
      <c r="Q166" s="17"/>
      <c r="R166" s="8" t="s">
        <v>56</v>
      </c>
      <c r="T166" s="17"/>
      <c r="U166" s="17"/>
      <c r="V166" s="17"/>
      <c r="W166" s="768" t="s">
        <v>56</v>
      </c>
      <c r="X166" s="17"/>
      <c r="Y166" s="17"/>
      <c r="Z166" s="17"/>
      <c r="AA166" s="350"/>
      <c r="AB166" s="453" t="str">
        <f>B83</f>
        <v xml:space="preserve"> </v>
      </c>
      <c r="AC166" s="443">
        <v>31</v>
      </c>
      <c r="AD166" s="454">
        <v>13</v>
      </c>
      <c r="AE166" s="453" t="str">
        <f>C83</f>
        <v xml:space="preserve"> </v>
      </c>
      <c r="AF166" s="443">
        <v>31</v>
      </c>
      <c r="AG166" s="454">
        <v>13</v>
      </c>
      <c r="AH166" s="453" t="str">
        <f>D83</f>
        <v xml:space="preserve"> </v>
      </c>
      <c r="AI166" s="443">
        <v>31</v>
      </c>
      <c r="AJ166" s="454">
        <v>13</v>
      </c>
      <c r="AK166" s="453" t="str">
        <f>E83</f>
        <v xml:space="preserve"> </v>
      </c>
      <c r="AL166" s="443">
        <v>31</v>
      </c>
      <c r="AM166" s="454">
        <v>13</v>
      </c>
      <c r="AN166" s="453" t="str">
        <f>F83</f>
        <v xml:space="preserve"> </v>
      </c>
      <c r="AO166" s="443">
        <v>31</v>
      </c>
      <c r="AP166" s="454">
        <v>13</v>
      </c>
      <c r="AQ166" s="453" t="str">
        <f>G83</f>
        <v xml:space="preserve"> </v>
      </c>
      <c r="AR166" s="443">
        <v>31</v>
      </c>
      <c r="AS166" s="454">
        <v>13</v>
      </c>
      <c r="AT166" s="453" t="str">
        <f>H83</f>
        <v xml:space="preserve"> </v>
      </c>
      <c r="AU166" s="443">
        <v>31</v>
      </c>
      <c r="AV166" s="454">
        <v>13</v>
      </c>
    </row>
    <row r="167" spans="11:48" hidden="1" x14ac:dyDescent="0.2">
      <c r="K167" s="8" t="str">
        <f>IF(AA167=" "," ",".")</f>
        <v>.</v>
      </c>
      <c r="Q167" s="17"/>
      <c r="R167" s="8" t="s">
        <v>56</v>
      </c>
      <c r="S167" s="17"/>
      <c r="T167" s="17"/>
      <c r="U167" s="17"/>
      <c r="V167" s="17"/>
      <c r="W167" s="768" t="s">
        <v>56</v>
      </c>
      <c r="X167" s="17"/>
      <c r="Y167" s="17"/>
      <c r="Z167" s="17"/>
      <c r="AA167" s="319">
        <f>'Master List'!C52</f>
        <v>0</v>
      </c>
      <c r="AB167" s="433" t="str">
        <f>IF(OR(AB166&gt;" ",INDEX($R$108:$R$150,AC166)="0")," ",INDEX($R$108:$R$150,AC166))</f>
        <v xml:space="preserve"> </v>
      </c>
      <c r="AC167" s="434"/>
      <c r="AD167" s="435"/>
      <c r="AE167" s="433" t="str">
        <f>IF(OR(AE166&gt;" ",INDEX($R$108:$R$150,AF166)=0)," ",INDEX($R$108:$R$150,AF166))</f>
        <v xml:space="preserve"> </v>
      </c>
      <c r="AF167" s="434"/>
      <c r="AG167" s="435"/>
      <c r="AH167" s="433" t="str">
        <f>IF(OR(AH166&gt;" ",INDEX($R$108:$R$150,AI166)=0)," ",INDEX($R$108:$R$150,AI166))</f>
        <v xml:space="preserve"> </v>
      </c>
      <c r="AI167" s="434"/>
      <c r="AJ167" s="435"/>
      <c r="AK167" s="433" t="str">
        <f>IF(OR(AK166&gt;" ",INDEX($R$108:$R$150,AL166)=0)," ",INDEX($R$108:$R$150,AL166))</f>
        <v xml:space="preserve"> </v>
      </c>
      <c r="AL167" s="434"/>
      <c r="AM167" s="435"/>
      <c r="AN167" s="433" t="str">
        <f>IF(OR(AN166&gt;" ",INDEX($R$108:$R$150,AO166)=0)," ",INDEX($R$108:$R$150,AO166))</f>
        <v xml:space="preserve"> </v>
      </c>
      <c r="AO167" s="434"/>
      <c r="AP167" s="435"/>
      <c r="AQ167" s="433" t="str">
        <f>IF(OR(AQ166&gt;" ",INDEX($R$108:$R$150,AR166)=0)," ",INDEX($R$108:$R$150,AR166))</f>
        <v xml:space="preserve"> </v>
      </c>
      <c r="AR167" s="434"/>
      <c r="AS167" s="435"/>
      <c r="AT167" s="433" t="str">
        <f>IF(OR(AT166&gt;" ",INDEX($R$108:$R$150,AU166)=0)," ",INDEX($R$108:$R$150,AU166))</f>
        <v xml:space="preserve"> </v>
      </c>
      <c r="AU167" s="434"/>
      <c r="AV167" s="435"/>
    </row>
    <row r="168" spans="11:48" hidden="1" x14ac:dyDescent="0.2">
      <c r="K168" s="8" t="str">
        <f>IF(AA167=" "," ",".")</f>
        <v>.</v>
      </c>
      <c r="Q168" s="17"/>
      <c r="R168" s="8" t="s">
        <v>56</v>
      </c>
      <c r="S168" s="17"/>
      <c r="T168" s="17"/>
      <c r="U168" s="17"/>
      <c r="V168" s="17"/>
      <c r="W168" s="768" t="s">
        <v>56</v>
      </c>
      <c r="X168" s="17"/>
      <c r="Y168" s="17"/>
      <c r="Z168" s="17"/>
      <c r="AA168" s="349"/>
      <c r="AB168" s="436" t="str">
        <f>IF(AB167=" ","",INDEX($W$108:$W$151,AD166))</f>
        <v/>
      </c>
      <c r="AC168" s="437"/>
      <c r="AD168" s="438"/>
      <c r="AE168" s="436" t="str">
        <f>IF(AE167=" ","",INDEX($W$108:$W$151,AG166))</f>
        <v/>
      </c>
      <c r="AF168" s="437"/>
      <c r="AG168" s="438"/>
      <c r="AH168" s="436" t="str">
        <f>IF(AH167=" ","",INDEX($W$108:$W$151,AJ166))</f>
        <v/>
      </c>
      <c r="AI168" s="437"/>
      <c r="AJ168" s="438"/>
      <c r="AK168" s="436" t="str">
        <f>IF(AK167=" ","",INDEX($W$108:$W$151,AM166))</f>
        <v/>
      </c>
      <c r="AL168" s="437"/>
      <c r="AM168" s="438"/>
      <c r="AN168" s="436" t="str">
        <f>IF(AN167=" ","",INDEX($W$108:$W$151,AP166))</f>
        <v/>
      </c>
      <c r="AO168" s="437"/>
      <c r="AP168" s="438"/>
      <c r="AQ168" s="436" t="str">
        <f>IF(AQ167=" ","",INDEX($W$108:$W$151,AS166))</f>
        <v/>
      </c>
      <c r="AR168" s="437"/>
      <c r="AS168" s="438"/>
      <c r="AT168" s="436" t="str">
        <f>IF(AT167=" ","",INDEX($W$108:$W$151,AV166))</f>
        <v/>
      </c>
      <c r="AU168" s="437"/>
      <c r="AV168" s="438"/>
    </row>
    <row r="169" spans="11:48" hidden="1" x14ac:dyDescent="0.2">
      <c r="K169" s="8" t="str">
        <f>IF(AA170=" "," ",".")</f>
        <v>.</v>
      </c>
      <c r="Q169" s="17"/>
      <c r="R169" s="8" t="s">
        <v>56</v>
      </c>
      <c r="S169" s="17"/>
      <c r="T169" s="17"/>
      <c r="U169" s="17"/>
      <c r="V169" s="17"/>
      <c r="W169" s="768" t="s">
        <v>56</v>
      </c>
      <c r="X169" s="17"/>
      <c r="Y169" s="17"/>
      <c r="Z169" s="17"/>
      <c r="AA169" s="350"/>
      <c r="AB169" s="453" t="str">
        <f>B87</f>
        <v xml:space="preserve"> </v>
      </c>
      <c r="AC169" s="443">
        <v>31</v>
      </c>
      <c r="AD169" s="454">
        <v>13</v>
      </c>
      <c r="AE169" s="453" t="str">
        <f>C87</f>
        <v xml:space="preserve"> </v>
      </c>
      <c r="AF169" s="443">
        <v>31</v>
      </c>
      <c r="AG169" s="454">
        <v>13</v>
      </c>
      <c r="AH169" s="453" t="str">
        <f>D87</f>
        <v xml:space="preserve"> </v>
      </c>
      <c r="AI169" s="443">
        <v>31</v>
      </c>
      <c r="AJ169" s="454">
        <v>13</v>
      </c>
      <c r="AK169" s="453" t="str">
        <f>E87</f>
        <v xml:space="preserve"> </v>
      </c>
      <c r="AL169" s="443">
        <v>31</v>
      </c>
      <c r="AM169" s="454">
        <v>13</v>
      </c>
      <c r="AN169" s="453" t="str">
        <f>F87</f>
        <v xml:space="preserve"> </v>
      </c>
      <c r="AO169" s="443">
        <v>31</v>
      </c>
      <c r="AP169" s="454">
        <v>13</v>
      </c>
      <c r="AQ169" s="453" t="str">
        <f>G87</f>
        <v xml:space="preserve"> </v>
      </c>
      <c r="AR169" s="443">
        <v>31</v>
      </c>
      <c r="AS169" s="454">
        <v>13</v>
      </c>
      <c r="AT169" s="453" t="str">
        <f>H87</f>
        <v xml:space="preserve"> </v>
      </c>
      <c r="AU169" s="443">
        <v>31</v>
      </c>
      <c r="AV169" s="454">
        <v>13</v>
      </c>
    </row>
    <row r="170" spans="11:48" hidden="1" x14ac:dyDescent="0.2">
      <c r="K170" s="8" t="str">
        <f>IF(AA170=" "," ",".")</f>
        <v>.</v>
      </c>
      <c r="Q170" s="17"/>
      <c r="R170" s="8" t="s">
        <v>56</v>
      </c>
      <c r="S170" s="17"/>
      <c r="T170" s="17"/>
      <c r="U170" s="17"/>
      <c r="V170" s="17"/>
      <c r="W170" s="768" t="s">
        <v>56</v>
      </c>
      <c r="X170" s="17"/>
      <c r="Y170" s="17"/>
      <c r="Z170" s="17"/>
      <c r="AA170" s="319">
        <f>'Master List'!C53</f>
        <v>0</v>
      </c>
      <c r="AB170" s="433" t="str">
        <f>IF(OR(AB169&gt;" ",INDEX($R$108:$R$150,AC169)="0")," ",INDEX($R$108:$R$150,AC169))</f>
        <v xml:space="preserve"> </v>
      </c>
      <c r="AC170" s="434"/>
      <c r="AD170" s="435"/>
      <c r="AE170" s="433" t="str">
        <f>IF(OR(AE169&gt;" ",INDEX($R$108:$R$150,AF169)=0)," ",INDEX($R$108:$R$150,AF169))</f>
        <v xml:space="preserve"> </v>
      </c>
      <c r="AF170" s="434"/>
      <c r="AG170" s="435"/>
      <c r="AH170" s="433" t="str">
        <f>IF(OR(AH169&gt;" ",INDEX($R$108:$R$150,AI169)=0)," ",INDEX($R$108:$R$150,AI169))</f>
        <v xml:space="preserve"> </v>
      </c>
      <c r="AI170" s="434"/>
      <c r="AJ170" s="435"/>
      <c r="AK170" s="433" t="str">
        <f>IF(OR(AK169&gt;" ",INDEX($R$108:$R$150,AL169)=0)," ",INDEX($R$108:$R$150,AL169))</f>
        <v xml:space="preserve"> </v>
      </c>
      <c r="AL170" s="434"/>
      <c r="AM170" s="435"/>
      <c r="AN170" s="433" t="str">
        <f>IF(OR(AN169&gt;" ",INDEX($R$108:$R$150,AO169)=0)," ",INDEX($R$108:$R$150,AO169))</f>
        <v xml:space="preserve"> </v>
      </c>
      <c r="AO170" s="434"/>
      <c r="AP170" s="435"/>
      <c r="AQ170" s="433" t="str">
        <f>IF(OR(AQ169&gt;" ",INDEX($R$108:$R$150,AR169)=0)," ",INDEX($R$108:$R$150,AR169))</f>
        <v xml:space="preserve"> </v>
      </c>
      <c r="AR170" s="434"/>
      <c r="AS170" s="435"/>
      <c r="AT170" s="433" t="str">
        <f>IF(OR(AT169&gt;" ",INDEX($R$108:$R$150,AU169)=0)," ",INDEX($R$108:$R$150,AU169))</f>
        <v xml:space="preserve"> </v>
      </c>
      <c r="AU170" s="434"/>
      <c r="AV170" s="435"/>
    </row>
    <row r="171" spans="11:48" hidden="1" x14ac:dyDescent="0.2">
      <c r="K171" s="8" t="str">
        <f>IF(AA170=" "," ",".")</f>
        <v>.</v>
      </c>
      <c r="Q171" s="17"/>
      <c r="R171" s="8" t="s">
        <v>56</v>
      </c>
      <c r="S171" s="17"/>
      <c r="T171" s="17"/>
      <c r="U171" s="17"/>
      <c r="V171" s="17"/>
      <c r="W171" s="768" t="s">
        <v>56</v>
      </c>
      <c r="X171" s="17"/>
      <c r="Y171" s="17"/>
      <c r="Z171" s="17"/>
      <c r="AA171" s="349"/>
      <c r="AB171" s="436" t="str">
        <f>IF(AB170=" ","",INDEX($W$108:$W$151,AD169))</f>
        <v/>
      </c>
      <c r="AC171" s="437"/>
      <c r="AD171" s="438"/>
      <c r="AE171" s="436" t="str">
        <f>IF(AE170=" ","",INDEX($W$108:$W$151,AG169))</f>
        <v/>
      </c>
      <c r="AF171" s="437"/>
      <c r="AG171" s="438"/>
      <c r="AH171" s="436" t="str">
        <f>IF(AH170=" ","",INDEX($W$108:$W$151,AJ169))</f>
        <v/>
      </c>
      <c r="AI171" s="437"/>
      <c r="AJ171" s="438"/>
      <c r="AK171" s="436" t="str">
        <f>IF(AK170=" ","",INDEX($W$108:$W$151,AM169))</f>
        <v/>
      </c>
      <c r="AL171" s="437"/>
      <c r="AM171" s="438"/>
      <c r="AN171" s="436" t="str">
        <f>IF(AN170=" ","",INDEX($W$108:$W$151,AP169))</f>
        <v/>
      </c>
      <c r="AO171" s="437"/>
      <c r="AP171" s="438"/>
      <c r="AQ171" s="436" t="str">
        <f>IF(AQ170=" ","",INDEX($W$108:$W$151,AS169))</f>
        <v/>
      </c>
      <c r="AR171" s="437"/>
      <c r="AS171" s="438"/>
      <c r="AT171" s="436" t="str">
        <f>IF(AT170=" ","",INDEX($W$108:$W$151,AV169))</f>
        <v/>
      </c>
      <c r="AU171" s="437"/>
      <c r="AV171" s="438"/>
    </row>
    <row r="172" spans="11:48" hidden="1" x14ac:dyDescent="0.2">
      <c r="K172" s="8" t="str">
        <f>IF(AA173=" "," ",".")</f>
        <v xml:space="preserve"> </v>
      </c>
      <c r="Q172" s="17"/>
      <c r="R172" s="8" t="s">
        <v>56</v>
      </c>
      <c r="S172" s="17"/>
      <c r="T172" s="17"/>
      <c r="U172" s="17"/>
      <c r="V172" s="17"/>
      <c r="W172" s="768" t="s">
        <v>56</v>
      </c>
      <c r="X172" s="17"/>
      <c r="Y172" s="17"/>
      <c r="Z172" s="17"/>
      <c r="AA172" s="350"/>
      <c r="AB172" s="453" t="str">
        <f>B91</f>
        <v xml:space="preserve"> </v>
      </c>
      <c r="AC172" s="443">
        <v>31</v>
      </c>
      <c r="AD172" s="454">
        <v>13</v>
      </c>
      <c r="AE172" s="453" t="str">
        <f>C91</f>
        <v xml:space="preserve"> </v>
      </c>
      <c r="AF172" s="443">
        <v>31</v>
      </c>
      <c r="AG172" s="454">
        <v>13</v>
      </c>
      <c r="AH172" s="453" t="str">
        <f>D91</f>
        <v xml:space="preserve"> </v>
      </c>
      <c r="AI172" s="443">
        <v>31</v>
      </c>
      <c r="AJ172" s="454">
        <v>13</v>
      </c>
      <c r="AK172" s="453" t="str">
        <f>E91</f>
        <v xml:space="preserve"> </v>
      </c>
      <c r="AL172" s="443">
        <v>31</v>
      </c>
      <c r="AM172" s="454">
        <v>13</v>
      </c>
      <c r="AN172" s="453" t="str">
        <f>F91</f>
        <v xml:space="preserve"> </v>
      </c>
      <c r="AO172" s="443">
        <v>31</v>
      </c>
      <c r="AP172" s="454">
        <v>13</v>
      </c>
      <c r="AQ172" s="453" t="str">
        <f>G91</f>
        <v xml:space="preserve"> </v>
      </c>
      <c r="AR172" s="443">
        <v>31</v>
      </c>
      <c r="AS172" s="454">
        <v>13</v>
      </c>
      <c r="AT172" s="453" t="str">
        <f>H91</f>
        <v xml:space="preserve"> </v>
      </c>
      <c r="AU172" s="443">
        <v>31</v>
      </c>
      <c r="AV172" s="454">
        <v>13</v>
      </c>
    </row>
    <row r="173" spans="11:48" hidden="1" x14ac:dyDescent="0.2">
      <c r="K173" s="8" t="str">
        <f>IF(AA173=" "," ",".")</f>
        <v xml:space="preserve"> </v>
      </c>
      <c r="Q173" s="17"/>
      <c r="R173" s="8" t="s">
        <v>56</v>
      </c>
      <c r="S173" s="17"/>
      <c r="T173" s="17"/>
      <c r="U173" s="17"/>
      <c r="V173" s="17"/>
      <c r="W173" s="768" t="s">
        <v>56</v>
      </c>
      <c r="X173" s="17"/>
      <c r="Y173" s="17"/>
      <c r="Z173" s="17"/>
      <c r="AA173" s="319" t="str">
        <f>'Master List'!C54</f>
        <v xml:space="preserve"> </v>
      </c>
      <c r="AB173" s="433" t="str">
        <f>IF(OR(AB172&gt;" ",INDEX($R$108:$R$150,AC172)="0")," ",INDEX($R$108:$R$150,AC172))</f>
        <v xml:space="preserve"> </v>
      </c>
      <c r="AC173" s="434"/>
      <c r="AD173" s="435"/>
      <c r="AE173" s="433" t="str">
        <f>IF(OR(AE172&gt;" ",INDEX($R$108:$R$150,AF172)=0)," ",INDEX($R$108:$R$150,AF172))</f>
        <v xml:space="preserve"> </v>
      </c>
      <c r="AF173" s="434"/>
      <c r="AG173" s="435"/>
      <c r="AH173" s="433" t="str">
        <f>IF(OR(AH172&gt;" ",INDEX($R$108:$R$150,AI172)=0)," ",INDEX($R$108:$R$150,AI172))</f>
        <v xml:space="preserve"> </v>
      </c>
      <c r="AI173" s="434"/>
      <c r="AJ173" s="435"/>
      <c r="AK173" s="433" t="str">
        <f>IF(OR(AK172&gt;" ",INDEX($R$108:$R$150,AL172)=0)," ",INDEX($R$108:$R$150,AL172))</f>
        <v xml:space="preserve"> </v>
      </c>
      <c r="AL173" s="434"/>
      <c r="AM173" s="435"/>
      <c r="AN173" s="433" t="str">
        <f>IF(OR(AN172&gt;" ",INDEX($R$108:$R$150,AO172)=0)," ",INDEX($R$108:$R$150,AO172))</f>
        <v xml:space="preserve"> </v>
      </c>
      <c r="AO173" s="434"/>
      <c r="AP173" s="435"/>
      <c r="AQ173" s="433" t="str">
        <f>IF(OR(AQ172&gt;" ",INDEX($R$108:$R$150,AR172)=0)," ",INDEX($R$108:$R$150,AR172))</f>
        <v xml:space="preserve"> </v>
      </c>
      <c r="AR173" s="434"/>
      <c r="AS173" s="435"/>
      <c r="AT173" s="433" t="str">
        <f>IF(OR(AT172&gt;" ",INDEX($R$108:$R$150,AU172)=0)," ",INDEX($R$108:$R$150,AU172))</f>
        <v xml:space="preserve"> </v>
      </c>
      <c r="AU173" s="434"/>
      <c r="AV173" s="435"/>
    </row>
    <row r="174" spans="11:48" hidden="1" x14ac:dyDescent="0.2">
      <c r="K174" s="8" t="str">
        <f>IF(AA173=" "," ",".")</f>
        <v xml:space="preserve"> </v>
      </c>
      <c r="Q174" s="17"/>
      <c r="R174" s="8" t="s">
        <v>56</v>
      </c>
      <c r="S174" s="17"/>
      <c r="T174" s="17"/>
      <c r="U174" s="17"/>
      <c r="V174" s="17"/>
      <c r="W174" s="768" t="s">
        <v>56</v>
      </c>
      <c r="X174" s="17"/>
      <c r="Y174" s="17"/>
      <c r="Z174" s="17"/>
      <c r="AA174" s="349"/>
      <c r="AB174" s="436" t="str">
        <f>IF(AB173=" ","",INDEX($W$108:$W$151,AD172))</f>
        <v/>
      </c>
      <c r="AC174" s="437"/>
      <c r="AD174" s="438"/>
      <c r="AE174" s="436" t="str">
        <f>IF(AE173=" ","",INDEX($W$108:$W$151,AG172))</f>
        <v/>
      </c>
      <c r="AF174" s="437"/>
      <c r="AG174" s="438"/>
      <c r="AH174" s="436" t="str">
        <f>IF(AH173=" ","",INDEX($W$108:$W$151,AJ172))</f>
        <v/>
      </c>
      <c r="AI174" s="437"/>
      <c r="AJ174" s="438"/>
      <c r="AK174" s="436" t="str">
        <f>IF(AK173=" ","",INDEX($W$108:$W$151,AM172))</f>
        <v/>
      </c>
      <c r="AL174" s="437"/>
      <c r="AM174" s="438"/>
      <c r="AN174" s="436" t="str">
        <f>IF(AN173=" ","",INDEX($W$108:$W$151,AP172))</f>
        <v/>
      </c>
      <c r="AO174" s="437"/>
      <c r="AP174" s="438"/>
      <c r="AQ174" s="436" t="str">
        <f>IF(AQ173=" ","",INDEX($W$108:$W$151,AS172))</f>
        <v/>
      </c>
      <c r="AR174" s="437"/>
      <c r="AS174" s="438"/>
      <c r="AT174" s="436" t="str">
        <f>IF(AT173=" ","",INDEX($W$108:$W$151,AV172))</f>
        <v/>
      </c>
      <c r="AU174" s="437"/>
      <c r="AV174" s="438"/>
    </row>
    <row r="175" spans="11:48" hidden="1" x14ac:dyDescent="0.2">
      <c r="K175" s="8" t="str">
        <f>IF(AA176=" "," ",".")</f>
        <v xml:space="preserve"> </v>
      </c>
      <c r="Q175" s="17"/>
      <c r="R175" s="8" t="s">
        <v>56</v>
      </c>
      <c r="S175" s="17"/>
      <c r="T175" s="17"/>
      <c r="U175" s="17"/>
      <c r="V175" s="17"/>
      <c r="W175" s="768" t="s">
        <v>56</v>
      </c>
      <c r="X175" s="17"/>
      <c r="Y175" s="17"/>
      <c r="Z175" s="17"/>
      <c r="AA175" s="350"/>
      <c r="AB175" s="453" t="str">
        <f>B95</f>
        <v xml:space="preserve"> </v>
      </c>
      <c r="AC175" s="443">
        <v>31</v>
      </c>
      <c r="AD175" s="454">
        <v>13</v>
      </c>
      <c r="AE175" s="453" t="str">
        <f>C95</f>
        <v xml:space="preserve"> </v>
      </c>
      <c r="AF175" s="443">
        <v>31</v>
      </c>
      <c r="AG175" s="454">
        <v>13</v>
      </c>
      <c r="AH175" s="453" t="str">
        <f>D95</f>
        <v xml:space="preserve"> </v>
      </c>
      <c r="AI175" s="443">
        <v>31</v>
      </c>
      <c r="AJ175" s="454">
        <v>13</v>
      </c>
      <c r="AK175" s="453" t="str">
        <f>E95</f>
        <v xml:space="preserve"> </v>
      </c>
      <c r="AL175" s="443">
        <v>31</v>
      </c>
      <c r="AM175" s="454">
        <v>13</v>
      </c>
      <c r="AN175" s="453" t="str">
        <f>F95</f>
        <v xml:space="preserve"> </v>
      </c>
      <c r="AO175" s="443">
        <v>31</v>
      </c>
      <c r="AP175" s="454">
        <v>13</v>
      </c>
      <c r="AQ175" s="453" t="str">
        <f>G95</f>
        <v xml:space="preserve"> </v>
      </c>
      <c r="AR175" s="443">
        <v>31</v>
      </c>
      <c r="AS175" s="454">
        <v>13</v>
      </c>
      <c r="AT175" s="453" t="str">
        <f>H95</f>
        <v xml:space="preserve"> </v>
      </c>
      <c r="AU175" s="443">
        <v>31</v>
      </c>
      <c r="AV175" s="454">
        <v>13</v>
      </c>
    </row>
    <row r="176" spans="11:48" hidden="1" x14ac:dyDescent="0.2">
      <c r="K176" s="8" t="str">
        <f>IF(AA176=" "," ",".")</f>
        <v xml:space="preserve"> </v>
      </c>
      <c r="Q176" s="17"/>
      <c r="R176" s="8" t="s">
        <v>56</v>
      </c>
      <c r="S176" s="17"/>
      <c r="T176" s="17"/>
      <c r="U176" s="17"/>
      <c r="V176" s="17"/>
      <c r="W176" s="768" t="s">
        <v>56</v>
      </c>
      <c r="X176" s="17"/>
      <c r="Y176" s="17"/>
      <c r="Z176" s="17"/>
      <c r="AA176" s="319" t="str">
        <f>'Master List'!C55</f>
        <v xml:space="preserve"> </v>
      </c>
      <c r="AB176" s="433" t="str">
        <f>IF(OR(AB175&gt;" ",INDEX($R$108:$R$150,AC175)="0")," ",INDEX($R$108:$R$150,AC175))</f>
        <v xml:space="preserve"> </v>
      </c>
      <c r="AC176" s="434"/>
      <c r="AD176" s="435"/>
      <c r="AE176" s="433" t="str">
        <f>IF(OR(AE175&gt;" ",INDEX($R$108:$R$150,AF175)=0)," ",INDEX($R$108:$R$150,AF175))</f>
        <v xml:space="preserve"> </v>
      </c>
      <c r="AF176" s="434"/>
      <c r="AG176" s="435"/>
      <c r="AH176" s="433" t="str">
        <f>IF(OR(AH175&gt;" ",INDEX($R$108:$R$150,AI175)=0)," ",INDEX($R$108:$R$150,AI175))</f>
        <v xml:space="preserve"> </v>
      </c>
      <c r="AI176" s="434"/>
      <c r="AJ176" s="435"/>
      <c r="AK176" s="433" t="str">
        <f>IF(OR(AK175&gt;" ",INDEX($R$108:$R$150,AL175)=0)," ",INDEX($R$108:$R$150,AL175))</f>
        <v xml:space="preserve"> </v>
      </c>
      <c r="AL176" s="434"/>
      <c r="AM176" s="435"/>
      <c r="AN176" s="433" t="str">
        <f>IF(OR(AN175&gt;" ",INDEX($R$108:$R$150,AO175)=0)," ",INDEX($R$108:$R$150,AO175))</f>
        <v xml:space="preserve"> </v>
      </c>
      <c r="AO176" s="434"/>
      <c r="AP176" s="435"/>
      <c r="AQ176" s="433" t="str">
        <f>IF(OR(AQ175&gt;" ",INDEX($R$108:$R$150,AR175)=0)," ",INDEX($R$108:$R$150,AR175))</f>
        <v xml:space="preserve"> </v>
      </c>
      <c r="AR176" s="434"/>
      <c r="AS176" s="435"/>
      <c r="AT176" s="433" t="str">
        <f>IF(OR(AT175&gt;" ",INDEX($R$108:$R$150,AU175)=0)," ",INDEX($R$108:$R$150,AU175))</f>
        <v xml:space="preserve"> </v>
      </c>
      <c r="AU176" s="434"/>
      <c r="AV176" s="435"/>
    </row>
    <row r="177" spans="11:48" hidden="1" x14ac:dyDescent="0.2">
      <c r="K177" s="8" t="str">
        <f>IF(AA176=" "," ",".")</f>
        <v xml:space="preserve"> </v>
      </c>
      <c r="Q177" s="17"/>
      <c r="R177" s="8" t="s">
        <v>56</v>
      </c>
      <c r="S177" s="17"/>
      <c r="T177" s="17"/>
      <c r="U177" s="17"/>
      <c r="V177" s="17"/>
      <c r="W177" s="768" t="s">
        <v>56</v>
      </c>
      <c r="X177" s="17"/>
      <c r="Y177" s="17"/>
      <c r="Z177" s="17"/>
      <c r="AA177" s="349"/>
      <c r="AB177" s="436" t="str">
        <f>IF(AB176=" ","",INDEX($W$108:$W$151,AD175))</f>
        <v/>
      </c>
      <c r="AC177" s="437"/>
      <c r="AD177" s="438"/>
      <c r="AE177" s="436" t="str">
        <f>IF(AE176=" ","",INDEX($W$108:$W$151,AG175))</f>
        <v/>
      </c>
      <c r="AF177" s="437"/>
      <c r="AG177" s="438"/>
      <c r="AH177" s="436" t="str">
        <f>IF(AH176=" ","",INDEX($W$108:$W$151,AJ175))</f>
        <v/>
      </c>
      <c r="AI177" s="437"/>
      <c r="AJ177" s="438"/>
      <c r="AK177" s="436" t="str">
        <f>IF(AK176=" ","",INDEX($W$108:$W$151,AM175))</f>
        <v/>
      </c>
      <c r="AL177" s="437"/>
      <c r="AM177" s="438"/>
      <c r="AN177" s="436" t="str">
        <f>IF(AN176=" ","",INDEX($W$108:$W$151,AP175))</f>
        <v/>
      </c>
      <c r="AO177" s="437"/>
      <c r="AP177" s="438"/>
      <c r="AQ177" s="436" t="str">
        <f>IF(AQ176=" ","",INDEX($W$108:$W$151,AS175))</f>
        <v/>
      </c>
      <c r="AR177" s="437"/>
      <c r="AS177" s="438"/>
      <c r="AT177" s="436" t="str">
        <f>IF(AT176=" ","",INDEX($W$108:$W$151,AV175))</f>
        <v/>
      </c>
      <c r="AU177" s="437"/>
      <c r="AV177" s="438"/>
    </row>
    <row r="178" spans="11:48" x14ac:dyDescent="0.2">
      <c r="Q178" s="17"/>
      <c r="R178" s="8" t="s">
        <v>56</v>
      </c>
      <c r="S178" s="17"/>
      <c r="T178" s="17"/>
      <c r="U178" s="17"/>
      <c r="V178" s="17"/>
      <c r="W178" s="768" t="s">
        <v>56</v>
      </c>
      <c r="X178" s="17"/>
      <c r="Y178" s="17"/>
      <c r="Z178" s="17"/>
    </row>
    <row r="179" spans="11:48" x14ac:dyDescent="0.2">
      <c r="Q179" s="17"/>
      <c r="R179" s="8" t="s">
        <v>56</v>
      </c>
      <c r="S179" s="17"/>
      <c r="T179" s="17"/>
      <c r="U179" s="17"/>
      <c r="V179" s="17"/>
      <c r="W179" s="768" t="s">
        <v>56</v>
      </c>
      <c r="X179" s="17"/>
      <c r="Y179" s="17"/>
      <c r="Z179" s="17"/>
    </row>
    <row r="180" spans="11:48" x14ac:dyDescent="0.2">
      <c r="Q180" s="17"/>
      <c r="R180" s="8" t="s">
        <v>56</v>
      </c>
      <c r="S180" s="17"/>
      <c r="T180" s="17"/>
      <c r="U180" s="17"/>
      <c r="V180" s="17"/>
      <c r="W180" s="768" t="s">
        <v>56</v>
      </c>
      <c r="X180" s="17"/>
      <c r="Y180" s="17"/>
      <c r="Z180" s="17"/>
    </row>
  </sheetData>
  <autoFilter ref="K3:K177">
    <filterColumn colId="0">
      <customFilters and="1">
        <customFilter operator="notEqual" val=" "/>
      </customFilters>
    </filterColumn>
  </autoFilter>
  <mergeCells count="9">
    <mergeCell ref="AB103:AD103"/>
    <mergeCell ref="AE103:AG103"/>
    <mergeCell ref="AH122:AJ122"/>
    <mergeCell ref="AT103:AV103"/>
    <mergeCell ref="AH103:AJ103"/>
    <mergeCell ref="AK103:AM103"/>
    <mergeCell ref="AN103:AP103"/>
    <mergeCell ref="AQ103:AS103"/>
    <mergeCell ref="AB113:AD113"/>
  </mergeCells>
  <phoneticPr fontId="40" type="noConversion"/>
  <conditionalFormatting sqref="AB107:AD108">
    <cfRule type="expression" dxfId="1043" priority="350" stopIfTrue="1">
      <formula>$AB$106&gt;" "</formula>
    </cfRule>
  </conditionalFormatting>
  <conditionalFormatting sqref="AE107:AG108">
    <cfRule type="expression" dxfId="1042" priority="337" stopIfTrue="1">
      <formula>$AE$106&gt;" "</formula>
    </cfRule>
  </conditionalFormatting>
  <conditionalFormatting sqref="AH107:AJ108">
    <cfRule type="expression" dxfId="1041" priority="325" stopIfTrue="1">
      <formula>$AH$106&gt;" "</formula>
    </cfRule>
  </conditionalFormatting>
  <conditionalFormatting sqref="AK107:AM108">
    <cfRule type="expression" dxfId="1040" priority="315" stopIfTrue="1">
      <formula>$AK$106&gt;" "</formula>
    </cfRule>
  </conditionalFormatting>
  <conditionalFormatting sqref="AN107:AP108">
    <cfRule type="expression" dxfId="1039" priority="305" stopIfTrue="1">
      <formula>$AN$106&gt;" "</formula>
    </cfRule>
  </conditionalFormatting>
  <conditionalFormatting sqref="AB110:AD111">
    <cfRule type="expression" dxfId="1038" priority="349" stopIfTrue="1">
      <formula>$AB$109&gt;" "</formula>
    </cfRule>
  </conditionalFormatting>
  <conditionalFormatting sqref="AE110:AG111">
    <cfRule type="expression" dxfId="1037" priority="334" stopIfTrue="1">
      <formula>$AE$109&gt;" "</formula>
    </cfRule>
  </conditionalFormatting>
  <conditionalFormatting sqref="AK110:AM111">
    <cfRule type="expression" dxfId="1036" priority="314" stopIfTrue="1">
      <formula>$AK$109&gt;" "</formula>
    </cfRule>
  </conditionalFormatting>
  <conditionalFormatting sqref="AN110:AP111">
    <cfRule type="expression" dxfId="1035" priority="304" stopIfTrue="1">
      <formula>$AN$109&gt;" "</formula>
    </cfRule>
  </conditionalFormatting>
  <conditionalFormatting sqref="AB114:AD114">
    <cfRule type="expression" dxfId="1034" priority="336" stopIfTrue="1">
      <formula>$AB$112&gt;" "</formula>
    </cfRule>
  </conditionalFormatting>
  <conditionalFormatting sqref="AE113:AG114">
    <cfRule type="expression" dxfId="1033" priority="333" stopIfTrue="1">
      <formula>$AE$112&gt;" "</formula>
    </cfRule>
  </conditionalFormatting>
  <conditionalFormatting sqref="AH113:AJ114">
    <cfRule type="expression" dxfId="1032" priority="323" stopIfTrue="1">
      <formula>$AH$112&gt;" "</formula>
    </cfRule>
  </conditionalFormatting>
  <conditionalFormatting sqref="AK113:AM114">
    <cfRule type="expression" dxfId="1031" priority="313" stopIfTrue="1">
      <formula>$AK$112&gt;" "</formula>
    </cfRule>
  </conditionalFormatting>
  <conditionalFormatting sqref="AN113:AP114">
    <cfRule type="expression" dxfId="1030" priority="303" stopIfTrue="1">
      <formula>$AN$112&gt;" "</formula>
    </cfRule>
  </conditionalFormatting>
  <conditionalFormatting sqref="AB116:AD117">
    <cfRule type="expression" dxfId="1029" priority="335" stopIfTrue="1">
      <formula>$AB$115&gt;" "</formula>
    </cfRule>
  </conditionalFormatting>
  <conditionalFormatting sqref="AE116:AG117">
    <cfRule type="expression" dxfId="1028" priority="332" stopIfTrue="1">
      <formula>$AE$115&gt;" "</formula>
    </cfRule>
  </conditionalFormatting>
  <conditionalFormatting sqref="AH116:AJ117">
    <cfRule type="expression" dxfId="1027" priority="322" stopIfTrue="1">
      <formula>$AH$115&gt;" "</formula>
    </cfRule>
  </conditionalFormatting>
  <conditionalFormatting sqref="AK116:AM117">
    <cfRule type="expression" dxfId="1026" priority="312" stopIfTrue="1">
      <formula>$AK$115&gt;" "</formula>
    </cfRule>
  </conditionalFormatting>
  <conditionalFormatting sqref="AN116:AP117">
    <cfRule type="expression" dxfId="1025" priority="302" stopIfTrue="1">
      <formula>$AN$115&gt;" "</formula>
    </cfRule>
  </conditionalFormatting>
  <conditionalFormatting sqref="AB119:AD120">
    <cfRule type="expression" dxfId="1024" priority="347" stopIfTrue="1">
      <formula>$AB$118&gt;" "</formula>
    </cfRule>
  </conditionalFormatting>
  <conditionalFormatting sqref="AE119:AG120">
    <cfRule type="expression" dxfId="1023" priority="331" stopIfTrue="1">
      <formula>$AE$118&gt;" "</formula>
    </cfRule>
  </conditionalFormatting>
  <conditionalFormatting sqref="AH119:AJ120">
    <cfRule type="expression" dxfId="1022" priority="321" stopIfTrue="1">
      <formula>$AH$118&gt;" "</formula>
    </cfRule>
  </conditionalFormatting>
  <conditionalFormatting sqref="AK119:AM120">
    <cfRule type="expression" dxfId="1021" priority="311" stopIfTrue="1">
      <formula>$AK$118&gt;" "</formula>
    </cfRule>
  </conditionalFormatting>
  <conditionalFormatting sqref="AN119:AP120">
    <cfRule type="expression" dxfId="1020" priority="301" stopIfTrue="1">
      <formula>$AN$118&gt;" "</formula>
    </cfRule>
  </conditionalFormatting>
  <conditionalFormatting sqref="AB122:AD123">
    <cfRule type="expression" dxfId="1019" priority="346" stopIfTrue="1">
      <formula>$AB$121&gt;" "</formula>
    </cfRule>
  </conditionalFormatting>
  <conditionalFormatting sqref="AE122:AG123">
    <cfRule type="expression" dxfId="1018" priority="330" stopIfTrue="1">
      <formula>$AE$121&gt;" "</formula>
    </cfRule>
  </conditionalFormatting>
  <conditionalFormatting sqref="AH122:AH123 AI123:AJ123">
    <cfRule type="expression" dxfId="1017" priority="320" stopIfTrue="1">
      <formula>$AH$121&gt;" "</formula>
    </cfRule>
  </conditionalFormatting>
  <conditionalFormatting sqref="AK123:AM123">
    <cfRule type="expression" dxfId="1016" priority="310" stopIfTrue="1">
      <formula>$AK$121&gt;" "</formula>
    </cfRule>
  </conditionalFormatting>
  <conditionalFormatting sqref="AN122:AP123">
    <cfRule type="expression" dxfId="1015" priority="300" stopIfTrue="1">
      <formula>$AN$121&gt;" "</formula>
    </cfRule>
  </conditionalFormatting>
  <conditionalFormatting sqref="AQ122:AS123">
    <cfRule type="expression" dxfId="1014" priority="290" stopIfTrue="1">
      <formula>$AQ$121&gt;" "</formula>
    </cfRule>
  </conditionalFormatting>
  <conditionalFormatting sqref="AT122:AV123">
    <cfRule type="expression" dxfId="1013" priority="280" stopIfTrue="1">
      <formula>$AT$121&gt;" "</formula>
    </cfRule>
  </conditionalFormatting>
  <conditionalFormatting sqref="AB125:AD126">
    <cfRule type="expression" dxfId="1012" priority="348" stopIfTrue="1">
      <formula>$AB$124&gt;" "</formula>
    </cfRule>
  </conditionalFormatting>
  <conditionalFormatting sqref="AE125:AG126">
    <cfRule type="expression" dxfId="1011" priority="329" stopIfTrue="1">
      <formula>$AE$124&gt;" "</formula>
    </cfRule>
  </conditionalFormatting>
  <conditionalFormatting sqref="AH125:AJ126">
    <cfRule type="expression" dxfId="1010" priority="319" stopIfTrue="1">
      <formula>$AH$124&gt;" "</formula>
    </cfRule>
  </conditionalFormatting>
  <conditionalFormatting sqref="AK125:AM126">
    <cfRule type="expression" dxfId="1009" priority="309" stopIfTrue="1">
      <formula>$AK$124&gt;" "</formula>
    </cfRule>
  </conditionalFormatting>
  <conditionalFormatting sqref="AB128:AD129 AB131:AD132 AB134:AD135 AB137:AD138">
    <cfRule type="expression" dxfId="1008" priority="341" stopIfTrue="1">
      <formula>$AB$127&gt;" "</formula>
    </cfRule>
  </conditionalFormatting>
  <conditionalFormatting sqref="AE128:AG129 AE131:AG132 AE134:AG135 AE137:AG138">
    <cfRule type="expression" dxfId="1007" priority="328" stopIfTrue="1">
      <formula>$AE$127&gt;" "</formula>
    </cfRule>
  </conditionalFormatting>
  <conditionalFormatting sqref="AH128:AJ129 AH131:AJ132 AH134:AJ135 AH137:AJ138">
    <cfRule type="expression" dxfId="1006" priority="318" stopIfTrue="1">
      <formula>$AH$127&gt;" "</formula>
    </cfRule>
  </conditionalFormatting>
  <conditionalFormatting sqref="AK128:AM129 AK131:AM132 AK134:AM135 AK137:AM138">
    <cfRule type="expression" dxfId="1005" priority="308" stopIfTrue="1">
      <formula>$AK$127&gt;" "</formula>
    </cfRule>
  </conditionalFormatting>
  <conditionalFormatting sqref="AN128:AP129 AN131:AP132 AN134:AP135 AN137:AP138">
    <cfRule type="expression" dxfId="1004" priority="298" stopIfTrue="1">
      <formula>$AN$127&gt;" "</formula>
    </cfRule>
  </conditionalFormatting>
  <conditionalFormatting sqref="AB152:AD153">
    <cfRule type="expression" dxfId="1003" priority="340" stopIfTrue="1">
      <formula>$AB$151&gt;" "</formula>
    </cfRule>
  </conditionalFormatting>
  <conditionalFormatting sqref="AE152:AG153">
    <cfRule type="expression" dxfId="1002" priority="327" stopIfTrue="1">
      <formula>$AE$151&gt;" "</formula>
    </cfRule>
  </conditionalFormatting>
  <conditionalFormatting sqref="AH152:AJ153">
    <cfRule type="expression" dxfId="1001" priority="317" stopIfTrue="1">
      <formula>$AH$151&gt;" "</formula>
    </cfRule>
  </conditionalFormatting>
  <conditionalFormatting sqref="AK152:AM153">
    <cfRule type="expression" dxfId="1000" priority="307" stopIfTrue="1">
      <formula>$AK$151&gt;" "</formula>
    </cfRule>
  </conditionalFormatting>
  <conditionalFormatting sqref="AN152:AP153">
    <cfRule type="expression" dxfId="999" priority="297" stopIfTrue="1">
      <formula>$AN$151&gt;" "</formula>
    </cfRule>
  </conditionalFormatting>
  <conditionalFormatting sqref="AB155:AD156">
    <cfRule type="expression" dxfId="998" priority="339" stopIfTrue="1">
      <formula>$AB$154&gt;" "</formula>
    </cfRule>
  </conditionalFormatting>
  <conditionalFormatting sqref="AE155:AG156">
    <cfRule type="expression" dxfId="997" priority="326" stopIfTrue="1">
      <formula>$AE$154&gt;" "</formula>
    </cfRule>
  </conditionalFormatting>
  <conditionalFormatting sqref="AH155:AJ156">
    <cfRule type="expression" dxfId="996" priority="316" stopIfTrue="1">
      <formula>$AH$154&gt;" "</formula>
    </cfRule>
  </conditionalFormatting>
  <conditionalFormatting sqref="AK155:AM156">
    <cfRule type="expression" dxfId="995" priority="306" stopIfTrue="1">
      <formula>$AK$154&gt;" "</formula>
    </cfRule>
  </conditionalFormatting>
  <conditionalFormatting sqref="AN155:AP156">
    <cfRule type="expression" dxfId="994" priority="296" stopIfTrue="1">
      <formula>$AN$154&gt;" "</formula>
    </cfRule>
  </conditionalFormatting>
  <conditionalFormatting sqref="AB158:AD159">
    <cfRule type="expression" dxfId="993" priority="419" stopIfTrue="1">
      <formula>$AB$157&gt;" "</formula>
    </cfRule>
  </conditionalFormatting>
  <conditionalFormatting sqref="AE158:AG159">
    <cfRule type="expression" dxfId="992" priority="420" stopIfTrue="1">
      <formula>$AE$157&gt;" "</formula>
    </cfRule>
  </conditionalFormatting>
  <conditionalFormatting sqref="AH158:AJ159">
    <cfRule type="expression" dxfId="991" priority="421" stopIfTrue="1">
      <formula>$AH$157&gt;" "</formula>
    </cfRule>
  </conditionalFormatting>
  <conditionalFormatting sqref="AK158:AM159">
    <cfRule type="expression" dxfId="990" priority="422" stopIfTrue="1">
      <formula>$AK$157&gt;" "</formula>
    </cfRule>
  </conditionalFormatting>
  <conditionalFormatting sqref="AN158:AP159">
    <cfRule type="expression" dxfId="989" priority="423" stopIfTrue="1">
      <formula>$AN$157&gt;" "</formula>
    </cfRule>
  </conditionalFormatting>
  <conditionalFormatting sqref="AQ158:AS159">
    <cfRule type="expression" dxfId="988" priority="424" stopIfTrue="1">
      <formula>$AQ$157&gt;" "</formula>
    </cfRule>
  </conditionalFormatting>
  <conditionalFormatting sqref="AT158:AV159">
    <cfRule type="expression" dxfId="987" priority="425" stopIfTrue="1">
      <formula>$AT$157&gt;" "</formula>
    </cfRule>
  </conditionalFormatting>
  <conditionalFormatting sqref="AB161:AD162">
    <cfRule type="expression" dxfId="986" priority="426" stopIfTrue="1">
      <formula>$AB$160&gt;" "</formula>
    </cfRule>
  </conditionalFormatting>
  <conditionalFormatting sqref="AE161:AG162">
    <cfRule type="expression" dxfId="985" priority="427" stopIfTrue="1">
      <formula>$AE$160&gt;" "</formula>
    </cfRule>
  </conditionalFormatting>
  <conditionalFormatting sqref="AH161:AJ162">
    <cfRule type="expression" dxfId="984" priority="428" stopIfTrue="1">
      <formula>$AH$160&gt;" "</formula>
    </cfRule>
  </conditionalFormatting>
  <conditionalFormatting sqref="AK161:AM162">
    <cfRule type="expression" dxfId="983" priority="249" stopIfTrue="1">
      <formula>$AK$160&gt;" "</formula>
    </cfRule>
  </conditionalFormatting>
  <conditionalFormatting sqref="AQ161:AS162">
    <cfRule type="expression" dxfId="982" priority="431" stopIfTrue="1">
      <formula>$AQ$160&gt;" "</formula>
    </cfRule>
  </conditionalFormatting>
  <conditionalFormatting sqref="AQ152:AS153">
    <cfRule type="expression" dxfId="981" priority="287" stopIfTrue="1">
      <formula>$AQ$151&gt;" "</formula>
    </cfRule>
  </conditionalFormatting>
  <conditionalFormatting sqref="AT152:AV153">
    <cfRule type="expression" dxfId="980" priority="277" stopIfTrue="1">
      <formula>$AT$151&gt;" "</formula>
    </cfRule>
  </conditionalFormatting>
  <conditionalFormatting sqref="AN125:AP126">
    <cfRule type="expression" dxfId="979" priority="299" stopIfTrue="1">
      <formula>$AN$124&gt;" "</formula>
    </cfRule>
  </conditionalFormatting>
  <conditionalFormatting sqref="AK122:AM122">
    <cfRule type="expression" dxfId="978" priority="436" stopIfTrue="1">
      <formula>$AK$121&gt;" "</formula>
    </cfRule>
  </conditionalFormatting>
  <conditionalFormatting sqref="AC108">
    <cfRule type="expression" dxfId="977" priority="352" stopIfTrue="1">
      <formula>$AD$106=16</formula>
    </cfRule>
  </conditionalFormatting>
  <conditionalFormatting sqref="AC111">
    <cfRule type="expression" dxfId="976" priority="359" stopIfTrue="1">
      <formula>$AD$109=16</formula>
    </cfRule>
  </conditionalFormatting>
  <conditionalFormatting sqref="AC126">
    <cfRule type="expression" dxfId="975" priority="394" stopIfTrue="1">
      <formula>$AD$124=16</formula>
    </cfRule>
  </conditionalFormatting>
  <conditionalFormatting sqref="AC120">
    <cfRule type="expression" dxfId="974" priority="380" stopIfTrue="1">
      <formula>$AD$118=16</formula>
    </cfRule>
  </conditionalFormatting>
  <conditionalFormatting sqref="AC123">
    <cfRule type="expression" dxfId="973" priority="387" stopIfTrue="1">
      <formula>$AD$121=16</formula>
    </cfRule>
  </conditionalFormatting>
  <conditionalFormatting sqref="AC129 AC132 AC135 AC138">
    <cfRule type="expression" dxfId="972" priority="400" stopIfTrue="1">
      <formula>$AD$127=16</formula>
    </cfRule>
  </conditionalFormatting>
  <conditionalFormatting sqref="AC153">
    <cfRule type="expression" dxfId="971" priority="407" stopIfTrue="1">
      <formula>$AD$151=16</formula>
    </cfRule>
  </conditionalFormatting>
  <conditionalFormatting sqref="AC156">
    <cfRule type="expression" dxfId="970" priority="412" stopIfTrue="1">
      <formula>$AD$154=16</formula>
    </cfRule>
  </conditionalFormatting>
  <conditionalFormatting sqref="AF108">
    <cfRule type="expression" dxfId="969" priority="353" stopIfTrue="1">
      <formula>$AG$106=16</formula>
    </cfRule>
  </conditionalFormatting>
  <conditionalFormatting sqref="AC114">
    <cfRule type="expression" dxfId="968" priority="366" stopIfTrue="1">
      <formula>$AD$112=16</formula>
    </cfRule>
  </conditionalFormatting>
  <conditionalFormatting sqref="AC117">
    <cfRule type="expression" dxfId="967" priority="373" stopIfTrue="1">
      <formula>$AD$115=16</formula>
    </cfRule>
  </conditionalFormatting>
  <conditionalFormatting sqref="AF111">
    <cfRule type="expression" dxfId="966" priority="360" stopIfTrue="1">
      <formula>$AG$109=16</formula>
    </cfRule>
  </conditionalFormatting>
  <conditionalFormatting sqref="AF114">
    <cfRule type="expression" dxfId="965" priority="367" stopIfTrue="1">
      <formula>$AG$112=16</formula>
    </cfRule>
  </conditionalFormatting>
  <conditionalFormatting sqref="AF117">
    <cfRule type="expression" dxfId="964" priority="374" stopIfTrue="1">
      <formula>$AG$115=16</formula>
    </cfRule>
  </conditionalFormatting>
  <conditionalFormatting sqref="AF120">
    <cfRule type="expression" dxfId="963" priority="381" stopIfTrue="1">
      <formula>$AG$118=16</formula>
    </cfRule>
  </conditionalFormatting>
  <conditionalFormatting sqref="AF123">
    <cfRule type="expression" dxfId="962" priority="388" stopIfTrue="1">
      <formula>$AG$121=16</formula>
    </cfRule>
  </conditionalFormatting>
  <conditionalFormatting sqref="AF126">
    <cfRule type="expression" dxfId="961" priority="395" stopIfTrue="1">
      <formula>$AG$124=16</formula>
    </cfRule>
  </conditionalFormatting>
  <conditionalFormatting sqref="AF129 AF132 AF135 AF138">
    <cfRule type="expression" dxfId="960" priority="401" stopIfTrue="1">
      <formula>$AG$127=16</formula>
    </cfRule>
  </conditionalFormatting>
  <conditionalFormatting sqref="AF153">
    <cfRule type="expression" dxfId="959" priority="408" stopIfTrue="1">
      <formula>$AG$151=16</formula>
    </cfRule>
  </conditionalFormatting>
  <conditionalFormatting sqref="AF156">
    <cfRule type="expression" dxfId="958" priority="413" stopIfTrue="1">
      <formula>$AG$154=16</formula>
    </cfRule>
  </conditionalFormatting>
  <conditionalFormatting sqref="AI108">
    <cfRule type="expression" dxfId="957" priority="354" stopIfTrue="1">
      <formula>$AJ$106=16</formula>
    </cfRule>
  </conditionalFormatting>
  <conditionalFormatting sqref="AI114">
    <cfRule type="expression" dxfId="956" priority="368" stopIfTrue="1">
      <formula>$AJ$112=16</formula>
    </cfRule>
  </conditionalFormatting>
  <conditionalFormatting sqref="AI117">
    <cfRule type="expression" dxfId="955" priority="375" stopIfTrue="1">
      <formula>$AJ$115=16</formula>
    </cfRule>
  </conditionalFormatting>
  <conditionalFormatting sqref="AI120">
    <cfRule type="expression" dxfId="954" priority="382" stopIfTrue="1">
      <formula>$AJ$118=16</formula>
    </cfRule>
  </conditionalFormatting>
  <conditionalFormatting sqref="AI123">
    <cfRule type="expression" dxfId="953" priority="389" stopIfTrue="1">
      <formula>$AJ$121=16</formula>
    </cfRule>
  </conditionalFormatting>
  <conditionalFormatting sqref="AI126">
    <cfRule type="expression" dxfId="952" priority="396" stopIfTrue="1">
      <formula>$AJ$124=16</formula>
    </cfRule>
  </conditionalFormatting>
  <conditionalFormatting sqref="AI129 AI132 AI135 AI138">
    <cfRule type="expression" dxfId="951" priority="402" stopIfTrue="1">
      <formula>$AJ$127=16</formula>
    </cfRule>
  </conditionalFormatting>
  <conditionalFormatting sqref="AI153">
    <cfRule type="expression" dxfId="950" priority="409" stopIfTrue="1">
      <formula>$AJ$151=16</formula>
    </cfRule>
  </conditionalFormatting>
  <conditionalFormatting sqref="AI156">
    <cfRule type="expression" dxfId="949" priority="414" stopIfTrue="1">
      <formula>$AJ$154=16</formula>
    </cfRule>
  </conditionalFormatting>
  <conditionalFormatting sqref="AL108">
    <cfRule type="expression" dxfId="948" priority="355" stopIfTrue="1">
      <formula>$AM$106=16</formula>
    </cfRule>
  </conditionalFormatting>
  <conditionalFormatting sqref="AL111">
    <cfRule type="expression" dxfId="947" priority="362" stopIfTrue="1">
      <formula>$AM$109=16</formula>
    </cfRule>
  </conditionalFormatting>
  <conditionalFormatting sqref="AL114">
    <cfRule type="expression" dxfId="946" priority="369" stopIfTrue="1">
      <formula>$AM$112=16</formula>
    </cfRule>
  </conditionalFormatting>
  <conditionalFormatting sqref="AL117">
    <cfRule type="expression" dxfId="945" priority="376" stopIfTrue="1">
      <formula>$AM$115=16</formula>
    </cfRule>
  </conditionalFormatting>
  <conditionalFormatting sqref="AL120">
    <cfRule type="expression" dxfId="944" priority="383" stopIfTrue="1">
      <formula>$AM$118=16</formula>
    </cfRule>
  </conditionalFormatting>
  <conditionalFormatting sqref="AL123">
    <cfRule type="expression" dxfId="943" priority="390" stopIfTrue="1">
      <formula>$AM$121=16</formula>
    </cfRule>
  </conditionalFormatting>
  <conditionalFormatting sqref="AL126">
    <cfRule type="expression" dxfId="942" priority="397" stopIfTrue="1">
      <formula>$AM$124=16</formula>
    </cfRule>
  </conditionalFormatting>
  <conditionalFormatting sqref="AL129 AL132 AL135 AL138">
    <cfRule type="expression" dxfId="941" priority="403" stopIfTrue="1">
      <formula>$AM$127=16</formula>
    </cfRule>
  </conditionalFormatting>
  <conditionalFormatting sqref="AL153">
    <cfRule type="expression" dxfId="940" priority="410" stopIfTrue="1">
      <formula>$AM$151=16</formula>
    </cfRule>
  </conditionalFormatting>
  <conditionalFormatting sqref="AL156">
    <cfRule type="expression" dxfId="939" priority="415" stopIfTrue="1">
      <formula>$AM$154=16</formula>
    </cfRule>
  </conditionalFormatting>
  <conditionalFormatting sqref="AO108">
    <cfRule type="expression" dxfId="938" priority="356" stopIfTrue="1">
      <formula>$AP$106=16</formula>
    </cfRule>
  </conditionalFormatting>
  <conditionalFormatting sqref="AO111">
    <cfRule type="expression" dxfId="937" priority="363" stopIfTrue="1">
      <formula>$AP$109=16</formula>
    </cfRule>
  </conditionalFormatting>
  <conditionalFormatting sqref="AO114">
    <cfRule type="expression" dxfId="936" priority="370" stopIfTrue="1">
      <formula>$AP$112=16</formula>
    </cfRule>
  </conditionalFormatting>
  <conditionalFormatting sqref="AO117">
    <cfRule type="expression" dxfId="935" priority="377" stopIfTrue="1">
      <formula>$AP$115=16</formula>
    </cfRule>
  </conditionalFormatting>
  <conditionalFormatting sqref="AO120">
    <cfRule type="expression" dxfId="934" priority="384" stopIfTrue="1">
      <formula>$AP$118=16</formula>
    </cfRule>
  </conditionalFormatting>
  <conditionalFormatting sqref="AO123">
    <cfRule type="expression" dxfId="933" priority="391" stopIfTrue="1">
      <formula>$AP$121=16</formula>
    </cfRule>
  </conditionalFormatting>
  <conditionalFormatting sqref="AO126">
    <cfRule type="expression" dxfId="932" priority="435" stopIfTrue="1">
      <formula>$AP$124=16</formula>
    </cfRule>
  </conditionalFormatting>
  <conditionalFormatting sqref="AO129 AO132 AO135 AO138">
    <cfRule type="expression" dxfId="931" priority="404" stopIfTrue="1">
      <formula>$AP$127=16</formula>
    </cfRule>
  </conditionalFormatting>
  <conditionalFormatting sqref="AO153">
    <cfRule type="expression" dxfId="930" priority="411" stopIfTrue="1">
      <formula>$AP$151=16</formula>
    </cfRule>
  </conditionalFormatting>
  <conditionalFormatting sqref="AO156">
    <cfRule type="expression" dxfId="929" priority="416" stopIfTrue="1">
      <formula>$AP$154=16</formula>
    </cfRule>
  </conditionalFormatting>
  <conditionalFormatting sqref="AR123">
    <cfRule type="expression" dxfId="928" priority="392" stopIfTrue="1">
      <formula>$AS$121=16</formula>
    </cfRule>
  </conditionalFormatting>
  <conditionalFormatting sqref="AR153">
    <cfRule type="expression" dxfId="927" priority="433" stopIfTrue="1">
      <formula>$AS$151=16</formula>
    </cfRule>
  </conditionalFormatting>
  <conditionalFormatting sqref="AU123">
    <cfRule type="expression" dxfId="926" priority="393" stopIfTrue="1">
      <formula>$AV$121=16</formula>
    </cfRule>
  </conditionalFormatting>
  <conditionalFormatting sqref="AU153">
    <cfRule type="expression" dxfId="925" priority="434" stopIfTrue="1">
      <formula>$AV$151=16</formula>
    </cfRule>
  </conditionalFormatting>
  <conditionalFormatting sqref="AB164:AD165">
    <cfRule type="expression" dxfId="924" priority="269" stopIfTrue="1">
      <formula>$AB$163&gt;" "</formula>
    </cfRule>
  </conditionalFormatting>
  <conditionalFormatting sqref="AE164:AG165">
    <cfRule type="expression" dxfId="923" priority="270" stopIfTrue="1">
      <formula>$AE$163&gt;" "</formula>
    </cfRule>
  </conditionalFormatting>
  <conditionalFormatting sqref="AH164:AJ165">
    <cfRule type="expression" dxfId="922" priority="271" stopIfTrue="1">
      <formula>$AH$163&gt;" "</formula>
    </cfRule>
  </conditionalFormatting>
  <conditionalFormatting sqref="AK164:AM165">
    <cfRule type="expression" dxfId="921" priority="272" stopIfTrue="1">
      <formula>$AK$163&gt;" "</formula>
    </cfRule>
  </conditionalFormatting>
  <conditionalFormatting sqref="AN164:AP165">
    <cfRule type="expression" dxfId="920" priority="273" stopIfTrue="1">
      <formula>$AN$163&gt;" "</formula>
    </cfRule>
  </conditionalFormatting>
  <conditionalFormatting sqref="AQ164:AS165">
    <cfRule type="expression" dxfId="919" priority="274" stopIfTrue="1">
      <formula>$AQ$163&gt;" "</formula>
    </cfRule>
  </conditionalFormatting>
  <conditionalFormatting sqref="AB113">
    <cfRule type="expression" dxfId="918" priority="253" stopIfTrue="1">
      <formula>$AB$115&gt;" "</formula>
    </cfRule>
  </conditionalFormatting>
  <conditionalFormatting sqref="AL161">
    <cfRule type="expression" dxfId="917" priority="429" stopIfTrue="1">
      <formula>#REF!=24</formula>
    </cfRule>
  </conditionalFormatting>
  <conditionalFormatting sqref="AH110:AJ111">
    <cfRule type="expression" dxfId="916" priority="240" stopIfTrue="1">
      <formula>$AH$109&gt;" "</formula>
    </cfRule>
  </conditionalFormatting>
  <conditionalFormatting sqref="AI110">
    <cfRule type="expression" dxfId="915" priority="241" stopIfTrue="1">
      <formula>#REF!=24</formula>
    </cfRule>
  </conditionalFormatting>
  <conditionalFormatting sqref="AN161:AP162">
    <cfRule type="expression" dxfId="914" priority="236" stopIfTrue="1">
      <formula>$AN$160&gt;" "</formula>
    </cfRule>
  </conditionalFormatting>
  <conditionalFormatting sqref="AO161">
    <cfRule type="expression" dxfId="913" priority="237" stopIfTrue="1">
      <formula>#REF!=24</formula>
    </cfRule>
  </conditionalFormatting>
  <conditionalFormatting sqref="AT164:AV165">
    <cfRule type="expression" dxfId="912" priority="232" stopIfTrue="1">
      <formula>$AT$163&gt;" "</formula>
    </cfRule>
  </conditionalFormatting>
  <conditionalFormatting sqref="AU164">
    <cfRule type="expression" dxfId="911" priority="233" stopIfTrue="1">
      <formula>#REF!=24</formula>
    </cfRule>
  </conditionalFormatting>
  <conditionalFormatting sqref="AU161">
    <cfRule type="expression" dxfId="910" priority="231" stopIfTrue="1">
      <formula>#REF!=24</formula>
    </cfRule>
  </conditionalFormatting>
  <conditionalFormatting sqref="AT155:AV156">
    <cfRule type="expression" dxfId="909" priority="228" stopIfTrue="1">
      <formula>$AT$154&gt;" "</formula>
    </cfRule>
  </conditionalFormatting>
  <conditionalFormatting sqref="AU155">
    <cfRule type="expression" dxfId="908" priority="229" stopIfTrue="1">
      <formula>#REF!=24</formula>
    </cfRule>
  </conditionalFormatting>
  <conditionalFormatting sqref="AT128 AV129 AT131 AV132 AT134 AV135 AT137 AV138">
    <cfRule type="expression" dxfId="907" priority="226" stopIfTrue="1">
      <formula>#REF!&gt;" "</formula>
    </cfRule>
  </conditionalFormatting>
  <conditionalFormatting sqref="AU128 AU131 AU134 AU137">
    <cfRule type="expression" dxfId="906" priority="227" stopIfTrue="1">
      <formula>#REF!=24</formula>
    </cfRule>
  </conditionalFormatting>
  <conditionalFormatting sqref="AT125:AV126">
    <cfRule type="expression" dxfId="905" priority="224" stopIfTrue="1">
      <formula>$AT$124&gt;" "</formula>
    </cfRule>
  </conditionalFormatting>
  <conditionalFormatting sqref="AT119:AV120">
    <cfRule type="expression" dxfId="904" priority="222" stopIfTrue="1">
      <formula>$AT$118&gt;" "</formula>
    </cfRule>
  </conditionalFormatting>
  <conditionalFormatting sqref="AU119">
    <cfRule type="expression" dxfId="903" priority="223" stopIfTrue="1">
      <formula>#REF!=24</formula>
    </cfRule>
  </conditionalFormatting>
  <conditionalFormatting sqref="AU116">
    <cfRule type="expression" dxfId="902" priority="221" stopIfTrue="1">
      <formula>#REF!=24</formula>
    </cfRule>
  </conditionalFormatting>
  <conditionalFormatting sqref="AT113:AV114">
    <cfRule type="expression" dxfId="901" priority="218" stopIfTrue="1">
      <formula>$AT$112&gt;" "</formula>
    </cfRule>
  </conditionalFormatting>
  <conditionalFormatting sqref="AU113">
    <cfRule type="expression" dxfId="900" priority="219" stopIfTrue="1">
      <formula>#REF!=24</formula>
    </cfRule>
  </conditionalFormatting>
  <conditionalFormatting sqref="AT110 AV111">
    <cfRule type="expression" dxfId="899" priority="216" stopIfTrue="1">
      <formula>#REF!&gt;" "</formula>
    </cfRule>
  </conditionalFormatting>
  <conditionalFormatting sqref="AU110">
    <cfRule type="expression" dxfId="898" priority="217" stopIfTrue="1">
      <formula>#REF!=24</formula>
    </cfRule>
  </conditionalFormatting>
  <conditionalFormatting sqref="AT107 AV108">
    <cfRule type="expression" dxfId="897" priority="214" stopIfTrue="1">
      <formula>#REF!&gt;" "</formula>
    </cfRule>
  </conditionalFormatting>
  <conditionalFormatting sqref="AU107">
    <cfRule type="expression" dxfId="896" priority="215" stopIfTrue="1">
      <formula>#REF!=24</formula>
    </cfRule>
  </conditionalFormatting>
  <conditionalFormatting sqref="AQ107:AS108">
    <cfRule type="expression" dxfId="895" priority="212" stopIfTrue="1">
      <formula>$AQ$106&gt;" "</formula>
    </cfRule>
  </conditionalFormatting>
  <conditionalFormatting sqref="AR107">
    <cfRule type="expression" dxfId="894" priority="213" stopIfTrue="1">
      <formula>#REF!=24</formula>
    </cfRule>
  </conditionalFormatting>
  <conditionalFormatting sqref="AQ110 AS111">
    <cfRule type="expression" dxfId="893" priority="210" stopIfTrue="1">
      <formula>#REF!&gt;" "</formula>
    </cfRule>
  </conditionalFormatting>
  <conditionalFormatting sqref="AR110">
    <cfRule type="expression" dxfId="892" priority="211" stopIfTrue="1">
      <formula>#REF!=24</formula>
    </cfRule>
  </conditionalFormatting>
  <conditionalFormatting sqref="AR113">
    <cfRule type="expression" dxfId="891" priority="209" stopIfTrue="1">
      <formula>#REF!=24</formula>
    </cfRule>
  </conditionalFormatting>
  <conditionalFormatting sqref="AQ116 AS117">
    <cfRule type="expression" dxfId="890" priority="206" stopIfTrue="1">
      <formula>#REF!&gt;" "</formula>
    </cfRule>
  </conditionalFormatting>
  <conditionalFormatting sqref="AR116">
    <cfRule type="expression" dxfId="889" priority="207" stopIfTrue="1">
      <formula>#REF!=24</formula>
    </cfRule>
  </conditionalFormatting>
  <conditionalFormatting sqref="AQ119:AS120">
    <cfRule type="expression" dxfId="888" priority="204" stopIfTrue="1">
      <formula>$AQ$118&gt;" "</formula>
    </cfRule>
  </conditionalFormatting>
  <conditionalFormatting sqref="AR119">
    <cfRule type="expression" dxfId="887" priority="205" stopIfTrue="1">
      <formula>#REF!=24</formula>
    </cfRule>
  </conditionalFormatting>
  <conditionalFormatting sqref="AQ125:AS126">
    <cfRule type="expression" dxfId="886" priority="202" stopIfTrue="1">
      <formula>$AQ$124&gt;" "</formula>
    </cfRule>
  </conditionalFormatting>
  <conditionalFormatting sqref="AQ128:AS129 AQ131:AS132 AQ134:AS135 AQ137:AS138">
    <cfRule type="expression" dxfId="885" priority="200" stopIfTrue="1">
      <formula>$AQ$127&gt;" "</formula>
    </cfRule>
  </conditionalFormatting>
  <conditionalFormatting sqref="AR128 AR131 AR134 AR137">
    <cfRule type="expression" dxfId="884" priority="201" stopIfTrue="1">
      <formula>#REF!=24</formula>
    </cfRule>
  </conditionalFormatting>
  <conditionalFormatting sqref="AQ155:AS156">
    <cfRule type="expression" dxfId="883" priority="198" stopIfTrue="1">
      <formula>$AQ$154&gt;" "</formula>
    </cfRule>
  </conditionalFormatting>
  <conditionalFormatting sqref="AR155">
    <cfRule type="expression" dxfId="882" priority="199" stopIfTrue="1">
      <formula>#REF!=24</formula>
    </cfRule>
  </conditionalFormatting>
  <conditionalFormatting sqref="AQ113:AS114">
    <cfRule type="expression" dxfId="881" priority="197" stopIfTrue="1">
      <formula>$AQ$112&gt;" "</formula>
    </cfRule>
  </conditionalFormatting>
  <conditionalFormatting sqref="AT116:AV117">
    <cfRule type="expression" dxfId="880" priority="196" stopIfTrue="1">
      <formula>$AT$115&gt;" "</formula>
    </cfRule>
  </conditionalFormatting>
  <conditionalFormatting sqref="AT161:AV162">
    <cfRule type="expression" dxfId="879" priority="195" stopIfTrue="1">
      <formula>$AT$160&gt;" "</formula>
    </cfRule>
  </conditionalFormatting>
  <conditionalFormatting sqref="AB140:AD141">
    <cfRule type="expression" dxfId="878" priority="189" stopIfTrue="1">
      <formula>$AB$127&gt;" "</formula>
    </cfRule>
  </conditionalFormatting>
  <conditionalFormatting sqref="AE140:AG141">
    <cfRule type="expression" dxfId="877" priority="188" stopIfTrue="1">
      <formula>$AE$127&gt;" "</formula>
    </cfRule>
  </conditionalFormatting>
  <conditionalFormatting sqref="AH140:AJ141">
    <cfRule type="expression" dxfId="876" priority="187" stopIfTrue="1">
      <formula>$AH$127&gt;" "</formula>
    </cfRule>
  </conditionalFormatting>
  <conditionalFormatting sqref="AK140:AM141">
    <cfRule type="expression" dxfId="875" priority="186" stopIfTrue="1">
      <formula>$AK$127&gt;" "</formula>
    </cfRule>
  </conditionalFormatting>
  <conditionalFormatting sqref="AN140:AP141">
    <cfRule type="expression" dxfId="874" priority="185" stopIfTrue="1">
      <formula>$AN$127&gt;" "</formula>
    </cfRule>
  </conditionalFormatting>
  <conditionalFormatting sqref="AC141">
    <cfRule type="expression" dxfId="873" priority="190" stopIfTrue="1">
      <formula>$AD$127=16</formula>
    </cfRule>
  </conditionalFormatting>
  <conditionalFormatting sqref="AF141">
    <cfRule type="expression" dxfId="872" priority="191" stopIfTrue="1">
      <formula>$AG$127=16</formula>
    </cfRule>
  </conditionalFormatting>
  <conditionalFormatting sqref="AI141">
    <cfRule type="expression" dxfId="871" priority="192" stopIfTrue="1">
      <formula>$AJ$127=16</formula>
    </cfRule>
  </conditionalFormatting>
  <conditionalFormatting sqref="AL141">
    <cfRule type="expression" dxfId="870" priority="193" stopIfTrue="1">
      <formula>$AM$127=16</formula>
    </cfRule>
  </conditionalFormatting>
  <conditionalFormatting sqref="AO141">
    <cfRule type="expression" dxfId="869" priority="194" stopIfTrue="1">
      <formula>$AP$127=16</formula>
    </cfRule>
  </conditionalFormatting>
  <conditionalFormatting sqref="AT140 AV141">
    <cfRule type="expression" dxfId="868" priority="183" stopIfTrue="1">
      <formula>#REF!&gt;" "</formula>
    </cfRule>
  </conditionalFormatting>
  <conditionalFormatting sqref="AU140">
    <cfRule type="expression" dxfId="867" priority="184" stopIfTrue="1">
      <formula>#REF!=24</formula>
    </cfRule>
  </conditionalFormatting>
  <conditionalFormatting sqref="AQ140:AS141">
    <cfRule type="expression" dxfId="866" priority="181" stopIfTrue="1">
      <formula>$AQ$127&gt;" "</formula>
    </cfRule>
  </conditionalFormatting>
  <conditionalFormatting sqref="AR140">
    <cfRule type="expression" dxfId="865" priority="182" stopIfTrue="1">
      <formula>#REF!=24</formula>
    </cfRule>
  </conditionalFormatting>
  <conditionalFormatting sqref="AB143:AD144">
    <cfRule type="expression" dxfId="864" priority="175" stopIfTrue="1">
      <formula>$AB$127&gt;" "</formula>
    </cfRule>
  </conditionalFormatting>
  <conditionalFormatting sqref="AE143:AG144">
    <cfRule type="expression" dxfId="863" priority="174" stopIfTrue="1">
      <formula>$AE$127&gt;" "</formula>
    </cfRule>
  </conditionalFormatting>
  <conditionalFormatting sqref="AH143:AJ144">
    <cfRule type="expression" dxfId="862" priority="173" stopIfTrue="1">
      <formula>$AH$127&gt;" "</formula>
    </cfRule>
  </conditionalFormatting>
  <conditionalFormatting sqref="AK143:AM144">
    <cfRule type="expression" dxfId="861" priority="172" stopIfTrue="1">
      <formula>$AK$127&gt;" "</formula>
    </cfRule>
  </conditionalFormatting>
  <conditionalFormatting sqref="AN143:AP144">
    <cfRule type="expression" dxfId="860" priority="171" stopIfTrue="1">
      <formula>$AN$127&gt;" "</formula>
    </cfRule>
  </conditionalFormatting>
  <conditionalFormatting sqref="AC144">
    <cfRule type="expression" dxfId="859" priority="176" stopIfTrue="1">
      <formula>$AD$127=16</formula>
    </cfRule>
  </conditionalFormatting>
  <conditionalFormatting sqref="AF144">
    <cfRule type="expression" dxfId="858" priority="177" stopIfTrue="1">
      <formula>$AG$127=16</formula>
    </cfRule>
  </conditionalFormatting>
  <conditionalFormatting sqref="AI144">
    <cfRule type="expression" dxfId="857" priority="178" stopIfTrue="1">
      <formula>$AJ$127=16</formula>
    </cfRule>
  </conditionalFormatting>
  <conditionalFormatting sqref="AL144">
    <cfRule type="expression" dxfId="856" priority="179" stopIfTrue="1">
      <formula>$AM$127=16</formula>
    </cfRule>
  </conditionalFormatting>
  <conditionalFormatting sqref="AO144">
    <cfRule type="expression" dxfId="855" priority="180" stopIfTrue="1">
      <formula>$AP$127=16</formula>
    </cfRule>
  </conditionalFormatting>
  <conditionalFormatting sqref="AT143 AV144">
    <cfRule type="expression" dxfId="854" priority="169" stopIfTrue="1">
      <formula>#REF!&gt;" "</formula>
    </cfRule>
  </conditionalFormatting>
  <conditionalFormatting sqref="AU143">
    <cfRule type="expression" dxfId="853" priority="170" stopIfTrue="1">
      <formula>#REF!=24</formula>
    </cfRule>
  </conditionalFormatting>
  <conditionalFormatting sqref="AQ143:AS144">
    <cfRule type="expression" dxfId="852" priority="167" stopIfTrue="1">
      <formula>$AQ$127&gt;" "</formula>
    </cfRule>
  </conditionalFormatting>
  <conditionalFormatting sqref="AR143">
    <cfRule type="expression" dxfId="851" priority="168" stopIfTrue="1">
      <formula>#REF!=24</formula>
    </cfRule>
  </conditionalFormatting>
  <conditionalFormatting sqref="AB146:AD147">
    <cfRule type="expression" dxfId="850" priority="161" stopIfTrue="1">
      <formula>$AB$127&gt;" "</formula>
    </cfRule>
  </conditionalFormatting>
  <conditionalFormatting sqref="AE146:AG147">
    <cfRule type="expression" dxfId="849" priority="160" stopIfTrue="1">
      <formula>$AE$127&gt;" "</formula>
    </cfRule>
  </conditionalFormatting>
  <conditionalFormatting sqref="AH146:AJ147">
    <cfRule type="expression" dxfId="848" priority="159" stopIfTrue="1">
      <formula>$AH$127&gt;" "</formula>
    </cfRule>
  </conditionalFormatting>
  <conditionalFormatting sqref="AK146:AM147">
    <cfRule type="expression" dxfId="847" priority="158" stopIfTrue="1">
      <formula>$AK$127&gt;" "</formula>
    </cfRule>
  </conditionalFormatting>
  <conditionalFormatting sqref="AN146:AP147">
    <cfRule type="expression" dxfId="846" priority="157" stopIfTrue="1">
      <formula>$AN$127&gt;" "</formula>
    </cfRule>
  </conditionalFormatting>
  <conditionalFormatting sqref="AC147">
    <cfRule type="expression" dxfId="845" priority="162" stopIfTrue="1">
      <formula>$AD$127=16</formula>
    </cfRule>
  </conditionalFormatting>
  <conditionalFormatting sqref="AF147">
    <cfRule type="expression" dxfId="844" priority="163" stopIfTrue="1">
      <formula>$AG$127=16</formula>
    </cfRule>
  </conditionalFormatting>
  <conditionalFormatting sqref="AI147">
    <cfRule type="expression" dxfId="843" priority="164" stopIfTrue="1">
      <formula>$AJ$127=16</formula>
    </cfRule>
  </conditionalFormatting>
  <conditionalFormatting sqref="AL147">
    <cfRule type="expression" dxfId="842" priority="165" stopIfTrue="1">
      <formula>$AM$127=16</formula>
    </cfRule>
  </conditionalFormatting>
  <conditionalFormatting sqref="AO147">
    <cfRule type="expression" dxfId="841" priority="166" stopIfTrue="1">
      <formula>$AP$127=16</formula>
    </cfRule>
  </conditionalFormatting>
  <conditionalFormatting sqref="AT146 AV147">
    <cfRule type="expression" dxfId="840" priority="155" stopIfTrue="1">
      <formula>#REF!&gt;" "</formula>
    </cfRule>
  </conditionalFormatting>
  <conditionalFormatting sqref="AU146">
    <cfRule type="expression" dxfId="839" priority="156" stopIfTrue="1">
      <formula>#REF!=24</formula>
    </cfRule>
  </conditionalFormatting>
  <conditionalFormatting sqref="AQ146:AS147">
    <cfRule type="expression" dxfId="838" priority="153" stopIfTrue="1">
      <formula>$AQ$127&gt;" "</formula>
    </cfRule>
  </conditionalFormatting>
  <conditionalFormatting sqref="AR146">
    <cfRule type="expression" dxfId="837" priority="154" stopIfTrue="1">
      <formula>#REF!=24</formula>
    </cfRule>
  </conditionalFormatting>
  <conditionalFormatting sqref="AB149:AD150">
    <cfRule type="expression" dxfId="836" priority="133" stopIfTrue="1">
      <formula>$AB$127&gt;" "</formula>
    </cfRule>
  </conditionalFormatting>
  <conditionalFormatting sqref="AE149:AG150">
    <cfRule type="expression" dxfId="835" priority="132" stopIfTrue="1">
      <formula>$AE$127&gt;" "</formula>
    </cfRule>
  </conditionalFormatting>
  <conditionalFormatting sqref="AH149:AJ150">
    <cfRule type="expression" dxfId="834" priority="131" stopIfTrue="1">
      <formula>$AH$127&gt;" "</formula>
    </cfRule>
  </conditionalFormatting>
  <conditionalFormatting sqref="AK149:AM150">
    <cfRule type="expression" dxfId="833" priority="130" stopIfTrue="1">
      <formula>$AK$127&gt;" "</formula>
    </cfRule>
  </conditionalFormatting>
  <conditionalFormatting sqref="AN149:AP150">
    <cfRule type="expression" dxfId="832" priority="129" stopIfTrue="1">
      <formula>$AN$127&gt;" "</formula>
    </cfRule>
  </conditionalFormatting>
  <conditionalFormatting sqref="AC150">
    <cfRule type="expression" dxfId="831" priority="134" stopIfTrue="1">
      <formula>$AD$127=16</formula>
    </cfRule>
  </conditionalFormatting>
  <conditionalFormatting sqref="AF150">
    <cfRule type="expression" dxfId="830" priority="135" stopIfTrue="1">
      <formula>$AG$127=16</formula>
    </cfRule>
  </conditionalFormatting>
  <conditionalFormatting sqref="AI150">
    <cfRule type="expression" dxfId="829" priority="136" stopIfTrue="1">
      <formula>$AJ$127=16</formula>
    </cfRule>
  </conditionalFormatting>
  <conditionalFormatting sqref="AL150">
    <cfRule type="expression" dxfId="828" priority="137" stopIfTrue="1">
      <formula>$AM$127=16</formula>
    </cfRule>
  </conditionalFormatting>
  <conditionalFormatting sqref="AO150">
    <cfRule type="expression" dxfId="827" priority="138" stopIfTrue="1">
      <formula>$AP$127=16</formula>
    </cfRule>
  </conditionalFormatting>
  <conditionalFormatting sqref="AT149 AV150">
    <cfRule type="expression" dxfId="826" priority="127" stopIfTrue="1">
      <formula>#REF!&gt;" "</formula>
    </cfRule>
  </conditionalFormatting>
  <conditionalFormatting sqref="AU149">
    <cfRule type="expression" dxfId="825" priority="128" stopIfTrue="1">
      <formula>#REF!=24</formula>
    </cfRule>
  </conditionalFormatting>
  <conditionalFormatting sqref="AQ149:AS150">
    <cfRule type="expression" dxfId="824" priority="125" stopIfTrue="1">
      <formula>$AQ$127&gt;" "</formula>
    </cfRule>
  </conditionalFormatting>
  <conditionalFormatting sqref="AR149">
    <cfRule type="expression" dxfId="823" priority="126" stopIfTrue="1">
      <formula>#REF!=24</formula>
    </cfRule>
  </conditionalFormatting>
  <conditionalFormatting sqref="AB167:AD168">
    <cfRule type="expression" dxfId="822" priority="35" stopIfTrue="1">
      <formula>$AB$163&gt;" "</formula>
    </cfRule>
  </conditionalFormatting>
  <conditionalFormatting sqref="AB170:AD171">
    <cfRule type="expression" dxfId="821" priority="27" stopIfTrue="1">
      <formula>$AB$163&gt;" "</formula>
    </cfRule>
  </conditionalFormatting>
  <conditionalFormatting sqref="AB173:AD174">
    <cfRule type="expression" dxfId="820" priority="19" stopIfTrue="1">
      <formula>$AB$163&gt;" "</formula>
    </cfRule>
  </conditionalFormatting>
  <conditionalFormatting sqref="AB176:AD177">
    <cfRule type="expression" dxfId="819" priority="3" stopIfTrue="1">
      <formula>$AB$163&gt;" "</formula>
    </cfRule>
  </conditionalFormatting>
  <pageMargins left="0.25" right="0.25" top="0.5" bottom="0.5" header="0.5" footer="0.5"/>
  <pageSetup scale="57" orientation="landscape" r:id="rId1"/>
  <headerFooter alignWithMargins="0"/>
  <rowBreaks count="1" manualBreakCount="1">
    <brk id="18" max="16383" man="1"/>
  </rowBreaks>
  <colBreaks count="1" manualBreakCount="1">
    <brk id="14" max="1048575" man="1"/>
  </colBreaks>
  <cellWatches>
    <cellWatch r="AC85"/>
  </cellWatches>
  <ignoredErrors>
    <ignoredError sqref="K4" formula="1"/>
  </ignoredErrors>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filterMode="1">
    <pageSetUpPr autoPageBreaks="0" fitToPage="1"/>
  </sheetPr>
  <dimension ref="A1:CO888"/>
  <sheetViews>
    <sheetView showZeros="0" topLeftCell="D22" zoomScale="50" zoomScaleNormal="50" workbookViewId="0">
      <selection activeCell="AF119" sqref="AF119"/>
    </sheetView>
  </sheetViews>
  <sheetFormatPr defaultColWidth="11.42578125" defaultRowHeight="15" x14ac:dyDescent="0.2"/>
  <cols>
    <col min="1" max="1" width="23.28515625" style="17" customWidth="1"/>
    <col min="2" max="8" width="20.7109375" style="17" customWidth="1"/>
    <col min="9" max="9" width="1" style="17" hidden="1" customWidth="1"/>
    <col min="10" max="10" width="5.42578125" style="17" customWidth="1"/>
    <col min="11" max="11" width="16.42578125" style="17" customWidth="1"/>
    <col min="12" max="12" width="11.28515625" style="17" customWidth="1"/>
    <col min="13" max="13" width="8.85546875" style="17" customWidth="1"/>
    <col min="14" max="14" width="11.42578125" style="17" customWidth="1"/>
    <col min="15" max="15" width="13.7109375" style="17" customWidth="1"/>
    <col min="16" max="16" width="11.42578125" style="17" customWidth="1"/>
    <col min="17" max="17" width="6.7109375" style="17" customWidth="1"/>
    <col min="18" max="18" width="8.85546875" style="17" customWidth="1"/>
    <col min="19" max="19" width="25.42578125" style="17" customWidth="1"/>
    <col min="20" max="20" width="6.140625" style="17" customWidth="1"/>
    <col min="21" max="21" width="7.7109375" style="17" customWidth="1"/>
    <col min="22" max="22" width="11.42578125" style="17" customWidth="1"/>
    <col min="23" max="23" width="11.140625" style="17" customWidth="1"/>
    <col min="24" max="25" width="11.42578125" style="17" customWidth="1"/>
    <col min="26" max="26" width="9.140625" style="17" customWidth="1"/>
    <col min="27" max="27" width="11.7109375" style="17" customWidth="1"/>
    <col min="28" max="30" width="8.7109375" style="17" customWidth="1"/>
    <col min="31" max="31" width="23.85546875" style="17" customWidth="1"/>
    <col min="32" max="34" width="8.7109375" style="17" customWidth="1"/>
    <col min="35" max="35" width="8.7109375" style="430" customWidth="1"/>
    <col min="36" max="37" width="8.7109375" style="17" customWidth="1"/>
    <col min="38" max="38" width="8.7109375" style="440" customWidth="1"/>
    <col min="39" max="40" width="8.7109375" style="17" customWidth="1"/>
    <col min="41" max="41" width="8.7109375" style="430" customWidth="1"/>
    <col min="42" max="43" width="8.7109375" style="17" customWidth="1"/>
    <col min="44" max="44" width="8.7109375" style="430" customWidth="1"/>
    <col min="45" max="46" width="8.7109375" style="17" customWidth="1"/>
    <col min="47" max="47" width="8.7109375" style="430" customWidth="1"/>
    <col min="48" max="48" width="8.7109375" style="17" customWidth="1"/>
    <col min="49" max="59" width="11.42578125" style="17" customWidth="1"/>
    <col min="60" max="61" width="1.7109375" style="17" customWidth="1"/>
    <col min="62" max="62" width="11.42578125" style="17" customWidth="1"/>
    <col min="63" max="64" width="1.7109375" style="17" customWidth="1"/>
    <col min="65" max="65" width="11.42578125" style="17" customWidth="1"/>
    <col min="66" max="67" width="1.7109375" style="17" customWidth="1"/>
    <col min="68" max="68" width="11.42578125" style="17" customWidth="1"/>
    <col min="69" max="70" width="1.7109375" style="17" customWidth="1"/>
    <col min="71" max="71" width="11.42578125" style="17" customWidth="1"/>
    <col min="72" max="73" width="1.7109375" style="17" customWidth="1"/>
    <col min="74" max="74" width="11.42578125" style="17" customWidth="1"/>
    <col min="75" max="76" width="1.7109375" style="17" customWidth="1"/>
    <col min="77" max="16384" width="11.42578125" style="17"/>
  </cols>
  <sheetData>
    <row r="1" spans="1:51" ht="15" customHeight="1" x14ac:dyDescent="0.2">
      <c r="A1" s="68"/>
      <c r="B1" s="69">
        <f>Schedule!F11</f>
        <v>42427</v>
      </c>
      <c r="C1" s="70">
        <f t="shared" ref="C1:H2" si="0">B1+1</f>
        <v>42428</v>
      </c>
      <c r="D1" s="70">
        <f t="shared" si="0"/>
        <v>42429</v>
      </c>
      <c r="E1" s="70">
        <f t="shared" si="0"/>
        <v>42430</v>
      </c>
      <c r="F1" s="70">
        <f t="shared" si="0"/>
        <v>42431</v>
      </c>
      <c r="G1" s="70">
        <f t="shared" si="0"/>
        <v>42432</v>
      </c>
      <c r="H1" s="70">
        <f t="shared" si="0"/>
        <v>42433</v>
      </c>
      <c r="I1" s="16"/>
      <c r="J1" s="91"/>
      <c r="K1" s="91"/>
      <c r="L1" s="91"/>
      <c r="M1" s="91"/>
      <c r="N1" s="91"/>
      <c r="O1" s="91"/>
      <c r="P1" s="91"/>
      <c r="Q1" s="91"/>
      <c r="R1" s="91"/>
      <c r="S1" s="91"/>
      <c r="Z1" s="310"/>
      <c r="AA1" s="310"/>
      <c r="AB1" s="310"/>
      <c r="AC1" s="310"/>
      <c r="AD1" s="310"/>
      <c r="AE1" s="310"/>
      <c r="AF1" s="310"/>
      <c r="AG1" s="310"/>
      <c r="AH1" s="310"/>
      <c r="AI1" s="429"/>
      <c r="AJ1" s="310"/>
      <c r="AK1" s="310"/>
      <c r="AL1" s="439"/>
      <c r="AM1" s="310"/>
      <c r="AN1" s="310"/>
      <c r="AO1" s="429"/>
      <c r="AP1" s="310"/>
      <c r="AQ1" s="310"/>
      <c r="AR1" s="429"/>
      <c r="AS1" s="310"/>
      <c r="AT1" s="310"/>
      <c r="AU1" s="429"/>
      <c r="AV1" s="310"/>
    </row>
    <row r="2" spans="1:51" ht="15" customHeight="1" thickBot="1" x14ac:dyDescent="0.25">
      <c r="A2" s="68"/>
      <c r="B2" s="148">
        <f>Schedule!F12</f>
        <v>42427</v>
      </c>
      <c r="C2" s="148">
        <f t="shared" si="0"/>
        <v>42428</v>
      </c>
      <c r="D2" s="148">
        <f t="shared" si="0"/>
        <v>42429</v>
      </c>
      <c r="E2" s="148">
        <f t="shared" si="0"/>
        <v>42430</v>
      </c>
      <c r="F2" s="148">
        <f t="shared" si="0"/>
        <v>42431</v>
      </c>
      <c r="G2" s="148">
        <f t="shared" si="0"/>
        <v>42432</v>
      </c>
      <c r="H2" s="148">
        <f t="shared" si="0"/>
        <v>42433</v>
      </c>
      <c r="I2" s="18"/>
      <c r="J2" s="91"/>
      <c r="K2" s="91"/>
      <c r="L2" s="91"/>
      <c r="M2" s="780"/>
      <c r="N2" s="91"/>
      <c r="O2" s="91"/>
      <c r="P2" s="91"/>
      <c r="Q2" s="91"/>
      <c r="R2" s="91"/>
      <c r="S2" s="91"/>
      <c r="Z2" s="310"/>
      <c r="AA2" s="310"/>
      <c r="AB2" s="310"/>
      <c r="AC2" s="310"/>
      <c r="AD2" s="310"/>
      <c r="AE2" s="310"/>
      <c r="AF2" s="310"/>
      <c r="AG2" s="310"/>
      <c r="AH2" s="310"/>
      <c r="AI2" s="310"/>
      <c r="AJ2" s="310"/>
      <c r="AK2" s="310"/>
      <c r="AL2" s="310"/>
      <c r="AM2" s="310"/>
      <c r="AN2" s="310"/>
      <c r="AO2" s="310"/>
      <c r="AP2" s="310"/>
      <c r="AQ2" s="310"/>
      <c r="AR2" s="310"/>
      <c r="AS2" s="310"/>
      <c r="AT2" s="310"/>
      <c r="AU2" s="310"/>
      <c r="AV2" s="310"/>
      <c r="AW2" s="310"/>
      <c r="AX2" s="310"/>
      <c r="AY2" s="310"/>
    </row>
    <row r="3" spans="1:51" ht="15" customHeight="1" x14ac:dyDescent="0.2">
      <c r="A3" s="71"/>
      <c r="B3" s="30" t="str">
        <f>IF(OR(Schedule!F14="OT*",Schedule!F14=3,Schedule!F14="3NV",Schedule!F14="OTV",Schedule!F14="OTNV",Schedule!F14="OT",Schedule!F14="3V",Schedule!F14="*OTBT",Schedule!F14="*OTET")," ",Schedule!F14)</f>
        <v xml:space="preserve"> </v>
      </c>
      <c r="C3" s="30" t="str">
        <f>IF(OR(Schedule!G14="OT*",Schedule!G14=3,Schedule!G14="3NV",Schedule!G14="OTV",Schedule!G14="OTNV",Schedule!G14="OT",Schedule!G14="3V",Schedule!G14="*OTBT",Schedule!G14="*OTET")," ",Schedule!G14)</f>
        <v xml:space="preserve"> </v>
      </c>
      <c r="D3" s="30" t="str">
        <f>IF(OR(Schedule!H14="OT*",Schedule!H14=3,Schedule!H14="3NV",Schedule!H14="OTV",Schedule!H14="OTNV",Schedule!H14="OT",Schedule!H14="3V",Schedule!H14="*OTBT",Schedule!H14="*OTET")," ",Schedule!H14)</f>
        <v xml:space="preserve"> </v>
      </c>
      <c r="E3" s="30" t="str">
        <f>IF(OR(Schedule!I14="OT*",Schedule!I14=3,Schedule!I14="3NV",Schedule!I14="OTV",Schedule!I14="OTNV",Schedule!I14="OT",Schedule!I14="3V",Schedule!I14="*OTBT",Schedule!I14="*OTET")," ",Schedule!I14)</f>
        <v>NS</v>
      </c>
      <c r="F3" s="30" t="str">
        <f>IF(OR(Schedule!J14="OT*",Schedule!J14=3,Schedule!J14="3NV",Schedule!J14="OTV",Schedule!J14="OTNV",Schedule!J14="OT",Schedule!J14="3V",Schedule!J14="*OTBT",Schedule!J14="*OTET")," ",Schedule!J14)</f>
        <v xml:space="preserve"> </v>
      </c>
      <c r="G3" s="30" t="str">
        <f>IF(OR(Schedule!K14="OT*",Schedule!K14=3,Schedule!K14="3NV",Schedule!K14="OTV",Schedule!K14="OTNV",Schedule!K14="OT",Schedule!K14="3V",Schedule!K14="*OTBT",Schedule!K14="*OTET")," ",Schedule!K14)</f>
        <v xml:space="preserve"> </v>
      </c>
      <c r="H3" s="30" t="str">
        <f>IF(OR(Schedule!L14="OT*",Schedule!L14=3,Schedule!L14="3NV",Schedule!L14="OTV",Schedule!L14="OTNV",Schedule!L14="OT",Schedule!L14="3V",Schedule!L14="*OTBT",Schedule!L14="*OTET")," ",Schedule!L14)</f>
        <v xml:space="preserve"> </v>
      </c>
      <c r="I3" s="19"/>
      <c r="J3"/>
      <c r="K3"/>
      <c r="L3" s="91"/>
      <c r="M3" s="781" t="str">
        <f>IF(A4=" "," ",".")</f>
        <v>.</v>
      </c>
      <c r="N3" s="92"/>
      <c r="O3" s="92"/>
      <c r="P3" s="92"/>
      <c r="Q3" s="92"/>
      <c r="R3" s="91"/>
      <c r="S3" s="91"/>
      <c r="Z3" s="310"/>
      <c r="AA3" s="310"/>
      <c r="AB3" s="310"/>
      <c r="AC3" s="310"/>
      <c r="AD3" s="310"/>
      <c r="AE3" s="310"/>
      <c r="AF3" s="310"/>
      <c r="AG3" s="310"/>
      <c r="AH3" s="310"/>
      <c r="AI3" s="310"/>
      <c r="AJ3" s="310"/>
      <c r="AK3" s="310"/>
      <c r="AL3" s="310"/>
      <c r="AM3" s="310"/>
      <c r="AN3" s="310"/>
      <c r="AO3" s="310"/>
      <c r="AP3" s="310"/>
      <c r="AQ3" s="310"/>
      <c r="AR3" s="310"/>
      <c r="AS3" s="310"/>
      <c r="AT3" s="310"/>
      <c r="AU3" s="310"/>
      <c r="AV3" s="310"/>
      <c r="AW3" s="310"/>
      <c r="AX3" s="310"/>
      <c r="AY3" s="310"/>
    </row>
    <row r="4" spans="1:51" ht="15" customHeight="1" x14ac:dyDescent="0.25">
      <c r="A4" s="72" t="str">
        <f>'Master List'!C4</f>
        <v>V. VARKEY</v>
      </c>
      <c r="B4" s="27" t="str">
        <f>AF117</f>
        <v>DBCS</v>
      </c>
      <c r="C4" s="27" t="str">
        <f>AI117</f>
        <v>DBCS</v>
      </c>
      <c r="D4" s="27" t="str">
        <f>AL117</f>
        <v>DBCS</v>
      </c>
      <c r="E4" s="27" t="str">
        <f>AO117</f>
        <v xml:space="preserve"> </v>
      </c>
      <c r="F4" s="27" t="str">
        <f>AR117</f>
        <v>DBCS</v>
      </c>
      <c r="G4" s="27" t="str">
        <f>AU117</f>
        <v>DBCS</v>
      </c>
      <c r="H4" s="27" t="str">
        <f>AX117</f>
        <v>DBCS</v>
      </c>
      <c r="I4" s="20"/>
      <c r="J4"/>
      <c r="K4"/>
      <c r="L4" s="91"/>
      <c r="M4" s="781" t="str">
        <f>IF(A4=" "," ",".")</f>
        <v>.</v>
      </c>
      <c r="N4" s="92"/>
      <c r="O4" s="92"/>
      <c r="P4" s="92"/>
      <c r="Q4" s="92"/>
      <c r="R4" s="91"/>
      <c r="S4" s="91"/>
      <c r="Z4" s="310"/>
      <c r="AA4" s="310"/>
      <c r="AB4" s="310"/>
      <c r="AC4" s="310"/>
      <c r="AD4" s="310"/>
      <c r="AE4" s="310"/>
      <c r="AF4" s="310"/>
      <c r="AG4" s="310"/>
      <c r="AH4" s="310"/>
      <c r="AI4" s="310"/>
      <c r="AJ4" s="310"/>
      <c r="AK4" s="310"/>
      <c r="AL4" s="310"/>
      <c r="AM4" s="310"/>
      <c r="AN4" s="310"/>
      <c r="AO4" s="310"/>
      <c r="AP4" s="310"/>
      <c r="AQ4" s="310"/>
      <c r="AR4" s="310"/>
      <c r="AS4" s="310"/>
      <c r="AT4" s="310"/>
      <c r="AU4" s="310"/>
      <c r="AV4" s="310"/>
      <c r="AW4" s="310"/>
      <c r="AX4" s="310"/>
      <c r="AY4" s="310"/>
    </row>
    <row r="5" spans="1:51" ht="15" customHeight="1" x14ac:dyDescent="0.25">
      <c r="A5" s="72"/>
      <c r="B5" s="27" t="str">
        <f>AF118</f>
        <v>ECBM ROUTES</v>
      </c>
      <c r="C5" s="27" t="str">
        <f>AI118</f>
        <v>ECBM ROUTES</v>
      </c>
      <c r="D5" s="27" t="str">
        <f>AL118</f>
        <v>ECBM ROUTES</v>
      </c>
      <c r="E5" s="27" t="str">
        <f>AO118</f>
        <v/>
      </c>
      <c r="F5" s="27" t="str">
        <f>AR118</f>
        <v>SORT PLAN/GAP</v>
      </c>
      <c r="G5" s="27" t="str">
        <f>AU118</f>
        <v>DB6/Test Deck</v>
      </c>
      <c r="H5" s="27" t="str">
        <f>AX118</f>
        <v>DB6/Test Deck</v>
      </c>
      <c r="I5" s="20"/>
      <c r="J5"/>
      <c r="K5"/>
      <c r="L5" s="91"/>
      <c r="M5" s="781" t="str">
        <f>IF(A4=" "," ",".")</f>
        <v>.</v>
      </c>
      <c r="N5" s="92"/>
      <c r="O5" s="92"/>
      <c r="P5" s="92"/>
      <c r="Q5" s="92"/>
      <c r="R5" s="91"/>
      <c r="S5" s="91"/>
      <c r="Z5" s="310"/>
      <c r="AA5" s="310"/>
      <c r="AB5" s="310"/>
      <c r="AC5" s="310"/>
      <c r="AD5" s="310"/>
      <c r="AE5" s="310"/>
      <c r="AF5" s="310"/>
      <c r="AG5" s="310"/>
      <c r="AH5" s="310"/>
      <c r="AI5" s="310"/>
      <c r="AJ5" s="310"/>
      <c r="AK5" s="310"/>
      <c r="AL5" s="310"/>
      <c r="AM5" s="310"/>
      <c r="AN5" s="310"/>
      <c r="AO5" s="310"/>
      <c r="AP5" s="310"/>
      <c r="AQ5" s="310"/>
      <c r="AR5" s="310"/>
      <c r="AS5" s="310"/>
      <c r="AT5" s="310"/>
      <c r="AU5" s="310"/>
      <c r="AV5" s="310"/>
      <c r="AW5" s="310"/>
      <c r="AX5" s="310"/>
      <c r="AY5" s="310"/>
    </row>
    <row r="6" spans="1:51" ht="15" customHeight="1" thickBot="1" x14ac:dyDescent="0.25">
      <c r="A6" s="73"/>
      <c r="B6" s="74"/>
      <c r="C6" s="74"/>
      <c r="D6" s="74"/>
      <c r="E6" s="74"/>
      <c r="F6" s="74"/>
      <c r="G6" s="74"/>
      <c r="H6" s="74"/>
      <c r="I6" s="21"/>
      <c r="J6"/>
      <c r="K6"/>
      <c r="L6" s="91"/>
      <c r="M6" s="781" t="str">
        <f>IF(A4=" "," ",".")</f>
        <v>.</v>
      </c>
      <c r="N6" s="92"/>
      <c r="O6" s="92"/>
      <c r="P6" s="92"/>
      <c r="Q6" s="92"/>
      <c r="R6" s="91"/>
      <c r="S6" s="91"/>
      <c r="Z6" s="310"/>
      <c r="AA6" s="310"/>
      <c r="AB6" s="310"/>
      <c r="AC6" s="310"/>
      <c r="AD6" s="310"/>
      <c r="AE6" s="310"/>
      <c r="AF6" s="310"/>
      <c r="AG6" s="310"/>
      <c r="AH6" s="310"/>
      <c r="AI6" s="310"/>
      <c r="AJ6" s="310"/>
      <c r="AK6" s="310"/>
      <c r="AL6" s="310"/>
      <c r="AM6" s="310"/>
      <c r="AN6" s="310"/>
      <c r="AO6" s="310"/>
      <c r="AP6" s="310"/>
      <c r="AQ6" s="310"/>
      <c r="AR6" s="310"/>
      <c r="AS6" s="310"/>
      <c r="AT6" s="310"/>
      <c r="AU6" s="310"/>
      <c r="AV6" s="310"/>
      <c r="AW6" s="310"/>
      <c r="AX6" s="310"/>
      <c r="AY6" s="310"/>
    </row>
    <row r="7" spans="1:51" ht="15" customHeight="1" x14ac:dyDescent="0.2">
      <c r="A7" s="75"/>
      <c r="B7" s="30" t="str">
        <f>IF(OR(Schedule!F15="OT*",Schedule!F15=3,Schedule!F15="3NV",Schedule!F15="OTV",Schedule!F15="OTNV",Schedule!F15="OT",Schedule!F15="3V",Schedule!F15="*OTBT",Schedule!F15="*OTET")," ",Schedule!F15)</f>
        <v>NS</v>
      </c>
      <c r="C7" s="30" t="str">
        <f>IF(OR(Schedule!G15="OT*",Schedule!G15=3,Schedule!G15="3NV",Schedule!G15="OTV",Schedule!G15="OTNV",Schedule!G15="OT",Schedule!G15="3V",Schedule!G15="*OTBT",Schedule!G15="*OTET")," ",Schedule!G15)</f>
        <v>NS</v>
      </c>
      <c r="D7" s="30" t="str">
        <f>IF(OR(Schedule!H15="OT*",Schedule!H15=3,Schedule!H15="3NV",Schedule!H15="OTV",Schedule!H15="OTNV",Schedule!H15="OT",Schedule!H15="3V",Schedule!H15="*OTBT",Schedule!H15="*OTET")," ",Schedule!H15)</f>
        <v xml:space="preserve"> </v>
      </c>
      <c r="E7" s="30" t="str">
        <f>IF(OR(Schedule!I15="OT*",Schedule!I15=3,Schedule!I15="3NV",Schedule!I15="OTV",Schedule!I15="OTNV",Schedule!I15="OT",Schedule!I15="3V",Schedule!I15="*OTBT",Schedule!I15="*OTET")," ",Schedule!I15)</f>
        <v xml:space="preserve"> </v>
      </c>
      <c r="F7" s="30" t="str">
        <f>IF(OR(Schedule!J15="OT*",Schedule!J15=3,Schedule!J15="3NV",Schedule!J15="OTV",Schedule!J15="OTNV",Schedule!J15="OT",Schedule!J15="3V",Schedule!J15="*OTBT",Schedule!J15="*OTET")," ",Schedule!J15)</f>
        <v xml:space="preserve"> </v>
      </c>
      <c r="G7" s="30" t="str">
        <f>IF(OR(Schedule!K15="OT*",Schedule!K15=3,Schedule!K15="3NV",Schedule!K15="OTV",Schedule!K15="OTNV",Schedule!K15="OT",Schedule!K15="3V",Schedule!K15="*OTBT",Schedule!K15="*OTET")," ",Schedule!K15)</f>
        <v xml:space="preserve"> </v>
      </c>
      <c r="H7" s="30" t="str">
        <f>IF(OR(Schedule!L15="OT*",Schedule!L15=3,Schedule!L15="3NV",Schedule!L15="OTV",Schedule!L15="OTNV",Schedule!L15="OT",Schedule!L15="3V",Schedule!L15="*OTBT",Schedule!L15="*OTET")," ",Schedule!L15)</f>
        <v xml:space="preserve"> </v>
      </c>
      <c r="I7" s="19"/>
      <c r="J7"/>
      <c r="K7"/>
      <c r="L7" s="91"/>
      <c r="M7" s="781" t="str">
        <f>IF(A8=" "," ",".")</f>
        <v>.</v>
      </c>
      <c r="N7" s="92"/>
      <c r="O7" s="92"/>
      <c r="P7" s="92"/>
      <c r="Q7" s="92"/>
      <c r="R7" s="91"/>
      <c r="S7" s="91"/>
      <c r="Z7" s="310"/>
      <c r="AA7" s="310"/>
      <c r="AB7" s="310"/>
      <c r="AC7" s="310"/>
      <c r="AD7" s="310"/>
      <c r="AE7" s="310"/>
      <c r="AF7" s="310"/>
      <c r="AG7" s="310"/>
      <c r="AH7" s="310"/>
      <c r="AI7" s="310"/>
      <c r="AJ7" s="310"/>
      <c r="AK7" s="310"/>
      <c r="AL7" s="310"/>
      <c r="AM7" s="310"/>
      <c r="AN7" s="310"/>
      <c r="AO7" s="310"/>
      <c r="AP7" s="310"/>
      <c r="AQ7" s="310"/>
      <c r="AR7" s="310"/>
      <c r="AS7" s="310"/>
      <c r="AT7" s="310"/>
      <c r="AU7" s="310"/>
      <c r="AV7" s="310"/>
      <c r="AW7" s="310"/>
      <c r="AX7" s="310"/>
      <c r="AY7" s="310"/>
    </row>
    <row r="8" spans="1:51" ht="18" customHeight="1" x14ac:dyDescent="0.25">
      <c r="A8" s="72" t="str">
        <f>'Master List'!C5</f>
        <v>L. TURNER</v>
      </c>
      <c r="B8" s="27" t="str">
        <f>AF120</f>
        <v xml:space="preserve"> </v>
      </c>
      <c r="C8" s="27" t="str">
        <f>AI120</f>
        <v xml:space="preserve"> </v>
      </c>
      <c r="D8" s="27" t="str">
        <f>AL120</f>
        <v>AFCS</v>
      </c>
      <c r="E8" s="27" t="str">
        <f>AO120</f>
        <v>AFCS</v>
      </c>
      <c r="F8" s="27" t="str">
        <f>AR120</f>
        <v>AFCS</v>
      </c>
      <c r="G8" s="27" t="str">
        <f>AU120</f>
        <v>AFCS</v>
      </c>
      <c r="H8" s="27" t="str">
        <f>AX120</f>
        <v>AFCS</v>
      </c>
      <c r="I8" s="20"/>
      <c r="J8"/>
      <c r="K8"/>
      <c r="L8" s="91"/>
      <c r="M8" s="781" t="str">
        <f>IF(A8=" "," ",".")</f>
        <v>.</v>
      </c>
      <c r="N8" s="92"/>
      <c r="O8" s="92"/>
      <c r="P8" s="92"/>
      <c r="Q8" s="92"/>
      <c r="R8" s="91"/>
      <c r="S8" s="91"/>
      <c r="Z8" s="310"/>
      <c r="AA8" s="310"/>
      <c r="AB8" s="310"/>
      <c r="AC8" s="310"/>
      <c r="AD8" s="310"/>
      <c r="AE8" s="310"/>
      <c r="AF8" s="310"/>
      <c r="AG8" s="310"/>
      <c r="AH8" s="310"/>
      <c r="AI8" s="310"/>
      <c r="AJ8" s="310"/>
      <c r="AK8" s="310"/>
      <c r="AL8" s="310"/>
      <c r="AM8" s="310"/>
      <c r="AN8" s="310"/>
      <c r="AO8" s="310"/>
      <c r="AP8" s="310"/>
      <c r="AQ8" s="310"/>
      <c r="AR8" s="310"/>
      <c r="AS8" s="310"/>
      <c r="AT8" s="310"/>
      <c r="AU8" s="310"/>
      <c r="AV8" s="310"/>
      <c r="AW8" s="310"/>
      <c r="AX8" s="310"/>
      <c r="AY8" s="310"/>
    </row>
    <row r="9" spans="1:51" ht="18" customHeight="1" x14ac:dyDescent="0.25">
      <c r="A9" s="72"/>
      <c r="B9" s="27" t="str">
        <f>AF121</f>
        <v/>
      </c>
      <c r="C9" s="27" t="str">
        <f>AI121</f>
        <v/>
      </c>
      <c r="D9" s="27" t="str">
        <f>AL121</f>
        <v>CARS/PARS/IPSS</v>
      </c>
      <c r="E9" s="27" t="str">
        <f>AO121</f>
        <v>CARS/PARS/IPSS</v>
      </c>
      <c r="F9" s="27" t="str">
        <f>AR121</f>
        <v>CARS/PARS/IPSS</v>
      </c>
      <c r="G9" s="27" t="str">
        <f>AU121</f>
        <v>CARS/PARS/IPSS</v>
      </c>
      <c r="H9" s="27" t="str">
        <f>AX121</f>
        <v>CARS/PARS/IPSS</v>
      </c>
      <c r="I9" s="20"/>
      <c r="J9"/>
      <c r="K9"/>
      <c r="L9" s="91"/>
      <c r="M9" s="781" t="str">
        <f>IF(A8=" "," ",".")</f>
        <v>.</v>
      </c>
      <c r="N9" s="92"/>
      <c r="O9" s="92"/>
      <c r="P9" s="92"/>
      <c r="Q9" s="92"/>
      <c r="R9" s="91"/>
      <c r="S9" s="91"/>
      <c r="Z9" s="310"/>
      <c r="AA9" s="310"/>
      <c r="AB9" s="310"/>
      <c r="AC9" s="310"/>
      <c r="AD9" s="310"/>
      <c r="AE9" s="310"/>
      <c r="AF9" s="310"/>
      <c r="AG9" s="310"/>
      <c r="AH9" s="310"/>
      <c r="AI9" s="310"/>
      <c r="AJ9" s="310"/>
      <c r="AK9" s="310"/>
      <c r="AL9" s="310"/>
      <c r="AM9" s="310"/>
      <c r="AN9" s="310"/>
      <c r="AO9" s="310"/>
      <c r="AP9" s="310"/>
      <c r="AQ9" s="310"/>
      <c r="AR9" s="310"/>
      <c r="AS9" s="310"/>
      <c r="AT9" s="310"/>
      <c r="AU9" s="310"/>
      <c r="AV9" s="310"/>
      <c r="AW9" s="310"/>
      <c r="AX9" s="310"/>
      <c r="AY9" s="310"/>
    </row>
    <row r="10" spans="1:51" ht="15" customHeight="1" thickBot="1" x14ac:dyDescent="0.3">
      <c r="A10" s="73"/>
      <c r="B10" s="74"/>
      <c r="C10" s="74"/>
      <c r="D10" s="74"/>
      <c r="E10" s="74"/>
      <c r="F10" s="74"/>
      <c r="G10" s="74"/>
      <c r="H10" s="74"/>
      <c r="I10" s="21"/>
      <c r="J10"/>
      <c r="K10"/>
      <c r="L10" s="91"/>
      <c r="M10" s="781" t="str">
        <f>IF(A8=" "," ",".")</f>
        <v>.</v>
      </c>
      <c r="N10" s="92"/>
      <c r="O10" s="92"/>
      <c r="P10" s="93"/>
      <c r="Q10" s="92"/>
      <c r="R10" s="91"/>
      <c r="S10" s="91"/>
      <c r="Z10" s="310"/>
      <c r="AA10" s="310"/>
      <c r="AB10" s="310"/>
      <c r="AC10" s="310"/>
      <c r="AD10" s="310"/>
      <c r="AE10" s="310"/>
      <c r="AF10" s="310"/>
      <c r="AG10" s="310"/>
      <c r="AH10" s="310"/>
      <c r="AI10" s="310"/>
      <c r="AJ10" s="310"/>
      <c r="AK10" s="310"/>
      <c r="AL10" s="310"/>
      <c r="AM10" s="310"/>
      <c r="AN10" s="310"/>
      <c r="AO10" s="310"/>
      <c r="AP10" s="310"/>
      <c r="AQ10" s="310"/>
      <c r="AR10" s="310"/>
      <c r="AS10" s="310"/>
      <c r="AT10" s="310"/>
      <c r="AU10" s="310"/>
      <c r="AV10" s="310"/>
      <c r="AW10" s="310"/>
      <c r="AX10" s="310"/>
      <c r="AY10" s="310"/>
    </row>
    <row r="11" spans="1:51" ht="15" customHeight="1" x14ac:dyDescent="0.2">
      <c r="A11" s="75"/>
      <c r="B11" s="30">
        <f>IF(OR(Schedule!F16="OT*",Schedule!F16=3,Schedule!F16="3NV",Schedule!F16="OTV",Schedule!F16="OTNV",Schedule!F16="OT",Schedule!F16="3V",Schedule!F16="*OTBT",Schedule!F16="*OTET")," ",Schedule!F16)</f>
        <v>0</v>
      </c>
      <c r="C11" s="30" t="str">
        <f>IF(OR(Schedule!G16="OT*",Schedule!G16=3,Schedule!G16="3NV",Schedule!G16="OTV",Schedule!G16="OTNV",Schedule!G16="OT",Schedule!G16="3V",Schedule!G16="*OTBT",Schedule!G16="*OTET")," ",Schedule!G16)</f>
        <v>*</v>
      </c>
      <c r="D11" s="30" t="str">
        <f>IF(OR(Schedule!H16="OT*",Schedule!H16=3,Schedule!H16="3NV",Schedule!H16="OTV",Schedule!H16="OTNV",Schedule!H16="OT",Schedule!H16="3V",Schedule!H16="*OTBT",Schedule!H16="*OTET")," ",Schedule!H16)</f>
        <v>*</v>
      </c>
      <c r="E11" s="30" t="str">
        <f>IF(OR(Schedule!I16="OT*",Schedule!I16=3,Schedule!I16="3NV",Schedule!I16="OTV",Schedule!I16="OTNV",Schedule!I16="OT",Schedule!I16="3V",Schedule!I16="*OTBT",Schedule!I16="*OTET")," ",Schedule!I16)</f>
        <v>*</v>
      </c>
      <c r="F11" s="30" t="str">
        <f>IF(OR(Schedule!J16="OT*",Schedule!J16=3,Schedule!J16="3NV",Schedule!J16="OTV",Schedule!J16="OTNV",Schedule!J16="OT",Schedule!J16="3V",Schedule!J16="*OTBT",Schedule!J16="*OTET")," ",Schedule!J16)</f>
        <v>*</v>
      </c>
      <c r="G11" s="30" t="str">
        <f>IF(OR(Schedule!K16="OT*",Schedule!K16=3,Schedule!K16="3NV",Schedule!K16="OTV",Schedule!K16="OTNV",Schedule!K16="OT",Schedule!K16="3V",Schedule!K16="*OTBT",Schedule!K16="*OTET")," ",Schedule!K16)</f>
        <v>*</v>
      </c>
      <c r="H11" s="30" t="str">
        <f>IF(OR(Schedule!L16="OT*",Schedule!L16=3,Schedule!L16="3NV",Schedule!L16="OTV",Schedule!L16="OTNV",Schedule!L16="OT",Schedule!L16="3V",Schedule!L16="*OTBT",Schedule!L16="*OTET")," ",Schedule!L16)</f>
        <v>NS</v>
      </c>
      <c r="I11" s="19"/>
      <c r="J11"/>
      <c r="K11"/>
      <c r="L11" s="91"/>
      <c r="M11" s="781" t="str">
        <f>IF(A12=" "," ",".")</f>
        <v>.</v>
      </c>
      <c r="N11" s="92"/>
      <c r="O11" s="92"/>
      <c r="P11" s="92"/>
      <c r="Q11" s="92"/>
      <c r="R11" s="91"/>
      <c r="S11" s="91"/>
      <c r="Z11" s="310"/>
      <c r="AA11" s="310"/>
      <c r="AB11" s="310"/>
      <c r="AC11" s="310"/>
      <c r="AD11" s="310"/>
      <c r="AE11" s="310"/>
      <c r="AF11" s="310"/>
      <c r="AG11" s="310"/>
      <c r="AH11" s="310"/>
      <c r="AI11" s="310"/>
      <c r="AJ11" s="310"/>
      <c r="AK11" s="310"/>
      <c r="AL11" s="310"/>
      <c r="AM11" s="310"/>
      <c r="AN11" s="310"/>
      <c r="AO11" s="310"/>
      <c r="AP11" s="310"/>
      <c r="AQ11" s="310"/>
      <c r="AR11" s="310"/>
      <c r="AS11" s="310"/>
      <c r="AT11" s="310"/>
      <c r="AU11" s="310"/>
      <c r="AV11" s="310"/>
      <c r="AW11" s="310"/>
      <c r="AX11" s="310"/>
      <c r="AY11" s="310"/>
    </row>
    <row r="12" spans="1:51" ht="15" customHeight="1" x14ac:dyDescent="0.25">
      <c r="A12" s="72" t="str">
        <f>'Master List'!C6</f>
        <v>D. BRINKLEY</v>
      </c>
      <c r="B12" s="27" t="str">
        <f>AF123</f>
        <v>DBCS</v>
      </c>
      <c r="C12" s="27" t="str">
        <f>AI123</f>
        <v xml:space="preserve"> </v>
      </c>
      <c r="D12" s="27" t="str">
        <f>AL123</f>
        <v xml:space="preserve"> </v>
      </c>
      <c r="E12" s="27" t="str">
        <f>AO123</f>
        <v xml:space="preserve"> </v>
      </c>
      <c r="F12" s="27" t="str">
        <f>AR123</f>
        <v xml:space="preserve"> </v>
      </c>
      <c r="G12" s="27" t="str">
        <f>AU123</f>
        <v xml:space="preserve"> </v>
      </c>
      <c r="H12" s="27" t="str">
        <f>AX123</f>
        <v xml:space="preserve"> </v>
      </c>
      <c r="I12" s="20"/>
      <c r="K12" s="91"/>
      <c r="L12" s="91"/>
      <c r="M12" s="781" t="str">
        <f>IF(A12=" "," ",".")</f>
        <v>.</v>
      </c>
      <c r="N12" s="92"/>
      <c r="O12" s="92"/>
      <c r="P12" s="92"/>
      <c r="Q12" s="92"/>
      <c r="R12" s="91"/>
      <c r="S12" s="91"/>
      <c r="Z12" s="310"/>
      <c r="AA12" s="310"/>
      <c r="AB12" s="310"/>
      <c r="AC12" s="310"/>
      <c r="AD12" s="310"/>
      <c r="AE12" s="310"/>
      <c r="AF12" s="310"/>
      <c r="AG12" s="310"/>
      <c r="AH12" s="310"/>
      <c r="AI12" s="310"/>
      <c r="AJ12" s="310"/>
      <c r="AK12" s="310"/>
      <c r="AL12" s="310"/>
      <c r="AM12" s="310"/>
      <c r="AN12" s="310"/>
      <c r="AO12" s="310"/>
      <c r="AP12" s="310"/>
      <c r="AQ12" s="310"/>
      <c r="AR12" s="310"/>
      <c r="AS12" s="310"/>
      <c r="AT12" s="310"/>
      <c r="AU12" s="310"/>
      <c r="AV12" s="310"/>
      <c r="AW12" s="310"/>
      <c r="AX12" s="310"/>
      <c r="AY12" s="310"/>
    </row>
    <row r="13" spans="1:51" ht="15" customHeight="1" x14ac:dyDescent="0.25">
      <c r="A13" s="72"/>
      <c r="B13" s="27" t="str">
        <f>AF124</f>
        <v>DB6/Test Deck</v>
      </c>
      <c r="C13" s="27" t="str">
        <f>AI124</f>
        <v/>
      </c>
      <c r="D13" s="27" t="str">
        <f>AL124</f>
        <v/>
      </c>
      <c r="E13" s="27" t="str">
        <f>AO124</f>
        <v/>
      </c>
      <c r="F13" s="27" t="str">
        <f>AR124</f>
        <v/>
      </c>
      <c r="G13" s="27" t="str">
        <f>AU124</f>
        <v/>
      </c>
      <c r="H13" s="27" t="str">
        <f>AX124</f>
        <v/>
      </c>
      <c r="I13" s="20"/>
      <c r="L13" s="91"/>
      <c r="M13" s="781" t="str">
        <f>IF(A12=" "," ",".")</f>
        <v>.</v>
      </c>
      <c r="N13" s="92"/>
      <c r="O13" s="92"/>
      <c r="P13" s="92"/>
      <c r="Q13" s="92"/>
      <c r="R13" s="91"/>
      <c r="S13" s="91"/>
      <c r="Z13" s="310"/>
      <c r="AA13" s="310"/>
      <c r="AB13" s="310"/>
      <c r="AC13" s="310"/>
      <c r="AD13" s="310"/>
      <c r="AE13" s="310"/>
      <c r="AF13" s="310"/>
      <c r="AG13" s="310"/>
      <c r="AH13" s="310"/>
      <c r="AI13" s="310"/>
      <c r="AJ13" s="310"/>
      <c r="AK13" s="310"/>
      <c r="AL13" s="310"/>
      <c r="AM13" s="310"/>
      <c r="AN13" s="310"/>
      <c r="AO13" s="310"/>
      <c r="AP13" s="310"/>
      <c r="AQ13" s="310"/>
      <c r="AR13" s="310"/>
      <c r="AS13" s="310"/>
      <c r="AT13" s="310"/>
      <c r="AU13" s="310"/>
      <c r="AV13" s="310"/>
      <c r="AW13" s="310"/>
      <c r="AX13" s="310"/>
      <c r="AY13" s="310"/>
    </row>
    <row r="14" spans="1:51" ht="15" customHeight="1" thickBot="1" x14ac:dyDescent="0.25">
      <c r="A14" s="76"/>
      <c r="B14" s="74"/>
      <c r="C14" s="74"/>
      <c r="D14" s="74"/>
      <c r="E14" s="74"/>
      <c r="F14" s="74"/>
      <c r="G14" s="74"/>
      <c r="H14" s="74"/>
      <c r="I14" s="21"/>
      <c r="J14" s="598"/>
      <c r="K14" s="599"/>
      <c r="L14" s="600"/>
      <c r="M14" s="781" t="str">
        <f>IF(A12=" "," ",".")</f>
        <v>.</v>
      </c>
      <c r="N14" s="601"/>
      <c r="O14" s="601"/>
      <c r="P14" s="601"/>
      <c r="Q14" s="601"/>
      <c r="R14" s="91"/>
      <c r="S14" s="91"/>
      <c r="Z14" s="310"/>
      <c r="AA14" s="310"/>
      <c r="AB14" s="310"/>
      <c r="AC14" s="310"/>
      <c r="AD14" s="310"/>
      <c r="AE14" s="310"/>
      <c r="AF14" s="310"/>
      <c r="AG14" s="310"/>
      <c r="AH14" s="310"/>
      <c r="AI14" s="310"/>
      <c r="AJ14" s="310"/>
      <c r="AK14" s="310"/>
      <c r="AL14" s="310"/>
      <c r="AM14" s="310"/>
      <c r="AN14" s="310"/>
      <c r="AO14" s="310"/>
      <c r="AP14" s="310"/>
      <c r="AQ14" s="310"/>
      <c r="AR14" s="310"/>
      <c r="AS14" s="310"/>
      <c r="AT14" s="310"/>
      <c r="AU14" s="310"/>
      <c r="AV14" s="310"/>
      <c r="AW14" s="310"/>
      <c r="AX14" s="310"/>
      <c r="AY14" s="310"/>
    </row>
    <row r="15" spans="1:51" ht="15" customHeight="1" x14ac:dyDescent="0.25">
      <c r="A15" s="75"/>
      <c r="B15" s="30" t="str">
        <f>IF(OR(Schedule!F17="OT*",Schedule!F17=3,Schedule!F17="3NV",Schedule!F17="OTV",Schedule!F17="OTNV",Schedule!F17="OT",Schedule!F17="3V",Schedule!F17="*OTBT",Schedule!F17="*OTET")," ",Schedule!F17)</f>
        <v>NS</v>
      </c>
      <c r="C15" s="30" t="str">
        <f>IF(OR(Schedule!G17="OT*",Schedule!G17=3,Schedule!G17="3NV",Schedule!G17="OTV",Schedule!G17="OTNV",Schedule!G17="OT",Schedule!G17="3V",Schedule!G17="*OTBT",Schedule!G17="*OTET")," ",Schedule!G17)</f>
        <v>NS</v>
      </c>
      <c r="D15" s="30" t="str">
        <f>IF(OR(Schedule!H17="OT*",Schedule!H17=3,Schedule!H17="3NV",Schedule!H17="OTV",Schedule!H17="OTNV",Schedule!H17="OT",Schedule!H17="3V",Schedule!H17="*OTBT",Schedule!H17="*OTET")," ",Schedule!H17)</f>
        <v>TRVL</v>
      </c>
      <c r="E15" s="30" t="str">
        <f>IF(OR(Schedule!I17="OT*",Schedule!I17=3,Schedule!I17="3NV",Schedule!I17="OTV",Schedule!I17="OTNV",Schedule!I17="OT",Schedule!I17="3V",Schedule!I17="*OTBT",Schedule!I17="*OTET")," ",Schedule!I17)</f>
        <v>TRNG</v>
      </c>
      <c r="F15" s="30" t="str">
        <f>IF(OR(Schedule!J17="OT*",Schedule!J17=3,Schedule!J17="3NV",Schedule!J17="OTV",Schedule!J17="OTNV",Schedule!J17="OT",Schedule!J17="3V",Schedule!J17="*OTBT",Schedule!J17="*OTET")," ",Schedule!J17)</f>
        <v>TRNG</v>
      </c>
      <c r="G15" s="30" t="str">
        <f>IF(OR(Schedule!K17="OT*",Schedule!K17=3,Schedule!K17="3NV",Schedule!K17="OTV",Schedule!K17="OTNV",Schedule!K17="OT",Schedule!K17="3V",Schedule!K17="*OTBT",Schedule!K17="*OTET")," ",Schedule!K17)</f>
        <v>TRNG</v>
      </c>
      <c r="H15" s="30" t="str">
        <f>IF(OR(Schedule!L17="OT*",Schedule!L17=3,Schedule!L17="3NV",Schedule!L17="OTV",Schedule!L17="OTNV",Schedule!L17="OT",Schedule!L17="3V",Schedule!L17="*OTBT",Schedule!L17="*OTET")," ",Schedule!L17)</f>
        <v>TRNG</v>
      </c>
      <c r="I15" s="19"/>
      <c r="J15" s="326"/>
      <c r="K15" s="326"/>
      <c r="L15" s="600"/>
      <c r="M15" s="781" t="str">
        <f>IF(A16=" "," ",".")</f>
        <v>.</v>
      </c>
      <c r="N15" s="601"/>
      <c r="O15" s="601"/>
      <c r="P15" s="601"/>
      <c r="Q15" s="601"/>
      <c r="R15" s="141"/>
      <c r="S15" s="91"/>
      <c r="Z15" s="310"/>
      <c r="AA15" s="310"/>
      <c r="AB15" s="310"/>
      <c r="AC15" s="310"/>
      <c r="AD15" s="310"/>
      <c r="AE15" s="310"/>
      <c r="AF15" s="310"/>
      <c r="AG15" s="310"/>
      <c r="AH15" s="310"/>
      <c r="AI15" s="310"/>
      <c r="AJ15" s="310"/>
      <c r="AK15" s="310"/>
      <c r="AL15" s="310"/>
      <c r="AM15" s="310"/>
      <c r="AN15" s="310"/>
      <c r="AO15" s="310"/>
      <c r="AP15" s="310"/>
      <c r="AQ15" s="310"/>
      <c r="AR15" s="310"/>
      <c r="AS15" s="310"/>
      <c r="AT15" s="310"/>
      <c r="AU15" s="310"/>
      <c r="AV15" s="310"/>
      <c r="AW15" s="310"/>
      <c r="AX15" s="310"/>
      <c r="AY15" s="310"/>
    </row>
    <row r="16" spans="1:51" ht="15" customHeight="1" x14ac:dyDescent="0.25">
      <c r="A16" s="77" t="str">
        <f>'Master List'!C7</f>
        <v>M. FRANTZ</v>
      </c>
      <c r="B16" s="27" t="str">
        <f>AF126</f>
        <v xml:space="preserve"> </v>
      </c>
      <c r="C16" s="27" t="str">
        <f>AI126</f>
        <v xml:space="preserve"> </v>
      </c>
      <c r="D16" s="27" t="str">
        <f>AL126</f>
        <v xml:space="preserve"> </v>
      </c>
      <c r="E16" s="27" t="str">
        <f>AO126</f>
        <v xml:space="preserve"> </v>
      </c>
      <c r="F16" s="27" t="str">
        <f>AR126</f>
        <v xml:space="preserve"> </v>
      </c>
      <c r="G16" s="27" t="str">
        <f>AU126</f>
        <v xml:space="preserve"> </v>
      </c>
      <c r="H16" s="27" t="str">
        <f>AX126</f>
        <v xml:space="preserve"> </v>
      </c>
      <c r="I16" s="20"/>
      <c r="J16" s="598"/>
      <c r="K16" s="599"/>
      <c r="L16" s="600"/>
      <c r="M16" s="781" t="str">
        <f>IF(A16=" "," ",".")</f>
        <v>.</v>
      </c>
      <c r="N16" s="601"/>
      <c r="O16" s="601"/>
      <c r="P16" s="602"/>
      <c r="Q16" s="601"/>
      <c r="R16" s="141"/>
      <c r="S16" s="91"/>
      <c r="Z16" s="310"/>
      <c r="AA16" s="310"/>
      <c r="AB16" s="310"/>
      <c r="AC16" s="310"/>
      <c r="AD16" s="310"/>
      <c r="AE16" s="310"/>
      <c r="AF16" s="310"/>
      <c r="AG16" s="310"/>
      <c r="AH16" s="310"/>
      <c r="AI16" s="310"/>
      <c r="AJ16" s="310"/>
      <c r="AK16" s="310"/>
      <c r="AL16" s="310"/>
      <c r="AM16" s="310"/>
      <c r="AN16" s="310"/>
      <c r="AO16" s="310"/>
      <c r="AP16" s="310"/>
      <c r="AQ16" s="310"/>
      <c r="AR16" s="310"/>
      <c r="AS16" s="310"/>
      <c r="AT16" s="310"/>
      <c r="AU16" s="310"/>
      <c r="AV16" s="310"/>
      <c r="AW16" s="310"/>
      <c r="AX16" s="310"/>
      <c r="AY16" s="310"/>
    </row>
    <row r="17" spans="1:51" ht="15" customHeight="1" x14ac:dyDescent="0.25">
      <c r="A17" s="77"/>
      <c r="B17" s="27" t="str">
        <f>AF127</f>
        <v/>
      </c>
      <c r="C17" s="27" t="str">
        <f>AI127</f>
        <v/>
      </c>
      <c r="D17" s="27" t="str">
        <f>AL127</f>
        <v/>
      </c>
      <c r="E17" s="27" t="str">
        <f>AO127</f>
        <v/>
      </c>
      <c r="F17" s="27" t="str">
        <f>AR127</f>
        <v/>
      </c>
      <c r="G17" s="27" t="str">
        <f>AU127</f>
        <v/>
      </c>
      <c r="H17" s="27" t="str">
        <f>AX127</f>
        <v/>
      </c>
      <c r="I17" s="20"/>
      <c r="J17" s="326"/>
      <c r="K17" s="326"/>
      <c r="L17" s="600"/>
      <c r="M17" s="781" t="str">
        <f>IF(A16=" "," ",".")</f>
        <v>.</v>
      </c>
      <c r="N17" s="601"/>
      <c r="O17" s="601"/>
      <c r="P17" s="601"/>
      <c r="Q17" s="601"/>
      <c r="R17" s="141"/>
      <c r="S17" s="91"/>
      <c r="Z17" s="310"/>
      <c r="AA17" s="310"/>
      <c r="AB17" s="310"/>
      <c r="AC17" s="310"/>
      <c r="AD17" s="310"/>
      <c r="AE17" s="310"/>
      <c r="AF17" s="310"/>
      <c r="AG17" s="310"/>
      <c r="AH17" s="310"/>
      <c r="AI17" s="310"/>
      <c r="AJ17" s="310"/>
      <c r="AK17" s="310"/>
      <c r="AL17" s="310"/>
      <c r="AM17" s="310"/>
      <c r="AN17" s="310"/>
      <c r="AO17" s="310"/>
      <c r="AP17" s="310"/>
      <c r="AQ17" s="310"/>
      <c r="AR17" s="310"/>
      <c r="AS17" s="310"/>
      <c r="AT17" s="310"/>
      <c r="AU17" s="310"/>
      <c r="AV17" s="310"/>
      <c r="AW17" s="310"/>
      <c r="AX17" s="310"/>
      <c r="AY17" s="310"/>
    </row>
    <row r="18" spans="1:51" ht="15" customHeight="1" thickBot="1" x14ac:dyDescent="0.3">
      <c r="A18" s="73"/>
      <c r="B18" s="74"/>
      <c r="C18" s="74"/>
      <c r="D18" s="74"/>
      <c r="E18" s="74"/>
      <c r="F18" s="74"/>
      <c r="G18" s="74"/>
      <c r="H18" s="74"/>
      <c r="I18" s="137">
        <v>1</v>
      </c>
      <c r="J18" s="598"/>
      <c r="K18" s="599"/>
      <c r="L18" s="600"/>
      <c r="M18" s="781" t="str">
        <f>IF(A16=" "," ",".")</f>
        <v>.</v>
      </c>
      <c r="N18" s="601"/>
      <c r="O18" s="601"/>
      <c r="P18" s="601"/>
      <c r="Q18" s="601"/>
      <c r="R18" s="141"/>
      <c r="S18" s="91"/>
      <c r="Z18" s="310"/>
      <c r="AA18" s="310"/>
      <c r="AB18" s="310"/>
      <c r="AC18" s="310"/>
      <c r="AD18" s="310"/>
      <c r="AE18" s="310"/>
      <c r="AF18" s="310"/>
      <c r="AG18" s="310"/>
      <c r="AH18" s="310"/>
      <c r="AI18" s="310"/>
      <c r="AJ18" s="310"/>
      <c r="AK18" s="310"/>
      <c r="AL18" s="310"/>
      <c r="AM18" s="310"/>
      <c r="AN18" s="310"/>
      <c r="AO18" s="310"/>
      <c r="AP18" s="310"/>
      <c r="AQ18" s="310"/>
      <c r="AR18" s="310"/>
      <c r="AS18" s="310"/>
      <c r="AT18" s="310"/>
      <c r="AU18" s="310"/>
      <c r="AV18" s="310"/>
      <c r="AW18" s="310"/>
      <c r="AX18" s="310"/>
      <c r="AY18" s="310"/>
    </row>
    <row r="19" spans="1:51" ht="15" customHeight="1" x14ac:dyDescent="0.25">
      <c r="A19" s="75"/>
      <c r="B19" s="30" t="str">
        <f>IF(OR(Schedule!F18="OT*",Schedule!F18=3,Schedule!F18="3NV",Schedule!F18="OTV",Schedule!F18="OTNV",Schedule!F18="OT",Schedule!F18="3V",Schedule!F18="*OTBT",Schedule!F18="*OTET")," ",Schedule!F18)</f>
        <v xml:space="preserve"> </v>
      </c>
      <c r="C19" s="30" t="str">
        <f>IF(OR(Schedule!G18="OT*",Schedule!G18=3,Schedule!G18="3NV",Schedule!G18="OTV",Schedule!G18="OTNV",Schedule!G18="OT",Schedule!G18="3V",Schedule!G18="*OTBT",Schedule!G18="*OTET")," ",Schedule!G18)</f>
        <v xml:space="preserve"> </v>
      </c>
      <c r="D19" s="30" t="str">
        <f>IF(OR(Schedule!H18="OT*",Schedule!H18=3,Schedule!H18="3NV",Schedule!H18="OTV",Schedule!H18="OTNV",Schedule!H18="OT",Schedule!H18="3V",Schedule!H18="*OTBT",Schedule!H18="*OTET")," ",Schedule!H18)</f>
        <v xml:space="preserve"> </v>
      </c>
      <c r="E19" s="30" t="str">
        <f>IF(OR(Schedule!I18="OT*",Schedule!I18=3,Schedule!I18="3NV",Schedule!I18="OTV",Schedule!I18="OTNV",Schedule!I18="OT",Schedule!I18="3V",Schedule!I18="*OTBT",Schedule!I18="*OTET")," ",Schedule!I18)</f>
        <v xml:space="preserve"> </v>
      </c>
      <c r="F19" s="30" t="str">
        <f>IF(OR(Schedule!J18="OT*",Schedule!J18=3,Schedule!J18="3NV",Schedule!J18="OTV",Schedule!J18="OTNV",Schedule!J18="OT",Schedule!J18="3V",Schedule!J18="*OTBT",Schedule!J18="*OTET")," ",Schedule!J18)</f>
        <v xml:space="preserve"> </v>
      </c>
      <c r="G19" s="30" t="str">
        <f>IF(OR(Schedule!K18="OT*",Schedule!K18=3,Schedule!K18="3NV",Schedule!K18="OTV",Schedule!K18="OTNV",Schedule!K18="OT",Schedule!K18="3V",Schedule!K18="*OTBT",Schedule!K18="*OTET")," ",Schedule!K18)</f>
        <v xml:space="preserve"> </v>
      </c>
      <c r="H19" s="30" t="str">
        <f>IF(OR(Schedule!L18="OT*",Schedule!L18=3,Schedule!L18="3NV",Schedule!L18="OTV",Schedule!L18="OTNV",Schedule!L18="OT",Schedule!L18="3V",Schedule!L18="*OTBT",Schedule!L18="*OTET")," ",Schedule!L18)</f>
        <v>NS</v>
      </c>
      <c r="I19" s="19"/>
      <c r="J19" s="326"/>
      <c r="K19" s="326"/>
      <c r="L19" s="600"/>
      <c r="M19" s="781" t="str">
        <f>IF(A20=" "," ",".")</f>
        <v>.</v>
      </c>
      <c r="N19" s="601"/>
      <c r="O19" s="601"/>
      <c r="P19" s="601"/>
      <c r="Q19" s="601"/>
      <c r="R19" s="141"/>
      <c r="S19" s="91"/>
      <c r="Z19" s="310"/>
      <c r="AA19" s="310"/>
      <c r="AB19" s="310"/>
      <c r="AC19" s="310"/>
      <c r="AD19" s="310"/>
      <c r="AE19" s="310"/>
      <c r="AF19" s="310"/>
      <c r="AG19" s="310"/>
      <c r="AH19" s="310"/>
      <c r="AI19" s="310"/>
      <c r="AJ19" s="310"/>
      <c r="AK19" s="310"/>
      <c r="AL19" s="310"/>
      <c r="AM19" s="310"/>
      <c r="AN19" s="310"/>
      <c r="AO19" s="310"/>
      <c r="AP19" s="310"/>
      <c r="AQ19" s="310"/>
      <c r="AR19" s="310"/>
      <c r="AS19" s="310"/>
      <c r="AT19" s="310"/>
      <c r="AU19" s="310"/>
      <c r="AV19" s="310"/>
      <c r="AW19" s="310"/>
      <c r="AX19" s="310"/>
      <c r="AY19" s="310"/>
    </row>
    <row r="20" spans="1:51" ht="15" customHeight="1" x14ac:dyDescent="0.25">
      <c r="A20" s="77" t="str">
        <f>'Master List'!C8</f>
        <v>L. JONES</v>
      </c>
      <c r="B20" s="27" t="str">
        <f>AF129</f>
        <v>AFSM</v>
      </c>
      <c r="C20" s="27" t="str">
        <f>AI129</f>
        <v>AFSM</v>
      </c>
      <c r="D20" s="27" t="str">
        <f>AL129</f>
        <v>AFCS</v>
      </c>
      <c r="E20" s="27" t="str">
        <f>AO129</f>
        <v>DBCS</v>
      </c>
      <c r="F20" s="27" t="str">
        <f>AR129</f>
        <v>AFCS</v>
      </c>
      <c r="G20" s="27" t="str">
        <f>AU129</f>
        <v>AFCS</v>
      </c>
      <c r="H20" s="27" t="str">
        <f>AX129</f>
        <v xml:space="preserve"> </v>
      </c>
      <c r="I20" s="20"/>
      <c r="J20" s="598"/>
      <c r="K20" s="599"/>
      <c r="L20" s="600"/>
      <c r="M20" s="781" t="str">
        <f>IF(A20=" "," ",".")</f>
        <v>.</v>
      </c>
      <c r="N20" s="601"/>
      <c r="O20" s="601"/>
      <c r="P20" s="601"/>
      <c r="Q20" s="601"/>
      <c r="R20" s="141"/>
      <c r="S20" s="91"/>
      <c r="Z20" s="310"/>
      <c r="AA20" s="310"/>
      <c r="AB20" s="310"/>
      <c r="AC20" s="310"/>
      <c r="AD20" s="310"/>
      <c r="AE20" s="310"/>
      <c r="AF20" s="310"/>
      <c r="AG20" s="310"/>
      <c r="AH20" s="310"/>
      <c r="AI20" s="310"/>
      <c r="AJ20" s="310"/>
      <c r="AK20" s="310"/>
      <c r="AL20" s="310"/>
      <c r="AM20" s="310"/>
      <c r="AN20" s="310"/>
      <c r="AO20" s="310"/>
      <c r="AP20" s="310"/>
      <c r="AQ20" s="310"/>
      <c r="AR20" s="310"/>
      <c r="AS20" s="310"/>
      <c r="AT20" s="310"/>
      <c r="AU20" s="310"/>
      <c r="AV20" s="310"/>
      <c r="AW20" s="310"/>
      <c r="AX20" s="310"/>
      <c r="AY20" s="310"/>
    </row>
    <row r="21" spans="1:51" ht="15" customHeight="1" x14ac:dyDescent="0.25">
      <c r="A21" s="77"/>
      <c r="B21" s="27" t="str">
        <f>AF130</f>
        <v>UNIBUEUR</v>
      </c>
      <c r="C21" s="27" t="str">
        <f>AI130</f>
        <v>UNIBUEUR</v>
      </c>
      <c r="D21" s="27" t="str">
        <f>AL130</f>
        <v>BDS/IJP</v>
      </c>
      <c r="E21" s="27" t="str">
        <f>AO130</f>
        <v>SORT PLAN/GAP</v>
      </c>
      <c r="F21" s="27" t="str">
        <f>AR130</f>
        <v>BDS/IJP</v>
      </c>
      <c r="G21" s="27" t="str">
        <f>AU130</f>
        <v>BDS/IJP</v>
      </c>
      <c r="H21" s="27" t="str">
        <f>AX130</f>
        <v/>
      </c>
      <c r="I21" s="20"/>
      <c r="J21" s="326"/>
      <c r="K21" s="326"/>
      <c r="L21" s="600"/>
      <c r="M21" s="781" t="str">
        <f>IF(A20=" "," ",".")</f>
        <v>.</v>
      </c>
      <c r="N21" s="601"/>
      <c r="O21" s="601"/>
      <c r="P21" s="601"/>
      <c r="Q21" s="601"/>
      <c r="R21" s="181"/>
      <c r="S21" s="91"/>
      <c r="Z21" s="310"/>
      <c r="AA21" s="310"/>
      <c r="AB21" s="310"/>
      <c r="AC21" s="310"/>
      <c r="AD21" s="310"/>
      <c r="AE21" s="310"/>
      <c r="AF21" s="310"/>
      <c r="AG21" s="310"/>
      <c r="AH21" s="310"/>
      <c r="AI21" s="310"/>
      <c r="AJ21" s="310"/>
      <c r="AK21" s="310"/>
      <c r="AL21" s="310"/>
      <c r="AM21" s="310"/>
      <c r="AN21" s="310"/>
      <c r="AO21" s="310"/>
      <c r="AP21" s="310"/>
      <c r="AQ21" s="310"/>
      <c r="AR21" s="310"/>
      <c r="AS21" s="310"/>
      <c r="AT21" s="310"/>
      <c r="AU21" s="310"/>
      <c r="AV21" s="310"/>
      <c r="AW21" s="310"/>
      <c r="AX21" s="310"/>
      <c r="AY21" s="310"/>
    </row>
    <row r="22" spans="1:51" ht="15" customHeight="1" thickBot="1" x14ac:dyDescent="0.3">
      <c r="A22" s="73"/>
      <c r="B22" s="74"/>
      <c r="C22" s="74"/>
      <c r="D22" s="74"/>
      <c r="E22" s="74"/>
      <c r="F22" s="74"/>
      <c r="G22" s="74"/>
      <c r="H22" s="74"/>
      <c r="I22" s="137">
        <v>2</v>
      </c>
      <c r="J22" s="598"/>
      <c r="K22" s="599"/>
      <c r="L22" s="600"/>
      <c r="M22" s="781" t="str">
        <f>IF(A20=" "," ",".")</f>
        <v>.</v>
      </c>
      <c r="N22" s="601"/>
      <c r="O22" s="601"/>
      <c r="P22" s="601"/>
      <c r="Q22" s="601"/>
      <c r="R22" s="141"/>
      <c r="S22" s="91"/>
      <c r="Z22" s="310"/>
      <c r="AA22" s="310"/>
      <c r="AB22" s="310"/>
      <c r="AC22" s="310"/>
      <c r="AD22" s="310"/>
      <c r="AE22" s="310"/>
      <c r="AF22" s="310"/>
      <c r="AG22" s="310"/>
      <c r="AH22" s="310"/>
      <c r="AI22" s="310"/>
      <c r="AJ22" s="310"/>
      <c r="AK22" s="310"/>
      <c r="AL22" s="310"/>
      <c r="AM22" s="310"/>
      <c r="AN22" s="310"/>
      <c r="AO22" s="310"/>
      <c r="AP22" s="310"/>
      <c r="AQ22" s="310"/>
      <c r="AR22" s="310"/>
      <c r="AS22" s="310"/>
      <c r="AT22" s="310"/>
      <c r="AU22" s="310"/>
      <c r="AV22" s="310"/>
      <c r="AW22" s="310"/>
      <c r="AX22" s="310"/>
      <c r="AY22" s="310"/>
    </row>
    <row r="23" spans="1:51" ht="15" customHeight="1" x14ac:dyDescent="0.25">
      <c r="A23" s="75"/>
      <c r="B23" s="30" t="str">
        <f>IF(OR(Schedule!F19=0,Schedule!F19=3,Schedule!F19="3NV",Schedule!F19="OTV",Schedule!F19="OTNV",Schedule!F19="OT",Schedule!F19="3V",Schedule!F19="*OTBT",Schedule!F19="*OTET")," ",Schedule!F19)</f>
        <v xml:space="preserve"> </v>
      </c>
      <c r="C23" s="30" t="str">
        <f>IF(OR(Schedule!G19=0,Schedule!G19=3,Schedule!G19="3NV",Schedule!G19="OTV",Schedule!G19="OTNV",Schedule!G19="OT",Schedule!G19="3V",Schedule!G19="*OTBT",Schedule!G19="*OTET")," ",Schedule!G19)</f>
        <v xml:space="preserve"> </v>
      </c>
      <c r="D23" s="30" t="str">
        <f>IF(OR(Schedule!H19=0,Schedule!H19=3,Schedule!H19="3NV",Schedule!H19="OTV",Schedule!H19="OTNV",Schedule!H19="OT",Schedule!H19="3V",Schedule!H19="*OTBT",Schedule!H19="*OTET")," ",Schedule!H19)</f>
        <v xml:space="preserve"> </v>
      </c>
      <c r="E23" s="30" t="str">
        <f>IF(OR(Schedule!I19=0,Schedule!I19=3,Schedule!I19="3NV",Schedule!I19="OTV",Schedule!I19="OTNV",Schedule!I19="OT",Schedule!I19="3V",Schedule!I19="*OTBT",Schedule!I19="*OTET")," ",Schedule!I19)</f>
        <v xml:space="preserve"> </v>
      </c>
      <c r="F23" s="30" t="str">
        <f>IF(OR(Schedule!J19=0,Schedule!J19=3,Schedule!J19="3NV",Schedule!J19="OTV",Schedule!J19="OTNV",Schedule!J19="OT",Schedule!J19="3V",Schedule!J19="*OTBT",Schedule!J19="*OTET")," ",Schedule!J19)</f>
        <v xml:space="preserve"> </v>
      </c>
      <c r="G23" s="30" t="str">
        <f>IF(OR(Schedule!K19=0,Schedule!K19=3,Schedule!K19="3NV",Schedule!K19="OTV",Schedule!K19="OTNV",Schedule!K19="OT",Schedule!K19="3V",Schedule!K19="*OTBT",Schedule!K19="*OTET")," ",Schedule!K19)</f>
        <v>NS</v>
      </c>
      <c r="H23" s="30" t="str">
        <f>IF(OR(Schedule!L19=0,Schedule!L19=3,Schedule!L19="3NV",Schedule!L19="OTV",Schedule!L19="OTNV",Schedule!L19="OT",Schedule!L19="3V",Schedule!L19="*OTBT",Schedule!L19="*OTET")," ",Schedule!L19)</f>
        <v>AL</v>
      </c>
      <c r="I23" s="19"/>
      <c r="J23" s="326"/>
      <c r="K23" s="326"/>
      <c r="L23" s="600"/>
      <c r="M23" s="781" t="str">
        <f>IF(A24=" "," ",".")</f>
        <v>.</v>
      </c>
      <c r="N23" s="601"/>
      <c r="O23" s="601"/>
      <c r="P23" s="601"/>
      <c r="Q23" s="601"/>
      <c r="R23" s="141"/>
      <c r="S23" s="91"/>
      <c r="Z23" s="310"/>
      <c r="AA23" s="310"/>
      <c r="AB23" s="310"/>
      <c r="AC23" s="310"/>
      <c r="AD23" s="310"/>
      <c r="AE23" s="310"/>
      <c r="AF23" s="310"/>
      <c r="AG23" s="310"/>
      <c r="AH23" s="310"/>
      <c r="AI23" s="310"/>
      <c r="AJ23" s="310"/>
      <c r="AK23" s="310"/>
      <c r="AL23" s="310"/>
      <c r="AM23" s="310"/>
      <c r="AN23" s="310"/>
      <c r="AO23" s="310"/>
      <c r="AP23" s="310"/>
      <c r="AQ23" s="310"/>
      <c r="AR23" s="310"/>
      <c r="AS23" s="310"/>
      <c r="AT23" s="310"/>
      <c r="AU23" s="310"/>
      <c r="AV23" s="310"/>
      <c r="AW23" s="310"/>
      <c r="AX23" s="310"/>
      <c r="AY23" s="310"/>
    </row>
    <row r="24" spans="1:51" ht="15" customHeight="1" x14ac:dyDescent="0.25">
      <c r="A24" s="77" t="str">
        <f>'Master List'!C9</f>
        <v>T. SHIELDS</v>
      </c>
      <c r="B24" s="27" t="str">
        <f>AF132</f>
        <v>DBCS</v>
      </c>
      <c r="C24" s="27" t="str">
        <f>AI132</f>
        <v>DBCS</v>
      </c>
      <c r="D24" s="27" t="str">
        <f>AL132</f>
        <v>DBCS</v>
      </c>
      <c r="E24" s="27" t="str">
        <f>AO132</f>
        <v>DBCS</v>
      </c>
      <c r="F24" s="27" t="str">
        <f>AR132</f>
        <v>DBCS</v>
      </c>
      <c r="G24" s="27" t="str">
        <f>AU132</f>
        <v xml:space="preserve"> </v>
      </c>
      <c r="H24" s="27" t="str">
        <f>AX132</f>
        <v xml:space="preserve"> </v>
      </c>
      <c r="I24" s="20"/>
      <c r="J24" s="598"/>
      <c r="K24" s="599"/>
      <c r="L24" s="600"/>
      <c r="M24" s="781" t="str">
        <f>IF(A24=" "," ",".")</f>
        <v>.</v>
      </c>
      <c r="N24" s="601"/>
      <c r="O24" s="601"/>
      <c r="P24" s="601"/>
      <c r="Q24" s="601"/>
      <c r="R24" s="141"/>
      <c r="S24" s="91"/>
      <c r="AI24" s="17"/>
      <c r="AL24" s="17"/>
      <c r="AO24" s="17"/>
      <c r="AR24" s="17"/>
      <c r="AU24" s="17"/>
    </row>
    <row r="25" spans="1:51" ht="15" customHeight="1" x14ac:dyDescent="0.25">
      <c r="A25" s="77"/>
      <c r="B25" s="27" t="str">
        <f>AF133</f>
        <v>SORT PLAN/GAP</v>
      </c>
      <c r="C25" s="27" t="str">
        <f>AI133</f>
        <v>SORT PLAN/GAP</v>
      </c>
      <c r="D25" s="27" t="str">
        <f>AL133</f>
        <v>DB6/Test Deck</v>
      </c>
      <c r="E25" s="27" t="str">
        <f>AO133</f>
        <v>DB6/Test Deck</v>
      </c>
      <c r="F25" s="27" t="str">
        <f>AR133</f>
        <v>DB6/Test Deck</v>
      </c>
      <c r="G25" s="27" t="str">
        <f>AU133</f>
        <v/>
      </c>
      <c r="H25" s="27" t="str">
        <f>AX133</f>
        <v/>
      </c>
      <c r="I25" s="20"/>
      <c r="J25" s="326"/>
      <c r="K25" s="326"/>
      <c r="L25" s="600"/>
      <c r="M25" s="781" t="str">
        <f>IF(A24=" "," ",".")</f>
        <v>.</v>
      </c>
      <c r="N25" s="601"/>
      <c r="O25" s="601"/>
      <c r="P25" s="601"/>
      <c r="Q25" s="601"/>
      <c r="R25" s="141"/>
      <c r="S25" s="91"/>
      <c r="AI25" s="17"/>
      <c r="AL25" s="17"/>
      <c r="AO25" s="17"/>
      <c r="AR25" s="17"/>
      <c r="AU25" s="17"/>
    </row>
    <row r="26" spans="1:51" ht="15" customHeight="1" thickBot="1" x14ac:dyDescent="0.3">
      <c r="A26" s="73"/>
      <c r="B26" s="78"/>
      <c r="C26" s="78"/>
      <c r="D26" s="78"/>
      <c r="E26" s="78"/>
      <c r="F26" s="78"/>
      <c r="G26" s="78"/>
      <c r="H26" s="78"/>
      <c r="I26" s="21"/>
      <c r="J26" s="598"/>
      <c r="K26" s="599"/>
      <c r="L26" s="600"/>
      <c r="M26" s="781" t="str">
        <f>IF(A24=" "," ",".")</f>
        <v>.</v>
      </c>
      <c r="N26" s="601"/>
      <c r="O26" s="601"/>
      <c r="P26" s="600"/>
      <c r="Q26" s="600"/>
      <c r="R26" s="141"/>
      <c r="S26" s="91"/>
      <c r="AD26" s="306"/>
      <c r="AE26" s="306"/>
      <c r="AF26" s="306"/>
      <c r="AG26" s="306"/>
      <c r="AH26" s="306"/>
      <c r="AI26" s="306"/>
      <c r="AJ26" s="306"/>
      <c r="AK26" s="306"/>
      <c r="AL26" s="306"/>
      <c r="AM26" s="306"/>
      <c r="AN26" s="306"/>
      <c r="AO26" s="306"/>
      <c r="AP26" s="306"/>
      <c r="AQ26" s="306"/>
      <c r="AR26" s="306"/>
      <c r="AS26" s="306"/>
      <c r="AT26" s="306"/>
      <c r="AU26" s="306"/>
      <c r="AV26" s="306"/>
      <c r="AW26" s="306"/>
      <c r="AX26" s="306"/>
      <c r="AY26" s="306"/>
    </row>
    <row r="27" spans="1:51" ht="15" customHeight="1" x14ac:dyDescent="0.25">
      <c r="A27" s="75"/>
      <c r="B27" s="30" t="str">
        <f>IF(OR(Schedule!F20="OT*",Schedule!F20=3,Schedule!F20="3NV",Schedule!F20="OTV",Schedule!F20="OTNV",Schedule!F20="OT",Schedule!F20="3V",Schedule!F20="*OTBT",Schedule!F20="*OTET")," ",Schedule!F20)</f>
        <v xml:space="preserve"> </v>
      </c>
      <c r="C27" s="30" t="str">
        <f>IF(OR(Schedule!G20="OT*",Schedule!G20=3,Schedule!G20="3NV",Schedule!G20="OTV",Schedule!G20="OTNV",Schedule!G20="OT",Schedule!G20="3V",Schedule!G20="*OTBT",Schedule!G20="*OTET")," ",Schedule!G20)</f>
        <v xml:space="preserve"> </v>
      </c>
      <c r="D27" s="30" t="str">
        <f>IF(OR(Schedule!H20="OT*",Schedule!H20=3,Schedule!H20="3NV",Schedule!H20="OTV",Schedule!H20="OTNV",Schedule!H20="OT",Schedule!H20="3V",Schedule!H20="*OTBT",Schedule!H20="*OTET")," ",Schedule!H20)</f>
        <v xml:space="preserve"> </v>
      </c>
      <c r="E27" s="30" t="str">
        <f>IF(OR(Schedule!I20="OT*",Schedule!I20=3,Schedule!I20="3NV",Schedule!I20="OTV",Schedule!I20="OTNV",Schedule!I20="OT",Schedule!I20="3V",Schedule!I20="*OTBT",Schedule!I20="*OTET")," ",Schedule!I20)</f>
        <v xml:space="preserve"> </v>
      </c>
      <c r="F27" s="30" t="str">
        <f>IF(OR(Schedule!J20="OT*",Schedule!J20=3,Schedule!J20="3NV",Schedule!J20="OTV",Schedule!J20="OTNV",Schedule!J20="OT",Schedule!J20="3V",Schedule!J20="*OTBT",Schedule!J20="*OTET")," ",Schedule!J20)</f>
        <v xml:space="preserve"> </v>
      </c>
      <c r="G27" s="30" t="str">
        <f>IF(OR(Schedule!K20="OT*",Schedule!K20=3,Schedule!K20="3NV",Schedule!K20="OTV",Schedule!K20="OTNV",Schedule!K20="OT",Schedule!K20="3V",Schedule!K20="*OTBT",Schedule!K20="*OTET")," ",Schedule!K20)</f>
        <v xml:space="preserve"> </v>
      </c>
      <c r="H27" s="30" t="str">
        <f>IF(OR(Schedule!L20="OT*",Schedule!L20=3,Schedule!L20="3NV",Schedule!L20="OTV",Schedule!L20="OTNV",Schedule!L20="OT",Schedule!L20="3V",Schedule!L20="*OTBT",Schedule!L20="*OTET")," ",Schedule!L20)</f>
        <v>NS</v>
      </c>
      <c r="I27" s="19"/>
      <c r="J27" s="326"/>
      <c r="K27" s="326"/>
      <c r="L27" s="600"/>
      <c r="M27" s="781" t="str">
        <f>IF(A28=" "," ",".")</f>
        <v>.</v>
      </c>
      <c r="N27" s="601"/>
      <c r="O27" s="601"/>
      <c r="P27" s="600"/>
      <c r="Q27" s="600"/>
      <c r="R27" s="141"/>
      <c r="S27" s="91"/>
      <c r="AI27" s="17"/>
      <c r="AL27" s="17"/>
      <c r="AO27" s="17"/>
      <c r="AR27" s="17"/>
      <c r="AU27" s="17"/>
    </row>
    <row r="28" spans="1:51" ht="15" customHeight="1" x14ac:dyDescent="0.25">
      <c r="A28" s="72" t="str">
        <f>'Master List'!C10</f>
        <v>D. BRUMIT</v>
      </c>
      <c r="B28" s="27" t="str">
        <f>AF135</f>
        <v>DBCS</v>
      </c>
      <c r="C28" s="27" t="str">
        <f>AI135</f>
        <v>FSS</v>
      </c>
      <c r="D28" s="27" t="str">
        <f>AL135</f>
        <v>FSS</v>
      </c>
      <c r="E28" s="27" t="str">
        <f>AO135</f>
        <v>FSS</v>
      </c>
      <c r="F28" s="27" t="str">
        <f>AR135</f>
        <v>FSS</v>
      </c>
      <c r="G28" s="27" t="str">
        <f>AU135</f>
        <v>FSS</v>
      </c>
      <c r="H28" s="27" t="str">
        <f>AX135</f>
        <v xml:space="preserve"> </v>
      </c>
      <c r="I28" s="20"/>
      <c r="J28" s="598"/>
      <c r="K28" s="599"/>
      <c r="L28" s="600"/>
      <c r="M28" s="781" t="str">
        <f>IF(A28=" "," ",".")</f>
        <v>.</v>
      </c>
      <c r="N28" s="601"/>
      <c r="O28" s="601"/>
      <c r="P28" s="600"/>
      <c r="Q28" s="600"/>
      <c r="R28" s="141"/>
      <c r="S28" s="91"/>
      <c r="AI28" s="17"/>
      <c r="AL28" s="17"/>
      <c r="AO28" s="17"/>
      <c r="AR28" s="17"/>
      <c r="AU28" s="17"/>
    </row>
    <row r="29" spans="1:51" ht="15" customHeight="1" x14ac:dyDescent="0.25">
      <c r="A29" s="72"/>
      <c r="B29" s="27" t="str">
        <f>AF136</f>
        <v>DB6/Test Deck</v>
      </c>
      <c r="C29" s="27" t="str">
        <f>AI136</f>
        <v xml:space="preserve"> </v>
      </c>
      <c r="D29" s="27" t="str">
        <f>AL136</f>
        <v xml:space="preserve"> </v>
      </c>
      <c r="E29" s="27" t="str">
        <f>AO136</f>
        <v xml:space="preserve"> </v>
      </c>
      <c r="F29" s="27" t="str">
        <f>AR136</f>
        <v xml:space="preserve"> </v>
      </c>
      <c r="G29" s="27" t="str">
        <f>AU136</f>
        <v xml:space="preserve"> </v>
      </c>
      <c r="H29" s="27" t="str">
        <f>AX136</f>
        <v/>
      </c>
      <c r="I29" s="20"/>
      <c r="J29" s="326"/>
      <c r="K29" s="326"/>
      <c r="L29" s="600"/>
      <c r="M29" s="781" t="str">
        <f>IF(A28=" "," ",".")</f>
        <v>.</v>
      </c>
      <c r="N29" s="601"/>
      <c r="O29" s="601"/>
      <c r="P29" s="600"/>
      <c r="Q29" s="600"/>
      <c r="R29" s="141"/>
      <c r="S29" s="91"/>
      <c r="AC29" s="308"/>
      <c r="AD29" s="317"/>
      <c r="AE29" s="317"/>
      <c r="AF29" s="317"/>
      <c r="AG29" s="317"/>
      <c r="AH29" s="317"/>
      <c r="AI29" s="317"/>
      <c r="AJ29" s="317"/>
      <c r="AK29" s="317"/>
      <c r="AL29" s="317"/>
      <c r="AM29" s="317"/>
      <c r="AN29" s="317"/>
      <c r="AO29" s="317"/>
      <c r="AP29" s="317"/>
      <c r="AQ29" s="317"/>
      <c r="AR29" s="317"/>
      <c r="AS29" s="317"/>
      <c r="AT29" s="317"/>
      <c r="AU29" s="317"/>
      <c r="AV29" s="317"/>
      <c r="AW29" s="317"/>
      <c r="AX29" s="317"/>
      <c r="AY29" s="317"/>
    </row>
    <row r="30" spans="1:51" ht="15" customHeight="1" thickBot="1" x14ac:dyDescent="0.3">
      <c r="A30" s="73"/>
      <c r="B30" s="74"/>
      <c r="C30" s="74"/>
      <c r="D30" s="74"/>
      <c r="E30" s="74"/>
      <c r="F30" s="74"/>
      <c r="G30" s="74"/>
      <c r="H30" s="74"/>
      <c r="I30" s="137">
        <v>16</v>
      </c>
      <c r="J30" s="598"/>
      <c r="K30" s="599"/>
      <c r="L30" s="600"/>
      <c r="M30" s="781" t="str">
        <f>IF(A28=" "," ",".")</f>
        <v>.</v>
      </c>
      <c r="N30" s="601"/>
      <c r="O30" s="601"/>
      <c r="P30" s="600"/>
      <c r="Q30" s="600"/>
      <c r="R30" s="141"/>
      <c r="S30" s="91"/>
      <c r="AC30" s="308"/>
      <c r="AD30" s="317"/>
      <c r="AE30" s="317"/>
      <c r="AF30" s="317"/>
      <c r="AG30" s="317"/>
      <c r="AH30" s="317"/>
      <c r="AI30" s="317"/>
      <c r="AJ30" s="317"/>
      <c r="AK30" s="317"/>
      <c r="AL30" s="317"/>
      <c r="AM30" s="317"/>
      <c r="AN30" s="317"/>
      <c r="AO30" s="317"/>
      <c r="AP30" s="317"/>
      <c r="AQ30" s="317"/>
      <c r="AR30" s="317"/>
      <c r="AS30" s="317"/>
      <c r="AT30" s="317"/>
      <c r="AU30" s="317"/>
      <c r="AV30" s="317"/>
      <c r="AW30" s="317"/>
      <c r="AX30" s="317"/>
      <c r="AY30" s="317"/>
    </row>
    <row r="31" spans="1:51" ht="15" customHeight="1" x14ac:dyDescent="0.25">
      <c r="A31" s="75"/>
      <c r="B31" s="30" t="str">
        <f>IF(OR(Schedule!F21="OT*",Schedule!F21=3,Schedule!F21="3NV",Schedule!F21="OTV",Schedule!F21="OTNV",Schedule!F21="OT",Schedule!F21="3V",Schedule!F21="*OTBT",Schedule!F21="*OTET")," ",Schedule!F21)</f>
        <v xml:space="preserve"> </v>
      </c>
      <c r="C31" s="30" t="str">
        <f>IF(OR(Schedule!G21="OT*",Schedule!G21=3,Schedule!G21="3NV",Schedule!G21="OTV",Schedule!G21="OTNV",Schedule!G21="OT",Schedule!G21="3V",Schedule!G21="*OTBT",Schedule!G21="*OTET")," ",Schedule!G21)</f>
        <v xml:space="preserve"> </v>
      </c>
      <c r="D31" s="30" t="str">
        <f>IF(OR(Schedule!H21="OT*",Schedule!H21=3,Schedule!H21="3NV",Schedule!H21="OTV",Schedule!H21="OTNV",Schedule!H21="OT",Schedule!H21="3V",Schedule!H21="*OTBT",Schedule!H21="*OTET")," ",Schedule!H21)</f>
        <v xml:space="preserve"> </v>
      </c>
      <c r="E31" s="30" t="str">
        <f>IF(OR(Schedule!I21="OT*",Schedule!I21=3,Schedule!I21="3NV",Schedule!I21="OTV",Schedule!I21="OTNV",Schedule!I21="OT",Schedule!I21="3V",Schedule!I21="*OTBT",Schedule!I21="*OTET")," ",Schedule!I21)</f>
        <v xml:space="preserve"> </v>
      </c>
      <c r="F31" s="30" t="str">
        <f>IF(OR(Schedule!J21="OT*",Schedule!J21=3,Schedule!J21="3NV",Schedule!J21="OTV",Schedule!J21="OTNV",Schedule!J21="OT",Schedule!J21="3V",Schedule!J21="*OTBT",Schedule!J21="*OTET")," ",Schedule!J21)</f>
        <v xml:space="preserve"> </v>
      </c>
      <c r="G31" s="30" t="str">
        <f>IF(OR(Schedule!K21="OT*",Schedule!K21=3,Schedule!K21="3NV",Schedule!K21="OTV",Schedule!K21="OTNV",Schedule!K21="OT",Schedule!K21="3V",Schedule!K21="*OTBT",Schedule!K21="*OTET")," ",Schedule!K21)</f>
        <v>NS</v>
      </c>
      <c r="H31" s="30" t="str">
        <f>IF(OR(Schedule!L21="OT*",Schedule!L21=3,Schedule!L21="3NV",Schedule!L21="OTV",Schedule!L21="OTNV",Schedule!L21="OT",Schedule!L21="3V",Schedule!L21="*OTBT",Schedule!L21="*OTET")," ",Schedule!L21)</f>
        <v xml:space="preserve"> </v>
      </c>
      <c r="I31" s="19"/>
      <c r="J31" s="326"/>
      <c r="K31" s="326"/>
      <c r="L31" s="600"/>
      <c r="M31" s="781" t="str">
        <f>IF(A32=" "," ",".")</f>
        <v>.</v>
      </c>
      <c r="N31" s="601"/>
      <c r="O31" s="601"/>
      <c r="P31" s="600"/>
      <c r="Q31" s="600"/>
      <c r="R31" s="141"/>
      <c r="S31" s="91"/>
      <c r="AC31" s="308"/>
      <c r="AD31" s="317"/>
      <c r="AE31" s="317"/>
      <c r="AF31" s="317"/>
      <c r="AG31" s="317"/>
      <c r="AH31" s="317"/>
      <c r="AI31" s="317"/>
      <c r="AJ31" s="317"/>
      <c r="AK31" s="317"/>
      <c r="AL31" s="317"/>
      <c r="AM31" s="317"/>
      <c r="AN31" s="317"/>
      <c r="AO31" s="317"/>
      <c r="AP31" s="317"/>
      <c r="AQ31" s="317"/>
      <c r="AR31" s="317"/>
      <c r="AS31" s="317"/>
      <c r="AT31" s="317"/>
      <c r="AU31" s="317"/>
      <c r="AV31" s="317"/>
      <c r="AW31" s="317"/>
      <c r="AX31" s="317"/>
      <c r="AY31" s="317"/>
    </row>
    <row r="32" spans="1:51" ht="15" customHeight="1" x14ac:dyDescent="0.25">
      <c r="A32" s="77" t="str">
        <f>'Master List'!C11</f>
        <v>J. MAYER</v>
      </c>
      <c r="B32" s="27" t="str">
        <f>AF138</f>
        <v>DBCS</v>
      </c>
      <c r="C32" s="27" t="str">
        <f>AI138</f>
        <v>DBCS</v>
      </c>
      <c r="D32" s="27" t="str">
        <f>AL138</f>
        <v>DBCS</v>
      </c>
      <c r="E32" s="27" t="str">
        <f>AO138</f>
        <v>DBCS</v>
      </c>
      <c r="F32" s="27" t="str">
        <f>AR138</f>
        <v>DBCS</v>
      </c>
      <c r="G32" s="27" t="str">
        <f>AU138</f>
        <v xml:space="preserve"> </v>
      </c>
      <c r="H32" s="27" t="str">
        <f>AX138</f>
        <v>DBCS</v>
      </c>
      <c r="I32" s="20"/>
      <c r="J32" s="598"/>
      <c r="K32" s="599"/>
      <c r="L32" s="600"/>
      <c r="M32" s="781" t="str">
        <f>IF(A32=" "," ",".")</f>
        <v>.</v>
      </c>
      <c r="N32" s="601"/>
      <c r="O32" s="601"/>
      <c r="P32" s="600"/>
      <c r="Q32" s="600"/>
      <c r="R32" s="141"/>
      <c r="S32" s="91"/>
      <c r="AC32" s="308"/>
      <c r="AD32" s="317"/>
      <c r="AE32" s="317"/>
      <c r="AF32" s="317"/>
      <c r="AG32" s="317"/>
      <c r="AH32" s="317"/>
      <c r="AI32" s="317"/>
      <c r="AJ32" s="317"/>
      <c r="AK32" s="317"/>
      <c r="AL32" s="317"/>
      <c r="AM32" s="317"/>
      <c r="AN32" s="317"/>
      <c r="AO32" s="317"/>
      <c r="AP32" s="317"/>
      <c r="AQ32" s="317"/>
      <c r="AR32" s="317"/>
      <c r="AS32" s="317"/>
      <c r="AT32" s="317"/>
      <c r="AU32" s="317"/>
      <c r="AV32" s="317"/>
      <c r="AW32" s="317"/>
      <c r="AX32" s="317"/>
      <c r="AY32" s="317"/>
    </row>
    <row r="33" spans="1:51" ht="15" customHeight="1" x14ac:dyDescent="0.25">
      <c r="A33" s="77"/>
      <c r="B33" s="27" t="str">
        <f>AF139</f>
        <v>ECBM ROUTES</v>
      </c>
      <c r="C33" s="27" t="str">
        <f>AI139</f>
        <v>ECBM ROUTES</v>
      </c>
      <c r="D33" s="27" t="str">
        <f>AL139</f>
        <v>DB6/Test Deck</v>
      </c>
      <c r="E33" s="27" t="str">
        <f>AO139</f>
        <v>ECBM ROUTES</v>
      </c>
      <c r="F33" s="27" t="str">
        <f>AR139</f>
        <v>ECBM ROUTES</v>
      </c>
      <c r="G33" s="27" t="str">
        <f>AU139</f>
        <v/>
      </c>
      <c r="H33" s="27" t="str">
        <f>AX139</f>
        <v>SORT PLAN/GAP</v>
      </c>
      <c r="I33" s="20"/>
      <c r="J33" s="603"/>
      <c r="K33" s="604"/>
      <c r="L33" s="605"/>
      <c r="M33" s="781" t="str">
        <f>IF(A32=" "," ",".")</f>
        <v>.</v>
      </c>
      <c r="N33" s="600"/>
      <c r="O33" s="601"/>
      <c r="P33" s="600"/>
      <c r="Q33" s="600"/>
      <c r="R33" s="141"/>
      <c r="S33" s="91"/>
      <c r="AC33" s="308"/>
      <c r="AD33" s="317"/>
      <c r="AE33" s="317"/>
      <c r="AF33" s="317"/>
      <c r="AG33" s="317"/>
      <c r="AH33" s="317"/>
      <c r="AI33" s="317"/>
      <c r="AJ33" s="317"/>
      <c r="AK33" s="317"/>
      <c r="AL33" s="317"/>
      <c r="AM33" s="317"/>
      <c r="AN33" s="317"/>
      <c r="AO33" s="317"/>
      <c r="AP33" s="317"/>
      <c r="AQ33" s="317"/>
      <c r="AR33" s="17"/>
      <c r="AU33" s="17"/>
    </row>
    <row r="34" spans="1:51" ht="15" customHeight="1" thickBot="1" x14ac:dyDescent="0.3">
      <c r="A34" s="73"/>
      <c r="B34" s="312"/>
      <c r="C34" s="74"/>
      <c r="D34" s="74"/>
      <c r="E34" s="74"/>
      <c r="F34" s="74"/>
      <c r="G34" s="74"/>
      <c r="H34" s="74"/>
      <c r="I34" s="21"/>
      <c r="J34" s="603"/>
      <c r="K34" s="606"/>
      <c r="L34" s="605"/>
      <c r="M34" s="781" t="str">
        <f>IF(A32=" "," ",".")</f>
        <v>.</v>
      </c>
      <c r="N34" s="600"/>
      <c r="O34" s="601"/>
      <c r="P34" s="600"/>
      <c r="Q34" s="600"/>
      <c r="R34" s="141"/>
      <c r="S34" s="91"/>
      <c r="AC34" s="308"/>
      <c r="AD34" s="317"/>
      <c r="AE34" s="317"/>
      <c r="AF34" s="317"/>
      <c r="AG34" s="317"/>
      <c r="AH34" s="317"/>
      <c r="AI34" s="317"/>
      <c r="AJ34" s="317"/>
      <c r="AK34" s="317"/>
      <c r="AL34" s="317"/>
      <c r="AM34" s="317"/>
      <c r="AN34" s="317"/>
      <c r="AO34" s="317"/>
      <c r="AP34" s="317"/>
      <c r="AQ34" s="317"/>
      <c r="AR34" s="17"/>
      <c r="AU34" s="17"/>
    </row>
    <row r="35" spans="1:51" ht="15" customHeight="1" x14ac:dyDescent="0.25">
      <c r="A35" s="75"/>
      <c r="B35" s="30" t="str">
        <f>IF(OR(Schedule!F22="OT*",Schedule!F22=3,Schedule!F22="3NV",Schedule!F22="OTV",Schedule!F22="OTNV",Schedule!F22="OT",Schedule!F22="3V",Schedule!F22="*OTBT",Schedule!F22="*OTET")," ",Schedule!F22)</f>
        <v xml:space="preserve"> </v>
      </c>
      <c r="C35" s="30" t="str">
        <f>IF(OR(Schedule!G22="OT*",Schedule!G22=3,Schedule!G22="3NV",Schedule!G22="OTV",Schedule!G22="OTNV",Schedule!G22="OT",Schedule!G22="3V",Schedule!G22="*OTBT",Schedule!G22="*OTET")," ",Schedule!G22)</f>
        <v xml:space="preserve"> </v>
      </c>
      <c r="D35" s="30" t="str">
        <f>IF(OR(Schedule!H22="OT*",Schedule!H22=3,Schedule!H22="3NV",Schedule!H22="OTV",Schedule!H22="OTNV",Schedule!H22="OT",Schedule!H22="3V",Schedule!H22="*OTBT",Schedule!H22="*OTET")," ",Schedule!H22)</f>
        <v>NS</v>
      </c>
      <c r="E35" s="30" t="str">
        <f>IF(OR(Schedule!I22="OT*",Schedule!I22=3,Schedule!I22="3NV",Schedule!I22="OTV",Schedule!I22="OTNV",Schedule!I22="OT",Schedule!I22="3V",Schedule!I22="*OTBT",Schedule!I22="*OTET")," ",Schedule!I22)</f>
        <v>TRVL</v>
      </c>
      <c r="F35" s="30" t="str">
        <f>IF(OR(Schedule!J22="OT*",Schedule!J22=3,Schedule!J22="3NV",Schedule!J22="OTV",Schedule!J22="OTNV",Schedule!J22="OT",Schedule!J22="3V",Schedule!J22="*OTBT",Schedule!J22="*OTET")," ",Schedule!J22)</f>
        <v>TRNG</v>
      </c>
      <c r="G35" s="30" t="str">
        <f>IF(OR(Schedule!K22="OT*",Schedule!K22=3,Schedule!K22="3NV",Schedule!K22="OTV",Schedule!K22="OTNV",Schedule!K22="OT",Schedule!K22="3V",Schedule!K22="*OTBT",Schedule!K22="*OTET")," ",Schedule!K22)</f>
        <v>TRNG</v>
      </c>
      <c r="H35" s="30" t="str">
        <f>IF(OR(Schedule!L22="OT*",Schedule!L22=3,Schedule!L22="3NV",Schedule!L22="OTV",Schedule!L22="OTNV",Schedule!L22="OT",Schedule!L22="3V",Schedule!L22="*OTBT",Schedule!L22="*OTET")," ",Schedule!L22)</f>
        <v>TRVL</v>
      </c>
      <c r="I35" s="21"/>
      <c r="J35" s="182"/>
      <c r="K35" s="853">
        <f>Schedule!H7</f>
        <v>5</v>
      </c>
      <c r="M35" s="781" t="str">
        <f>IF(A36=" "," ",".")</f>
        <v>.</v>
      </c>
      <c r="N35" s="91"/>
      <c r="O35" s="601"/>
      <c r="P35" s="91"/>
      <c r="Q35" s="91"/>
      <c r="R35" s="141"/>
      <c r="S35" s="91"/>
      <c r="AC35" s="308"/>
      <c r="AD35" s="317"/>
      <c r="AE35" s="317"/>
      <c r="AF35" s="317"/>
      <c r="AG35" s="317"/>
      <c r="AH35" s="317"/>
      <c r="AI35" s="317"/>
      <c r="AJ35" s="317"/>
      <c r="AK35" s="317"/>
      <c r="AL35" s="317"/>
      <c r="AM35" s="317"/>
      <c r="AN35" s="317"/>
      <c r="AO35" s="317"/>
      <c r="AP35" s="317"/>
      <c r="AQ35" s="317"/>
      <c r="AR35" s="17"/>
      <c r="AU35" s="17"/>
    </row>
    <row r="36" spans="1:51" ht="15" customHeight="1" x14ac:dyDescent="0.25">
      <c r="A36" s="77" t="str">
        <f>'Master List'!C12</f>
        <v>P. BRUCE</v>
      </c>
      <c r="B36" s="27" t="str">
        <f>AF141</f>
        <v>AFCS</v>
      </c>
      <c r="C36" s="27" t="str">
        <f>AI141</f>
        <v>DBCS</v>
      </c>
      <c r="D36" s="27" t="str">
        <f>AL141</f>
        <v xml:space="preserve"> </v>
      </c>
      <c r="E36" s="27" t="str">
        <f>AO141</f>
        <v xml:space="preserve"> </v>
      </c>
      <c r="F36" s="27" t="str">
        <f>AR141</f>
        <v xml:space="preserve"> </v>
      </c>
      <c r="G36" s="27" t="str">
        <f>AU141</f>
        <v xml:space="preserve"> </v>
      </c>
      <c r="H36" s="27" t="str">
        <f>AX141</f>
        <v xml:space="preserve"> </v>
      </c>
      <c r="I36" s="21"/>
      <c r="J36" s="182"/>
      <c r="K36" s="853"/>
      <c r="M36" s="781" t="str">
        <f>IF(A36=" "," ",".")</f>
        <v>.</v>
      </c>
      <c r="N36" s="91"/>
      <c r="O36" s="601"/>
      <c r="P36" s="91"/>
      <c r="Q36" s="91"/>
      <c r="R36" s="141"/>
      <c r="S36" s="91"/>
      <c r="AC36" s="308"/>
      <c r="AD36" s="317"/>
      <c r="AE36" s="317"/>
      <c r="AF36" s="317"/>
      <c r="AG36" s="317"/>
      <c r="AH36" s="317"/>
      <c r="AI36" s="317"/>
      <c r="AJ36" s="317"/>
      <c r="AK36" s="317"/>
      <c r="AL36" s="317"/>
      <c r="AM36" s="317"/>
      <c r="AN36" s="317"/>
      <c r="AO36" s="317"/>
      <c r="AP36" s="317"/>
      <c r="AQ36" s="317"/>
      <c r="AR36" s="17"/>
      <c r="AU36" s="17"/>
    </row>
    <row r="37" spans="1:51" ht="15" customHeight="1" x14ac:dyDescent="0.25">
      <c r="A37" s="77"/>
      <c r="B37" s="27" t="str">
        <f>AF142</f>
        <v>BDS/IJP</v>
      </c>
      <c r="C37" s="27" t="str">
        <f>AI142</f>
        <v>SORT PLAN/GAP</v>
      </c>
      <c r="D37" s="27" t="str">
        <f>AL142</f>
        <v/>
      </c>
      <c r="E37" s="27" t="str">
        <f>AO142</f>
        <v/>
      </c>
      <c r="F37" s="27" t="str">
        <f>AR142</f>
        <v/>
      </c>
      <c r="G37" s="27" t="str">
        <f>AU142</f>
        <v/>
      </c>
      <c r="H37" s="27" t="str">
        <f>AX142</f>
        <v/>
      </c>
      <c r="I37" s="132">
        <v>1</v>
      </c>
      <c r="J37" s="182"/>
      <c r="K37" s="853"/>
      <c r="M37" s="781" t="str">
        <f>IF(A36=" "," ",".")</f>
        <v>.</v>
      </c>
      <c r="N37" s="91"/>
      <c r="O37" s="601"/>
      <c r="P37" s="92"/>
      <c r="Q37" s="92"/>
      <c r="R37" s="141"/>
      <c r="S37" s="91"/>
      <c r="AC37" s="308"/>
      <c r="AD37" s="317"/>
      <c r="AE37" s="317"/>
      <c r="AF37" s="317"/>
      <c r="AG37" s="317"/>
      <c r="AH37" s="317"/>
      <c r="AI37" s="317"/>
      <c r="AJ37" s="317"/>
      <c r="AK37" s="317"/>
      <c r="AL37" s="317"/>
      <c r="AM37" s="317"/>
      <c r="AN37" s="317"/>
      <c r="AO37" s="317"/>
      <c r="AP37" s="317"/>
      <c r="AQ37" s="317"/>
      <c r="AR37" s="17"/>
      <c r="AU37" s="17"/>
    </row>
    <row r="38" spans="1:51" ht="15" customHeight="1" thickBot="1" x14ac:dyDescent="0.3">
      <c r="A38" s="73"/>
      <c r="B38" s="74"/>
      <c r="C38" s="74"/>
      <c r="D38" s="74"/>
      <c r="E38" s="74"/>
      <c r="F38" s="74"/>
      <c r="G38" s="74"/>
      <c r="H38" s="74"/>
      <c r="I38" s="74">
        <v>19</v>
      </c>
      <c r="J38" s="182"/>
      <c r="K38" s="184"/>
      <c r="L38" s="91"/>
      <c r="M38" s="781" t="str">
        <f>IF(A36=" "," ",".")</f>
        <v>.</v>
      </c>
      <c r="N38" s="91"/>
      <c r="O38" s="601"/>
      <c r="P38" s="91"/>
      <c r="Q38" s="91"/>
      <c r="R38" s="141"/>
      <c r="S38" s="91"/>
      <c r="AC38" s="308"/>
      <c r="AD38" s="317"/>
      <c r="AE38" s="317"/>
      <c r="AF38" s="317"/>
      <c r="AG38" s="317"/>
      <c r="AH38" s="317"/>
      <c r="AI38" s="317"/>
      <c r="AJ38" s="317"/>
      <c r="AK38" s="317"/>
      <c r="AL38" s="317"/>
      <c r="AM38" s="317"/>
      <c r="AN38" s="317"/>
      <c r="AO38" s="317"/>
      <c r="AP38" s="317"/>
      <c r="AQ38" s="317"/>
      <c r="AR38" s="17"/>
      <c r="AU38" s="17"/>
    </row>
    <row r="39" spans="1:51" ht="15" customHeight="1" x14ac:dyDescent="0.2">
      <c r="A39" s="75"/>
      <c r="B39" s="30" t="str">
        <f>IF(OR(Schedule!F23="OT*",Schedule!F23=3,Schedule!F23="3NV",Schedule!F23="OTV",Schedule!F23="OTNV",Schedule!F23="OT",Schedule!F23="3V",Schedule!F23="*OTBT",Schedule!F23="*OTET")," ",Schedule!F23)</f>
        <v xml:space="preserve"> </v>
      </c>
      <c r="C39" s="30" t="str">
        <f>IF(OR(Schedule!G23="OT*",Schedule!G23=3,Schedule!G23="3NV",Schedule!G23="OTV",Schedule!G23="OTNV",Schedule!G23="OT",Schedule!G23="3V",Schedule!G23="*OTBT",Schedule!G23="*OTET")," ",Schedule!G23)</f>
        <v xml:space="preserve"> </v>
      </c>
      <c r="D39" s="30" t="str">
        <f>IF(OR(Schedule!H23="OT*",Schedule!H23=3,Schedule!H23="3NV",Schedule!H23="OTV",Schedule!H23="OTNV",Schedule!H23="OT",Schedule!H23="3V",Schedule!H23="*OTBT",Schedule!H23="*OTET")," ",Schedule!H23)</f>
        <v xml:space="preserve"> </v>
      </c>
      <c r="E39" s="30" t="str">
        <f>IF(OR(Schedule!I23="OT*",Schedule!I23=3,Schedule!I23="3NV",Schedule!I23="OTV",Schedule!I23="OTNV",Schedule!I23="OT",Schedule!I23="3V",Schedule!I23="*OTBT",Schedule!I23="*OTET")," ",Schedule!I23)</f>
        <v xml:space="preserve"> </v>
      </c>
      <c r="F39" s="30" t="str">
        <f>IF(OR(Schedule!J23="OT*",Schedule!J23=3,Schedule!J23="3NV",Schedule!J23="OTV",Schedule!J23="OTNV",Schedule!J23="OT",Schedule!J23="3V",Schedule!J23="*OTBT",Schedule!J23="*OTET")," ",Schedule!J23)</f>
        <v>NS</v>
      </c>
      <c r="G39" s="30" t="str">
        <f>IF(OR(Schedule!K23="OT*",Schedule!K23=3,Schedule!K23="3NV",Schedule!K23="OTV",Schedule!K23="OTNV",Schedule!K23="OT",Schedule!K23="3V",Schedule!K23="*OTBT",Schedule!K23="*OTET")," ",Schedule!K23)</f>
        <v xml:space="preserve"> </v>
      </c>
      <c r="H39" s="30" t="str">
        <f>IF(OR(Schedule!L23="OT*",Schedule!L23=3,Schedule!L23="3NV",Schedule!L23="OTV",Schedule!L23="OTNV",Schedule!L23="OT",Schedule!L23="3V",Schedule!L23="*OTBT",Schedule!L23="*OTET")," ",Schedule!L23)</f>
        <v xml:space="preserve"> </v>
      </c>
      <c r="I39" s="21"/>
      <c r="J39" s="182"/>
      <c r="K39" s="853">
        <f>Schedule!J7</f>
        <v>2</v>
      </c>
      <c r="L39" s="178"/>
      <c r="M39" s="781" t="str">
        <f>IF(A40=" "," ",".")</f>
        <v>.</v>
      </c>
      <c r="N39" s="91"/>
      <c r="O39" s="601"/>
      <c r="P39" s="91"/>
      <c r="Q39" s="91"/>
      <c r="R39" s="91"/>
      <c r="S39" s="91"/>
      <c r="AC39" s="308"/>
      <c r="AD39" s="317"/>
      <c r="AE39" s="317"/>
      <c r="AF39" s="317"/>
      <c r="AG39" s="317"/>
      <c r="AH39" s="317"/>
      <c r="AI39" s="317"/>
      <c r="AJ39" s="317"/>
      <c r="AK39" s="317"/>
      <c r="AL39" s="317"/>
      <c r="AM39" s="317"/>
      <c r="AN39" s="317"/>
      <c r="AO39" s="317"/>
      <c r="AP39" s="317"/>
      <c r="AQ39" s="317"/>
      <c r="AR39" s="317"/>
      <c r="AS39" s="317"/>
      <c r="AT39" s="317"/>
      <c r="AU39" s="317"/>
      <c r="AV39" s="317"/>
      <c r="AW39" s="317"/>
      <c r="AX39" s="317"/>
      <c r="AY39" s="317"/>
    </row>
    <row r="40" spans="1:51" ht="15" customHeight="1" x14ac:dyDescent="0.25">
      <c r="A40" s="77" t="str">
        <f>'Master List'!C13</f>
        <v>T. PHAM</v>
      </c>
      <c r="B40" s="27" t="str">
        <f>AF144</f>
        <v>AFCS</v>
      </c>
      <c r="C40" s="27" t="str">
        <f>AI144</f>
        <v>DBCS</v>
      </c>
      <c r="D40" s="27" t="str">
        <f>AL144</f>
        <v>DBCS</v>
      </c>
      <c r="E40" s="27" t="str">
        <f>AO144</f>
        <v>AFCS</v>
      </c>
      <c r="F40" s="27" t="str">
        <f>AR144</f>
        <v xml:space="preserve"> </v>
      </c>
      <c r="G40" s="27" t="str">
        <f>AU144</f>
        <v>DBCS</v>
      </c>
      <c r="H40" s="27" t="str">
        <f>AX144</f>
        <v>FSS</v>
      </c>
      <c r="I40" s="21"/>
      <c r="J40" s="182"/>
      <c r="K40" s="853"/>
      <c r="L40" s="177"/>
      <c r="M40" s="781" t="str">
        <f>IF(A40=" "," ",".")</f>
        <v>.</v>
      </c>
      <c r="N40" s="91"/>
      <c r="O40" s="601"/>
      <c r="P40" s="91"/>
      <c r="Q40" s="91"/>
      <c r="R40" s="156"/>
      <c r="S40" s="91"/>
      <c r="AC40" s="308"/>
      <c r="AD40" s="317"/>
      <c r="AE40" s="317"/>
      <c r="AF40" s="317"/>
      <c r="AG40" s="317"/>
      <c r="AH40" s="317"/>
      <c r="AI40" s="317"/>
      <c r="AJ40" s="317"/>
      <c r="AK40" s="317"/>
      <c r="AL40" s="317"/>
      <c r="AM40" s="317"/>
      <c r="AN40" s="317"/>
      <c r="AO40" s="317"/>
      <c r="AP40" s="317"/>
      <c r="AQ40" s="317"/>
      <c r="AR40" s="317"/>
      <c r="AS40" s="317"/>
      <c r="AT40" s="317"/>
      <c r="AU40" s="317"/>
      <c r="AV40" s="317"/>
      <c r="AW40" s="317"/>
      <c r="AX40" s="317"/>
      <c r="AY40" s="317"/>
    </row>
    <row r="41" spans="1:51" ht="15" customHeight="1" x14ac:dyDescent="0.25">
      <c r="A41" s="77"/>
      <c r="B41" s="27" t="str">
        <f>AF145</f>
        <v>CARS/PARS/IPSS</v>
      </c>
      <c r="C41" s="27" t="str">
        <f>AI145</f>
        <v>DB6/Test Deck</v>
      </c>
      <c r="D41" s="27" t="str">
        <f>AL145</f>
        <v>DB6/Test Deck</v>
      </c>
      <c r="E41" s="27" t="str">
        <f>AO145</f>
        <v>BDS/IJP</v>
      </c>
      <c r="F41" s="27" t="str">
        <f>AR145</f>
        <v/>
      </c>
      <c r="G41" s="27" t="str">
        <f>AU145</f>
        <v>SORT PLAN/GAP</v>
      </c>
      <c r="H41" s="27" t="str">
        <f>AX145</f>
        <v xml:space="preserve"> </v>
      </c>
      <c r="I41" s="21"/>
      <c r="J41" s="183"/>
      <c r="K41" s="853"/>
      <c r="L41" s="177"/>
      <c r="M41" s="781" t="str">
        <f>IF(A40=" "," ",".")</f>
        <v>.</v>
      </c>
      <c r="N41" s="91"/>
      <c r="AI41" s="17"/>
      <c r="AL41" s="17"/>
      <c r="AO41" s="17"/>
      <c r="AR41" s="17"/>
      <c r="AU41" s="17"/>
    </row>
    <row r="42" spans="1:51" ht="15" customHeight="1" thickBot="1" x14ac:dyDescent="0.25">
      <c r="A42" s="73"/>
      <c r="B42" s="74"/>
      <c r="C42" s="74"/>
      <c r="D42" s="74"/>
      <c r="E42" s="74"/>
      <c r="F42" s="74"/>
      <c r="G42" s="74"/>
      <c r="H42" s="74"/>
      <c r="I42" s="74">
        <v>1</v>
      </c>
      <c r="J42" s="183"/>
      <c r="K42" s="184"/>
      <c r="L42" s="177"/>
      <c r="M42" s="781" t="str">
        <f>IF(A40=" "," ",".")</f>
        <v>.</v>
      </c>
      <c r="N42" s="91"/>
      <c r="AI42" s="17"/>
      <c r="AL42" s="17"/>
      <c r="AO42" s="17"/>
      <c r="AR42" s="17"/>
      <c r="AU42" s="17"/>
    </row>
    <row r="43" spans="1:51" ht="15" customHeight="1" x14ac:dyDescent="0.2">
      <c r="A43" s="75"/>
      <c r="B43" s="30" t="str">
        <f>IF(OR(Schedule!F24="OT*",Schedule!F24=3,Schedule!F24="3NV",Schedule!F24="OTV",Schedule!F24="OTNV",Schedule!F24="OT",Schedule!F24="3V",Schedule!F24="*OTBT",Schedule!F24="*OTET")," ",Schedule!F24)</f>
        <v>AL</v>
      </c>
      <c r="C43" s="30" t="str">
        <f>IF(OR(Schedule!G24="OT*",Schedule!G24=3,Schedule!G24="3NV",Schedule!G24="OTV",Schedule!G24="OTNV",Schedule!G24="OT",Schedule!G24="3V",Schedule!G24="*OTBT",Schedule!G24="*OTET")," ",Schedule!G24)</f>
        <v xml:space="preserve"> </v>
      </c>
      <c r="D43" s="30" t="str">
        <f>IF(OR(Schedule!H24="OT*",Schedule!H24=3,Schedule!H24="3NV",Schedule!H24="OTV",Schedule!H24="OTNV",Schedule!H24="OT",Schedule!H24="3V",Schedule!H24="*OTBT",Schedule!H24="*OTET")," ",Schedule!H24)</f>
        <v xml:space="preserve"> </v>
      </c>
      <c r="E43" s="30" t="str">
        <f>IF(OR(Schedule!I24="OT*",Schedule!I24=3,Schedule!I24="3NV",Schedule!I24="OTV",Schedule!I24="OTNV",Schedule!I24="OT",Schedule!I24="3V",Schedule!I24="*OTBT",Schedule!I24="*OTET")," ",Schedule!I24)</f>
        <v>NS</v>
      </c>
      <c r="F43" s="30" t="str">
        <f>IF(OR(Schedule!J24="OT*",Schedule!J24=3,Schedule!J24="3NV",Schedule!J24="OTV",Schedule!J24="OTNV",Schedule!J24="OT",Schedule!J24="3V",Schedule!J24="*OTBT",Schedule!J24="*OTET")," ",Schedule!J24)</f>
        <v xml:space="preserve"> </v>
      </c>
      <c r="G43" s="30" t="str">
        <f>IF(OR(Schedule!K24="OT*",Schedule!K24=3,Schedule!K24="3NV",Schedule!K24="OTV",Schedule!K24="OTNV",Schedule!K24="OT",Schedule!K24="3V",Schedule!K24="*OTBT",Schedule!K24="*OTET")," ",Schedule!K24)</f>
        <v xml:space="preserve"> </v>
      </c>
      <c r="H43" s="30" t="str">
        <f>IF(OR(Schedule!L24="OT*",Schedule!L24=3,Schedule!L24="3NV",Schedule!L24="OTV",Schedule!L24="OTNV",Schedule!L24="OT",Schedule!L24="3V",Schedule!L24="*OTBT",Schedule!L24="*OTET")," ",Schedule!L24)</f>
        <v xml:space="preserve"> </v>
      </c>
      <c r="J43" s="183"/>
      <c r="K43" s="184"/>
      <c r="L43" s="177"/>
      <c r="M43" s="781" t="str">
        <f>IF(A44=" "," ",".")</f>
        <v>.</v>
      </c>
      <c r="AI43" s="17"/>
      <c r="AL43" s="17"/>
      <c r="AO43" s="17"/>
      <c r="AR43" s="17"/>
      <c r="AU43" s="17"/>
    </row>
    <row r="44" spans="1:51" ht="15" customHeight="1" x14ac:dyDescent="0.25">
      <c r="A44" s="77" t="str">
        <f>'Master List'!C14</f>
        <v>C. PAN</v>
      </c>
      <c r="B44" s="27" t="str">
        <f>AF147</f>
        <v xml:space="preserve"> </v>
      </c>
      <c r="C44" s="27" t="str">
        <f>AI147</f>
        <v>DBCS</v>
      </c>
      <c r="D44" s="27" t="str">
        <f>AL147</f>
        <v>AFCS</v>
      </c>
      <c r="E44" s="27" t="str">
        <f>AO147</f>
        <v xml:space="preserve"> </v>
      </c>
      <c r="F44" s="27" t="str">
        <f>AR147</f>
        <v>AFCS</v>
      </c>
      <c r="G44" s="27" t="str">
        <f>AU147</f>
        <v>AFCS</v>
      </c>
      <c r="H44" s="27" t="str">
        <f>AX147</f>
        <v>AFCS</v>
      </c>
      <c r="J44" s="185"/>
      <c r="K44" s="184"/>
      <c r="L44" s="180"/>
      <c r="M44" s="781" t="str">
        <f>IF(A44=" "," ",".")</f>
        <v>.</v>
      </c>
      <c r="AI44" s="17"/>
      <c r="AL44" s="17"/>
      <c r="AO44" s="17"/>
      <c r="AR44" s="17"/>
      <c r="AU44" s="17"/>
    </row>
    <row r="45" spans="1:51" ht="15" customHeight="1" x14ac:dyDescent="0.25">
      <c r="A45" s="77"/>
      <c r="B45" s="27" t="str">
        <f>AF148</f>
        <v/>
      </c>
      <c r="C45" s="27" t="str">
        <f>AI148</f>
        <v>DB6/Test Deck</v>
      </c>
      <c r="D45" s="27" t="str">
        <f>AL148</f>
        <v>BDS/IJP</v>
      </c>
      <c r="E45" s="27" t="str">
        <f>AO148</f>
        <v/>
      </c>
      <c r="F45" s="27" t="str">
        <f>AR148</f>
        <v>BDS/IJP</v>
      </c>
      <c r="G45" s="27" t="str">
        <f>AU148</f>
        <v>BDS/IJP</v>
      </c>
      <c r="H45" s="27" t="str">
        <f>AX148</f>
        <v>BDS/IJP</v>
      </c>
      <c r="J45" s="185"/>
      <c r="K45" s="184"/>
      <c r="L45" s="179"/>
      <c r="M45" s="781" t="str">
        <f>IF(A44=" "," ",".")</f>
        <v>.</v>
      </c>
      <c r="AI45" s="17"/>
      <c r="AL45" s="17"/>
      <c r="AO45" s="17"/>
      <c r="AR45" s="17"/>
      <c r="AU45" s="17"/>
    </row>
    <row r="46" spans="1:51" ht="15" customHeight="1" thickBot="1" x14ac:dyDescent="0.25">
      <c r="A46" s="73"/>
      <c r="B46" s="74"/>
      <c r="C46" s="74"/>
      <c r="D46" s="74"/>
      <c r="E46" s="74"/>
      <c r="F46" s="74"/>
      <c r="G46" s="74"/>
      <c r="H46" s="74"/>
      <c r="I46" s="74">
        <v>9</v>
      </c>
      <c r="J46" s="186"/>
      <c r="K46" s="184"/>
      <c r="L46" s="180"/>
      <c r="M46" s="781" t="str">
        <f>IF(A44=" "," ",".")</f>
        <v>.</v>
      </c>
      <c r="AI46" s="17"/>
      <c r="AL46" s="17"/>
      <c r="AO46" s="17"/>
      <c r="AR46" s="17"/>
      <c r="AU46" s="17"/>
    </row>
    <row r="47" spans="1:51" ht="15" customHeight="1" x14ac:dyDescent="0.2">
      <c r="A47" s="75"/>
      <c r="B47" s="30" t="str">
        <f>IF(OR(Schedule!F25="OT*",Schedule!F25=3,Schedule!F25="3NV",Schedule!F25="OTV",Schedule!F25="OTNV",Schedule!F25="OT",Schedule!F25="3V",Schedule!F25="*OTBT",Schedule!F25="*OTET")," ",Schedule!F25)</f>
        <v xml:space="preserve"> </v>
      </c>
      <c r="C47" s="30" t="str">
        <f>IF(OR(Schedule!G25="OT*",Schedule!G25=3,Schedule!G25="3NV",Schedule!G25="OTV",Schedule!G25="OTNV",Schedule!G25="OT",Schedule!G25="3V",Schedule!G25="*OTBT",Schedule!G25="*OTET")," ",Schedule!G25)</f>
        <v xml:space="preserve"> </v>
      </c>
      <c r="D47" s="30" t="str">
        <f>IF(OR(Schedule!H25="OT*",Schedule!H25=3,Schedule!H25="3NV",Schedule!H25="OTV",Schedule!H25="OTNV",Schedule!H25="OT",Schedule!H25="3V",Schedule!H25="*OTBT",Schedule!H25="*OTET")," ",Schedule!H25)</f>
        <v>NS</v>
      </c>
      <c r="E47" s="30" t="str">
        <f>IF(OR(Schedule!I25="OT*",Schedule!I25=3,Schedule!I25="3NV",Schedule!I25="OTV",Schedule!I25="OTNV",Schedule!I25="OT",Schedule!I25="3V",Schedule!I25="*OTBT",Schedule!I25="*OTET")," ",Schedule!I25)</f>
        <v xml:space="preserve"> </v>
      </c>
      <c r="F47" s="30" t="str">
        <f>IF(OR(Schedule!J25="OT*",Schedule!J25=3,Schedule!J25="3NV",Schedule!J25="OTV",Schedule!J25="OTNV",Schedule!J25="OT",Schedule!J25="3V",Schedule!J25="*OTBT",Schedule!J25="*OTET")," ",Schedule!J25)</f>
        <v xml:space="preserve"> </v>
      </c>
      <c r="G47" s="30" t="str">
        <f>IF(OR(Schedule!K25="OT*",Schedule!K25=3,Schedule!K25="3NV",Schedule!K25="OTV",Schedule!K25="OTNV",Schedule!K25="OT",Schedule!K25="3V",Schedule!K25="*OTBT",Schedule!K25="*OTET")," ",Schedule!K25)</f>
        <v xml:space="preserve"> </v>
      </c>
      <c r="H47" s="30" t="str">
        <f>IF(OR(Schedule!L25="OT*",Schedule!L25=3,Schedule!L25="3NV",Schedule!L25="OTV",Schedule!L25="OTNV",Schedule!L25="OT",Schedule!L25="3V",Schedule!L25="*OTBT",Schedule!L25="*OTET")," ",Schedule!L25)</f>
        <v xml:space="preserve"> </v>
      </c>
      <c r="J47" s="186"/>
      <c r="K47" s="184"/>
      <c r="M47" s="781" t="str">
        <f>IF(A48=" "," ",".")</f>
        <v>.</v>
      </c>
      <c r="AI47" s="17"/>
      <c r="AL47" s="17"/>
      <c r="AO47" s="17"/>
      <c r="AR47" s="17"/>
      <c r="AU47" s="17"/>
    </row>
    <row r="48" spans="1:51" ht="15" customHeight="1" x14ac:dyDescent="0.25">
      <c r="A48" s="77" t="str">
        <f>'Master List'!C15</f>
        <v>T. CHEN</v>
      </c>
      <c r="B48" s="27" t="str">
        <f>AF150</f>
        <v>DBCS</v>
      </c>
      <c r="C48" s="27" t="str">
        <f>AI150</f>
        <v>DBCS</v>
      </c>
      <c r="D48" s="27" t="str">
        <f>AL150</f>
        <v xml:space="preserve"> </v>
      </c>
      <c r="E48" s="27" t="str">
        <f>AO150</f>
        <v>DBCS</v>
      </c>
      <c r="F48" s="27" t="str">
        <f>AR150</f>
        <v>DBCS</v>
      </c>
      <c r="G48" s="27" t="str">
        <f>AU150</f>
        <v>DBCS</v>
      </c>
      <c r="H48" s="27" t="str">
        <f>AX150</f>
        <v>DBCS</v>
      </c>
      <c r="J48" s="186"/>
      <c r="K48" s="184"/>
      <c r="L48" s="147"/>
      <c r="M48" s="781" t="str">
        <f>IF(A48=" "," ",".")</f>
        <v>.</v>
      </c>
      <c r="AI48" s="17"/>
      <c r="AL48" s="17"/>
      <c r="AO48" s="17"/>
      <c r="AR48" s="17"/>
      <c r="AU48" s="17"/>
    </row>
    <row r="49" spans="1:93" ht="15" customHeight="1" x14ac:dyDescent="0.25">
      <c r="A49" s="77"/>
      <c r="B49" s="27" t="str">
        <f>AF151</f>
        <v>ECBM ROUTES</v>
      </c>
      <c r="C49" s="27" t="str">
        <f>AI151</f>
        <v>ECBM ROUTES</v>
      </c>
      <c r="D49" s="27" t="str">
        <f>AL151</f>
        <v/>
      </c>
      <c r="E49" s="27" t="str">
        <f>AO151</f>
        <v>ECBM ROUTES</v>
      </c>
      <c r="F49" s="27" t="str">
        <f>AR151</f>
        <v>ECBM ROUTES</v>
      </c>
      <c r="G49" s="27" t="str">
        <f>AU151</f>
        <v>ECBM ROUTES</v>
      </c>
      <c r="H49" s="27" t="str">
        <f>AX151</f>
        <v>ECBM ROUTES</v>
      </c>
      <c r="L49" s="147"/>
      <c r="M49" s="781" t="str">
        <f>IF(A48=" "," ",".")</f>
        <v>.</v>
      </c>
      <c r="AI49" s="17"/>
      <c r="AL49" s="17"/>
      <c r="AO49" s="17"/>
      <c r="AR49" s="17"/>
      <c r="AU49" s="17"/>
    </row>
    <row r="50" spans="1:93" ht="15" customHeight="1" thickBot="1" x14ac:dyDescent="0.25">
      <c r="A50" s="73"/>
      <c r="B50" s="74"/>
      <c r="C50" s="74"/>
      <c r="D50" s="74"/>
      <c r="E50" s="74"/>
      <c r="F50" s="74"/>
      <c r="G50" s="74"/>
      <c r="H50" s="74"/>
      <c r="K50" s="94"/>
      <c r="L50" s="147"/>
      <c r="M50" s="781" t="str">
        <f>IF(A48=" "," ",".")</f>
        <v>.</v>
      </c>
      <c r="AI50" s="17"/>
      <c r="AL50" s="17"/>
      <c r="AO50" s="17"/>
      <c r="AR50" s="17"/>
      <c r="AU50" s="17"/>
    </row>
    <row r="51" spans="1:93" ht="15" customHeight="1" x14ac:dyDescent="0.2">
      <c r="A51" s="75"/>
      <c r="B51" s="30" t="str">
        <f>IF(OR(Schedule!F26="OT*",Schedule!F26=3,Schedule!F26="3NV",Schedule!F26="OTV",Schedule!F26="OTNV",Schedule!F26="OT",Schedule!F26="3V",Schedule!F26="*OTBT",Schedule!F26="*OTET")," ",Schedule!F26)</f>
        <v>*</v>
      </c>
      <c r="C51" s="30" t="str">
        <f>IF(OR(Schedule!G26="OT*",Schedule!G26=3,Schedule!G26="3NV",Schedule!G26="OTV",Schedule!G26="OTNV",Schedule!G26="OT",Schedule!G26="3V",Schedule!G26="*OTBT",Schedule!G26="*OTET")," ",Schedule!G26)</f>
        <v>*</v>
      </c>
      <c r="D51" s="30" t="str">
        <f>IF(OR(Schedule!H26="OT*",Schedule!H26=3,Schedule!H26="3NV",Schedule!H26="OTV",Schedule!H26="OTNV",Schedule!H26="OT",Schedule!H26="3V",Schedule!H26="*OTBT",Schedule!H26="*OTET")," ",Schedule!H26)</f>
        <v>*</v>
      </c>
      <c r="E51" s="30" t="str">
        <f>IF(OR(Schedule!I26="OT*",Schedule!I26=3,Schedule!I26="3NV",Schedule!I26="OTV",Schedule!I26="OTNV",Schedule!I26="OT",Schedule!I26="3V",Schedule!I26="*OTBT",Schedule!I26="*OTET")," ",Schedule!I26)</f>
        <v>*</v>
      </c>
      <c r="F51" s="30" t="str">
        <f>IF(OR(Schedule!J26="OT*",Schedule!J26=3,Schedule!J26="3NV",Schedule!J26="OTV",Schedule!J26="OTNV",Schedule!J26="OT",Schedule!J26="3V",Schedule!J26="*OTBT",Schedule!J26="*OTET")," ",Schedule!J26)</f>
        <v>*</v>
      </c>
      <c r="G51" s="30" t="str">
        <f>IF(OR(Schedule!K26="OT*",Schedule!K26=3,Schedule!K26="3NV",Schedule!K26="OTV",Schedule!K26="OTNV",Schedule!K26="OT",Schedule!K26="3V",Schedule!K26="*OTBT",Schedule!K26="*OTET")," ",Schedule!K26)</f>
        <v>*</v>
      </c>
      <c r="H51" s="30" t="str">
        <f>IF(OR(Schedule!L26="OT*",Schedule!L26=3,Schedule!L26="3NV",Schedule!L26="OTV",Schedule!L26="OTNV",Schedule!L26="OT",Schedule!L26="3V",Schedule!L26="*OTBT",Schedule!L26="*OTET")," ",Schedule!L26)</f>
        <v>*</v>
      </c>
      <c r="K51" s="94"/>
      <c r="L51" s="166"/>
      <c r="M51" s="781" t="str">
        <f>IF(A52=" "," ",".")</f>
        <v>.</v>
      </c>
      <c r="AI51" s="17"/>
      <c r="AL51" s="17"/>
      <c r="AO51" s="17"/>
      <c r="AR51" s="17"/>
      <c r="AU51" s="17"/>
    </row>
    <row r="52" spans="1:93" ht="15" customHeight="1" x14ac:dyDescent="0.25">
      <c r="A52" s="77" t="str">
        <f>'Master List'!C16</f>
        <v>W. STIERS</v>
      </c>
      <c r="B52" s="27" t="str">
        <f>AF153</f>
        <v xml:space="preserve"> </v>
      </c>
      <c r="C52" s="27" t="str">
        <f>AI153</f>
        <v xml:space="preserve"> </v>
      </c>
      <c r="D52" s="27" t="str">
        <f>AL153</f>
        <v xml:space="preserve"> </v>
      </c>
      <c r="E52" s="27" t="str">
        <f>AO153</f>
        <v xml:space="preserve"> </v>
      </c>
      <c r="F52" s="27" t="str">
        <f>AR153</f>
        <v xml:space="preserve"> </v>
      </c>
      <c r="G52" s="27" t="str">
        <f>AU153</f>
        <v xml:space="preserve"> </v>
      </c>
      <c r="H52" s="27" t="str">
        <f>AX153</f>
        <v xml:space="preserve"> </v>
      </c>
      <c r="K52" s="94"/>
      <c r="M52" s="781" t="str">
        <f>IF(A52=" "," ",".")</f>
        <v>.</v>
      </c>
      <c r="AI52" s="17"/>
      <c r="AL52" s="17"/>
      <c r="AO52" s="17"/>
      <c r="AR52" s="17"/>
      <c r="AU52" s="17"/>
    </row>
    <row r="53" spans="1:93" ht="15" customHeight="1" x14ac:dyDescent="0.25">
      <c r="A53" s="77"/>
      <c r="B53" s="27" t="str">
        <f>AF154</f>
        <v/>
      </c>
      <c r="C53" s="27" t="str">
        <f>AI154</f>
        <v/>
      </c>
      <c r="D53" s="27" t="str">
        <f>AL154</f>
        <v/>
      </c>
      <c r="E53" s="27" t="str">
        <f>AO154</f>
        <v/>
      </c>
      <c r="F53" s="27" t="str">
        <f>AR154</f>
        <v/>
      </c>
      <c r="G53" s="27" t="str">
        <f>AU154</f>
        <v/>
      </c>
      <c r="H53" s="27" t="str">
        <f>AX154</f>
        <v/>
      </c>
      <c r="K53" s="94"/>
      <c r="M53" s="781" t="str">
        <f>IF(A52=" "," ",".")</f>
        <v>.</v>
      </c>
      <c r="AI53" s="17"/>
      <c r="AL53" s="17"/>
      <c r="AO53" s="17"/>
      <c r="AR53" s="17"/>
      <c r="AU53" s="17"/>
    </row>
    <row r="54" spans="1:93" ht="15" customHeight="1" thickBot="1" x14ac:dyDescent="0.25">
      <c r="A54" s="73"/>
      <c r="B54" s="74"/>
      <c r="C54" s="74"/>
      <c r="D54" s="74"/>
      <c r="E54" s="74"/>
      <c r="F54" s="74"/>
      <c r="G54" s="74"/>
      <c r="H54" s="74"/>
      <c r="K54" s="94"/>
      <c r="M54" s="781" t="str">
        <f>IF(A52=" "," ",".")</f>
        <v>.</v>
      </c>
      <c r="AI54" s="17"/>
      <c r="AL54" s="17"/>
      <c r="AO54" s="17"/>
      <c r="AR54" s="17"/>
      <c r="AU54" s="17"/>
    </row>
    <row r="55" spans="1:93" ht="15" customHeight="1" x14ac:dyDescent="0.2">
      <c r="A55" s="75"/>
      <c r="B55" s="30" t="str">
        <f>IF(OR(Schedule!F27="OT*",Schedule!F27=3,Schedule!F27="3NV",Schedule!F27="OTV",Schedule!F27="OTNV",Schedule!F27="OT",Schedule!F27="3V",Schedule!F27="*OTBT",Schedule!F27="*OTET")," ",Schedule!F27)</f>
        <v xml:space="preserve"> </v>
      </c>
      <c r="C55" s="30" t="str">
        <f>IF(OR(Schedule!G27="OT*",Schedule!G27=3,Schedule!G27="3NV",Schedule!G27="OTV",Schedule!G27="OTNV",Schedule!G27="OT",Schedule!G27="3V",Schedule!G27="*OTBT",Schedule!G27="*OTET")," ",Schedule!G27)</f>
        <v xml:space="preserve"> </v>
      </c>
      <c r="D55" s="30" t="str">
        <f>IF(OR(Schedule!H27="OT*",Schedule!H27=3,Schedule!H27="3NV",Schedule!H27="OTV",Schedule!H27="OTNV",Schedule!H27="OT",Schedule!H27="3V",Schedule!H27="*OTBT",Schedule!H27="*OTET")," ",Schedule!H27)</f>
        <v xml:space="preserve"> </v>
      </c>
      <c r="E55" s="30" t="str">
        <f>IF(OR(Schedule!I27="OT*",Schedule!I27=3,Schedule!I27="3NV",Schedule!I27="OTV",Schedule!I27="OTNV",Schedule!I27="OT",Schedule!I27="3V",Schedule!I27="*OTBT",Schedule!I27="*OTET")," ",Schedule!I27)</f>
        <v xml:space="preserve"> </v>
      </c>
      <c r="F55" s="30" t="str">
        <f>IF(OR(Schedule!J27="OT*",Schedule!J27=3,Schedule!J27="3NV",Schedule!J27="OTV",Schedule!J27="OTNV",Schedule!J27="OT",Schedule!J27="3V",Schedule!J27="*OTBT",Schedule!J27="*OTET")," ",Schedule!J27)</f>
        <v xml:space="preserve"> </v>
      </c>
      <c r="G55" s="30" t="str">
        <f>IF(OR(Schedule!K27="OT*",Schedule!K27=3,Schedule!K27="3NV",Schedule!K27="OTV",Schedule!K27="OTNV",Schedule!K27="OT",Schedule!K27="3V",Schedule!K27="*OTBT",Schedule!K27="*OTET")," ",Schedule!K27)</f>
        <v>NS</v>
      </c>
      <c r="H55" s="30" t="str">
        <f>IF(OR(Schedule!L27="OT*",Schedule!L27=3,Schedule!L27="3NV",Schedule!L27="OTV",Schedule!L27="OTNV",Schedule!L27="OT",Schedule!L27="3V",Schedule!L27="*OTBT",Schedule!L27="*OTET")," ",Schedule!L27)</f>
        <v xml:space="preserve"> </v>
      </c>
      <c r="I55" s="420"/>
      <c r="J55" s="421"/>
      <c r="K55" s="607"/>
      <c r="L55" s="608"/>
      <c r="M55" s="781" t="str">
        <f>IF(A56=" "," ",".")</f>
        <v>.</v>
      </c>
      <c r="N55" s="309"/>
      <c r="AI55" s="17"/>
      <c r="AL55" s="17"/>
      <c r="AO55" s="17"/>
      <c r="AR55" s="17"/>
      <c r="AU55" s="17"/>
    </row>
    <row r="56" spans="1:93" ht="15" customHeight="1" x14ac:dyDescent="0.25">
      <c r="A56" s="77" t="str">
        <f>'Master List'!C17</f>
        <v>J. HILL</v>
      </c>
      <c r="B56" s="27" t="str">
        <f>AF156</f>
        <v>AFCS</v>
      </c>
      <c r="C56" s="27" t="str">
        <f>AI156</f>
        <v>AFCS</v>
      </c>
      <c r="D56" s="27" t="str">
        <f>AL156</f>
        <v>AFCS</v>
      </c>
      <c r="E56" s="27" t="str">
        <f>AO156</f>
        <v>AFCS</v>
      </c>
      <c r="F56" s="27" t="str">
        <f>AR156</f>
        <v>AFCS</v>
      </c>
      <c r="G56" s="27" t="str">
        <f>AU156</f>
        <v xml:space="preserve"> </v>
      </c>
      <c r="H56" s="27" t="str">
        <f>AX156</f>
        <v>AFCS</v>
      </c>
      <c r="I56" s="310"/>
      <c r="J56" s="310"/>
      <c r="K56" s="94"/>
      <c r="M56" s="781" t="str">
        <f>IF(A56=" "," ",".")</f>
        <v>.</v>
      </c>
      <c r="AI56" s="17"/>
      <c r="AL56" s="17"/>
      <c r="AO56" s="17"/>
      <c r="AR56" s="17"/>
      <c r="AU56" s="17"/>
    </row>
    <row r="57" spans="1:93" ht="15" customHeight="1" x14ac:dyDescent="0.25">
      <c r="A57" s="77"/>
      <c r="B57" s="27" t="str">
        <f>AF157</f>
        <v>BDS/IJP</v>
      </c>
      <c r="C57" s="27" t="str">
        <f>AI157</f>
        <v>Belt Kit</v>
      </c>
      <c r="D57" s="27" t="str">
        <f>AL157</f>
        <v>BDS/IJP</v>
      </c>
      <c r="E57" s="27" t="str">
        <f>AO157</f>
        <v>BDS/IJP</v>
      </c>
      <c r="F57" s="27" t="str">
        <f>AR157</f>
        <v>BDS/IJP</v>
      </c>
      <c r="G57" s="27" t="str">
        <f>AU157</f>
        <v/>
      </c>
      <c r="H57" s="27" t="str">
        <f>AX157</f>
        <v>BDS/IJP</v>
      </c>
      <c r="I57" s="310"/>
      <c r="J57" s="310"/>
      <c r="M57" s="781" t="str">
        <f>IF(A56=" "," ",".")</f>
        <v>.</v>
      </c>
      <c r="AI57" s="17"/>
      <c r="AL57" s="17"/>
      <c r="AO57" s="17"/>
      <c r="AR57" s="17"/>
      <c r="AU57" s="17"/>
    </row>
    <row r="58" spans="1:93" ht="15" customHeight="1" thickBot="1" x14ac:dyDescent="0.25">
      <c r="A58" s="73"/>
      <c r="B58" s="74"/>
      <c r="C58" s="74"/>
      <c r="D58" s="74"/>
      <c r="E58" s="74"/>
      <c r="F58" s="74"/>
      <c r="G58" s="74"/>
      <c r="H58" s="74"/>
      <c r="I58" s="310"/>
      <c r="J58" s="310"/>
      <c r="M58" s="781" t="str">
        <f>IF(A56=" "," ",".")</f>
        <v>.</v>
      </c>
      <c r="AI58" s="17"/>
      <c r="AL58" s="17"/>
      <c r="AO58" s="17"/>
      <c r="AR58" s="17"/>
      <c r="AU58" s="17"/>
    </row>
    <row r="59" spans="1:93" ht="15" customHeight="1" x14ac:dyDescent="0.2">
      <c r="A59" s="75"/>
      <c r="B59" s="30" t="str">
        <f>IF(OR(Schedule!F28="OT*",Schedule!F28=3,Schedule!F28="3NV",Schedule!F28="OTV",Schedule!F28="OTNV",Schedule!F28="OT",Schedule!F28="3V",Schedule!F28="*OTBT",Schedule!F28="*OTET")," ",Schedule!F28)</f>
        <v xml:space="preserve"> </v>
      </c>
      <c r="C59" s="30" t="str">
        <f>IF(OR(Schedule!G28="OT*",Schedule!G28=3,Schedule!G28="3NV",Schedule!G28="OTV",Schedule!G28="OTNV",Schedule!G28="OT",Schedule!G28="3V",Schedule!G28="*OTBT",Schedule!G28="*OTET")," ",Schedule!G28)</f>
        <v xml:space="preserve"> </v>
      </c>
      <c r="D59" s="30" t="str">
        <f>IF(OR(Schedule!H28="OT*",Schedule!H28=3,Schedule!H28="3NV",Schedule!H28="OTV",Schedule!H28="OTNV",Schedule!H28="OT",Schedule!H28="3V",Schedule!H28="*OTBT",Schedule!H28="*OTET")," ",Schedule!H28)</f>
        <v>NS</v>
      </c>
      <c r="E59" s="30" t="str">
        <f>IF(OR(Schedule!I28="OT*",Schedule!I28=3,Schedule!I28="3NV",Schedule!I28="OTV",Schedule!I28="OTNV",Schedule!I28="OT",Schedule!I28="3V",Schedule!I28="*OTBT",Schedule!I28="*OTET")," ",Schedule!I28)</f>
        <v xml:space="preserve"> </v>
      </c>
      <c r="F59" s="30" t="str">
        <f>IF(OR(Schedule!J28="OT*",Schedule!J28=3,Schedule!J28="3NV",Schedule!J28="OTV",Schedule!J28="OTNV",Schedule!J28="OT",Schedule!J28="3V",Schedule!J28="*OTBT",Schedule!J28="*OTET")," ",Schedule!J28)</f>
        <v xml:space="preserve"> </v>
      </c>
      <c r="G59" s="30" t="str">
        <f>IF(OR(Schedule!K28="OT*",Schedule!K28=3,Schedule!K28="3NV",Schedule!K28="OTV",Schedule!K28="OTNV",Schedule!K28="OT",Schedule!K28="3V",Schedule!K28="*OTBT",Schedule!K28="*OTET")," ",Schedule!K28)</f>
        <v xml:space="preserve"> </v>
      </c>
      <c r="H59" s="30" t="str">
        <f>IF(OR(Schedule!L28="OT*",Schedule!L28=3,Schedule!L28="3NV",Schedule!L28="OTV",Schedule!L28="OTNV",Schedule!L28="OT",Schedule!L28="3V",Schedule!L28="*OTBT",Schedule!L28="*OTET")," ",Schedule!L28)</f>
        <v xml:space="preserve"> </v>
      </c>
      <c r="I59" s="310"/>
      <c r="J59" s="310"/>
      <c r="M59" s="781" t="str">
        <f>IF(A60=" "," ",".")</f>
        <v>.</v>
      </c>
      <c r="AI59" s="17"/>
      <c r="AL59" s="17"/>
      <c r="AO59" s="17"/>
      <c r="AR59" s="17"/>
      <c r="AU59" s="17"/>
    </row>
    <row r="60" spans="1:93" ht="15" customHeight="1" x14ac:dyDescent="0.25">
      <c r="A60" s="77" t="str">
        <f>'Master List'!C18</f>
        <v>C. SANGEL</v>
      </c>
      <c r="B60" s="27" t="str">
        <f>AF159</f>
        <v>SPSS</v>
      </c>
      <c r="C60" s="27" t="str">
        <f>AI159</f>
        <v>SPSS</v>
      </c>
      <c r="D60" s="27" t="str">
        <f>AL159</f>
        <v xml:space="preserve"> </v>
      </c>
      <c r="E60" s="27" t="str">
        <f>AO159</f>
        <v>DBCS</v>
      </c>
      <c r="F60" s="27" t="str">
        <f>AR159</f>
        <v>DBCS</v>
      </c>
      <c r="G60" s="27" t="str">
        <f>AU159</f>
        <v>DBCS</v>
      </c>
      <c r="H60" s="27" t="str">
        <f>AX159</f>
        <v>AFSM</v>
      </c>
      <c r="M60" s="781" t="str">
        <f>IF(A60=" "," ",".")</f>
        <v>.</v>
      </c>
      <c r="AI60" s="17"/>
      <c r="AL60" s="17"/>
      <c r="AO60" s="17"/>
      <c r="AR60" s="17"/>
      <c r="AU60" s="17"/>
    </row>
    <row r="61" spans="1:93" ht="15" customHeight="1" x14ac:dyDescent="0.25">
      <c r="A61" s="77"/>
      <c r="B61" s="27" t="str">
        <f>AF160</f>
        <v>UNIBUEUR</v>
      </c>
      <c r="C61" s="27" t="str">
        <f>AI160</f>
        <v>UNIBUEUR</v>
      </c>
      <c r="D61" s="27" t="str">
        <f>AL160</f>
        <v/>
      </c>
      <c r="E61" s="27" t="str">
        <f>AO160</f>
        <v>ECBM ROUTES</v>
      </c>
      <c r="F61" s="27" t="str">
        <f>AR160</f>
        <v>ECBM ROUTES</v>
      </c>
      <c r="G61" s="27" t="str">
        <f>AU160</f>
        <v>ECBM ROUTES</v>
      </c>
      <c r="H61" s="27" t="str">
        <f>AX160</f>
        <v>UNIBUEUR</v>
      </c>
      <c r="M61" s="781" t="str">
        <f>IF(A60=" "," ",".")</f>
        <v>.</v>
      </c>
      <c r="AI61" s="17"/>
      <c r="AL61" s="17"/>
      <c r="AO61" s="17"/>
      <c r="AR61" s="17"/>
      <c r="AU61" s="17"/>
    </row>
    <row r="62" spans="1:93" ht="15" customHeight="1" thickBot="1" x14ac:dyDescent="0.25">
      <c r="A62" s="539"/>
      <c r="B62" s="74"/>
      <c r="C62" s="74"/>
      <c r="D62" s="74"/>
      <c r="E62" s="74"/>
      <c r="F62" s="74"/>
      <c r="G62" s="74"/>
      <c r="H62" s="74"/>
      <c r="M62" s="781" t="str">
        <f>IF(A60=" "," ",".")</f>
        <v>.</v>
      </c>
      <c r="AI62" s="17"/>
      <c r="AL62" s="17"/>
      <c r="AO62" s="17"/>
      <c r="AR62" s="17"/>
      <c r="AU62" s="17"/>
      <c r="CC62" s="308"/>
      <c r="CD62" s="308"/>
      <c r="CE62" s="308"/>
      <c r="CF62" s="308"/>
      <c r="CG62" s="308"/>
      <c r="CH62" s="308"/>
      <c r="CI62" s="308"/>
      <c r="CJ62" s="308"/>
      <c r="CK62" s="308"/>
      <c r="CL62" s="308"/>
      <c r="CM62" s="308"/>
      <c r="CN62" s="308"/>
      <c r="CO62" s="308"/>
    </row>
    <row r="63" spans="1:93" ht="15" customHeight="1" x14ac:dyDescent="0.2">
      <c r="A63" s="75"/>
      <c r="B63" s="30" t="str">
        <f>IF(OR(Schedule!F29=0,Schedule!F29=3,Schedule!F29="3NV",Schedule!F29="OTV",Schedule!F29="OTNV",Schedule!F29="OT",Schedule!F29="3V",Schedule!F29="*OTBT",Schedule!F29="*OTET")," ",Schedule!F29)</f>
        <v>TRVL</v>
      </c>
      <c r="C63" s="30" t="str">
        <f>IF(OR(Schedule!G29=0,Schedule!G29=3,Schedule!G29="3NV",Schedule!G29="OTV",Schedule!G29="OTNV",Schedule!G29="OT",Schedule!G29="3V",Schedule!G29="*OTBT",Schedule!G29="*OTET")," ",Schedule!G29)</f>
        <v>NS</v>
      </c>
      <c r="D63" s="30" t="str">
        <f>IF(OR(Schedule!H29=0,Schedule!H29=3,Schedule!H29="3NV",Schedule!H29="OTV",Schedule!H29="OTNV",Schedule!H29="OT",Schedule!H29="3V",Schedule!H29="*OTBT",Schedule!H29="*OTET")," ",Schedule!H29)</f>
        <v xml:space="preserve"> </v>
      </c>
      <c r="E63" s="30" t="str">
        <f>IF(OR(Schedule!I29=0,Schedule!I29=3,Schedule!I29="3NV",Schedule!I29="OTV",Schedule!I29="OTNV",Schedule!I29="OT",Schedule!I29="3V",Schedule!I29="*OTBT",Schedule!I29="*OTET")," ",Schedule!I29)</f>
        <v xml:space="preserve"> </v>
      </c>
      <c r="F63" s="30" t="str">
        <f>IF(OR(Schedule!J29=0,Schedule!J29=3,Schedule!J29="3NV",Schedule!J29="OTV",Schedule!J29="OTNV",Schedule!J29="OT",Schedule!J29="3V",Schedule!J29="*OTBT",Schedule!J29="*OTET")," ",Schedule!J29)</f>
        <v xml:space="preserve"> </v>
      </c>
      <c r="G63" s="30" t="str">
        <f>IF(OR(Schedule!K29=0,Schedule!K29=3,Schedule!K29="3NV",Schedule!K29="OTV",Schedule!K29="OTNV",Schedule!K29="OT",Schedule!K29="3V",Schedule!K29="*OTBT",Schedule!K29="*OTET")," ",Schedule!K29)</f>
        <v xml:space="preserve"> </v>
      </c>
      <c r="H63" s="30" t="str">
        <f>IF(OR(Schedule!L29=0,Schedule!L29=3,Schedule!L29="3NV",Schedule!L29="OTV",Schedule!L29="OTNV",Schedule!L29="OT",Schedule!L29="3V",Schedule!L29="*OTBT",Schedule!L29="*OTET")," ",Schedule!L29)</f>
        <v xml:space="preserve"> </v>
      </c>
      <c r="M63" s="781" t="str">
        <f>IF(A64=" "," ",".")</f>
        <v>.</v>
      </c>
      <c r="AI63" s="17"/>
      <c r="AL63" s="17"/>
      <c r="AO63" s="17"/>
      <c r="AR63" s="17"/>
      <c r="AU63" s="17"/>
      <c r="CC63" s="308"/>
      <c r="CD63" s="308"/>
      <c r="CE63" s="308"/>
      <c r="CF63" s="308"/>
      <c r="CG63" s="308"/>
      <c r="CH63" s="308"/>
      <c r="CI63" s="308"/>
      <c r="CJ63" s="308"/>
      <c r="CK63" s="308"/>
      <c r="CL63" s="308"/>
      <c r="CM63" s="308"/>
      <c r="CN63" s="308"/>
      <c r="CO63" s="308"/>
    </row>
    <row r="64" spans="1:93" ht="15" customHeight="1" x14ac:dyDescent="0.25">
      <c r="A64" s="77" t="str">
        <f>'Master List'!C19</f>
        <v>T. GILES</v>
      </c>
      <c r="B64" s="27" t="str">
        <f>AF162</f>
        <v xml:space="preserve"> </v>
      </c>
      <c r="C64" s="27" t="str">
        <f>AI162</f>
        <v xml:space="preserve"> </v>
      </c>
      <c r="D64" s="27" t="str">
        <f>AL162</f>
        <v>APPS 1</v>
      </c>
      <c r="E64" s="27" t="str">
        <f>AO162</f>
        <v>APPS 1</v>
      </c>
      <c r="F64" s="27" t="str">
        <f>AR162</f>
        <v>APPS 1</v>
      </c>
      <c r="G64" s="27" t="str">
        <f>AU162</f>
        <v>APPS 1</v>
      </c>
      <c r="H64" s="27" t="str">
        <f>AX162</f>
        <v>APPS 1</v>
      </c>
      <c r="M64" s="781" t="str">
        <f>IF(A64=" "," ",".")</f>
        <v>.</v>
      </c>
      <c r="AI64" s="17"/>
      <c r="AL64" s="17"/>
      <c r="AO64" s="17"/>
      <c r="AR64" s="17"/>
      <c r="AU64" s="17"/>
      <c r="CC64" s="308"/>
      <c r="CD64" s="308"/>
      <c r="CE64" s="308"/>
      <c r="CF64" s="308"/>
      <c r="CG64" s="308"/>
      <c r="CH64" s="308"/>
      <c r="CI64" s="308"/>
      <c r="CJ64" s="308"/>
      <c r="CK64" s="308"/>
      <c r="CL64" s="308"/>
      <c r="CM64" s="308"/>
      <c r="CN64" s="308"/>
      <c r="CO64" s="308"/>
    </row>
    <row r="65" spans="1:93" ht="15" customHeight="1" x14ac:dyDescent="0.25">
      <c r="A65" s="77"/>
      <c r="B65" s="27" t="str">
        <f>AF163</f>
        <v/>
      </c>
      <c r="C65" s="27" t="str">
        <f>AI163</f>
        <v/>
      </c>
      <c r="D65" s="27" t="str">
        <f>AL163</f>
        <v xml:space="preserve"> </v>
      </c>
      <c r="E65" s="27" t="str">
        <f>AO163</f>
        <v xml:space="preserve"> </v>
      </c>
      <c r="F65" s="27" t="str">
        <f>AR163</f>
        <v xml:space="preserve"> </v>
      </c>
      <c r="G65" s="27" t="str">
        <f>AU163</f>
        <v xml:space="preserve"> </v>
      </c>
      <c r="H65" s="27" t="str">
        <f>AX163</f>
        <v xml:space="preserve"> </v>
      </c>
      <c r="M65" s="781" t="str">
        <f>IF(A64=" "," ",".")</f>
        <v>.</v>
      </c>
      <c r="AI65" s="17"/>
      <c r="AL65" s="17"/>
      <c r="AO65" s="17"/>
      <c r="AR65" s="17"/>
      <c r="AU65" s="17"/>
      <c r="CC65" s="308"/>
      <c r="CD65" s="308"/>
      <c r="CE65" s="308"/>
      <c r="CF65" s="308"/>
      <c r="CG65" s="308"/>
      <c r="CH65" s="308"/>
      <c r="CI65" s="308"/>
      <c r="CJ65" s="308"/>
      <c r="CK65" s="308"/>
      <c r="CL65" s="308"/>
      <c r="CM65" s="308"/>
      <c r="CN65" s="308"/>
      <c r="CO65" s="308"/>
    </row>
    <row r="66" spans="1:93" ht="15" customHeight="1" thickBot="1" x14ac:dyDescent="0.25">
      <c r="A66" s="73"/>
      <c r="B66" s="74"/>
      <c r="C66" s="74"/>
      <c r="D66" s="74"/>
      <c r="E66" s="74"/>
      <c r="F66" s="74"/>
      <c r="G66" s="74"/>
      <c r="H66" s="74"/>
      <c r="M66" s="781" t="str">
        <f>IF(A64=" "," ",".")</f>
        <v>.</v>
      </c>
      <c r="AI66" s="17"/>
      <c r="AL66" s="17"/>
      <c r="AO66" s="17"/>
      <c r="AR66" s="17"/>
      <c r="AU66" s="17"/>
      <c r="CC66" s="308"/>
      <c r="CD66" s="308"/>
      <c r="CE66" s="308"/>
      <c r="CF66" s="308"/>
      <c r="CG66" s="308"/>
      <c r="CH66" s="308"/>
      <c r="CI66" s="308"/>
      <c r="CJ66" s="308"/>
      <c r="CK66" s="308"/>
      <c r="CL66" s="308"/>
      <c r="CM66" s="308"/>
      <c r="CN66" s="308"/>
      <c r="CO66" s="308"/>
    </row>
    <row r="67" spans="1:93" ht="15" customHeight="1" x14ac:dyDescent="0.2">
      <c r="A67" s="75"/>
      <c r="B67" s="30" t="str">
        <f>IF(OR(Schedule!F30="OT*",Schedule!F30=3,Schedule!F30="3NV",Schedule!F30="OTV",Schedule!F30="OTNV",Schedule!F30="OT",Schedule!F30="3V",Schedule!F30="*OTBT",Schedule!F30="*OTET")," ",Schedule!F30)</f>
        <v xml:space="preserve"> </v>
      </c>
      <c r="C67" s="30" t="str">
        <f>IF(OR(Schedule!G30="OT*",Schedule!G30=3,Schedule!G30="3NV",Schedule!G30="OTV",Schedule!G30="OTNV",Schedule!G30="OT",Schedule!G30="3V",Schedule!G30="*OTBT",Schedule!G30="*OTET")," ",Schedule!G30)</f>
        <v>NS</v>
      </c>
      <c r="D67" s="30" t="str">
        <f>IF(OR(Schedule!H30="OT*",Schedule!H30=3,Schedule!H30="3NV",Schedule!H30="OTV",Schedule!H30="OTNV",Schedule!H30="OT",Schedule!H30="3V",Schedule!H30="*OTBT",Schedule!H30="*OTET")," ",Schedule!H30)</f>
        <v xml:space="preserve"> </v>
      </c>
      <c r="E67" s="30" t="str">
        <f>IF(OR(Schedule!I30="OT*",Schedule!I30=3,Schedule!I30="3NV",Schedule!I30="OTV",Schedule!I30="OTNV",Schedule!I30="OT",Schedule!I30="3V",Schedule!I30="*OTBT",Schedule!I30="*OTET")," ",Schedule!I30)</f>
        <v xml:space="preserve"> </v>
      </c>
      <c r="F67" s="30" t="str">
        <f>IF(OR(Schedule!J30="OT*",Schedule!J30=3,Schedule!J30="3NV",Schedule!J30="OTV",Schedule!J30="OTNV",Schedule!J30="OT",Schedule!J30="3V",Schedule!J30="*OTBT",Schedule!J30="*OTET")," ",Schedule!J30)</f>
        <v xml:space="preserve"> </v>
      </c>
      <c r="G67" s="30" t="str">
        <f>IF(OR(Schedule!K30="OT*",Schedule!K30=3,Schedule!K30="3NV",Schedule!K30="OTV",Schedule!K30="OTNV",Schedule!K30="OT",Schedule!K30="3V",Schedule!K30="*OTBT",Schedule!K30="*OTET")," ",Schedule!K30)</f>
        <v xml:space="preserve"> </v>
      </c>
      <c r="H67" s="30" t="str">
        <f>IF(OR(Schedule!L30="OT*",Schedule!L30=3,Schedule!L30="3NV",Schedule!L30="OTV",Schedule!L30="OTNV",Schedule!L30="OT",Schedule!L30="3V",Schedule!L30="*OTBT",Schedule!L30="*OTET")," ",Schedule!L30)</f>
        <v xml:space="preserve"> </v>
      </c>
      <c r="M67" s="781" t="str">
        <f>IF(A68=" "," ",".")</f>
        <v>.</v>
      </c>
      <c r="AE67" s="684"/>
      <c r="AI67" s="17"/>
      <c r="AL67" s="17"/>
      <c r="AO67" s="17"/>
      <c r="AR67" s="17"/>
      <c r="AU67" s="17"/>
      <c r="CC67" s="308"/>
      <c r="CD67" s="308"/>
      <c r="CE67" s="308"/>
      <c r="CF67" s="308"/>
      <c r="CG67" s="308"/>
      <c r="CH67" s="308"/>
      <c r="CI67" s="308"/>
      <c r="CJ67" s="308"/>
      <c r="CK67" s="308"/>
      <c r="CL67" s="308"/>
      <c r="CM67" s="308"/>
      <c r="CN67" s="308"/>
      <c r="CO67" s="308"/>
    </row>
    <row r="68" spans="1:93" ht="15" customHeight="1" x14ac:dyDescent="0.25">
      <c r="A68" s="77" t="str">
        <f>'Master List'!C20</f>
        <v>S. HERNANDEZ</v>
      </c>
      <c r="B68" s="27" t="str">
        <f>AF165</f>
        <v>DBCS</v>
      </c>
      <c r="C68" s="27" t="str">
        <f>AI165</f>
        <v xml:space="preserve"> </v>
      </c>
      <c r="D68" s="27" t="str">
        <f>AL165</f>
        <v>DBCS</v>
      </c>
      <c r="E68" s="27" t="str">
        <f>AO165</f>
        <v>DBCS</v>
      </c>
      <c r="F68" s="27" t="str">
        <f>AR165</f>
        <v>DBCS</v>
      </c>
      <c r="G68" s="27" t="str">
        <f>AU165</f>
        <v>DBCS</v>
      </c>
      <c r="H68" s="27" t="str">
        <f>AX165</f>
        <v>DBCS</v>
      </c>
      <c r="M68" s="781" t="str">
        <f>IF(A68=" "," ",".")</f>
        <v>.</v>
      </c>
      <c r="AI68" s="17"/>
      <c r="AL68" s="17"/>
      <c r="AO68" s="17"/>
      <c r="AR68" s="17"/>
      <c r="AU68" s="17"/>
      <c r="CC68" s="308"/>
      <c r="CD68" s="308"/>
      <c r="CE68" s="308"/>
      <c r="CF68" s="308"/>
      <c r="CG68" s="308"/>
      <c r="CH68" s="308"/>
      <c r="CI68" s="308"/>
      <c r="CJ68" s="308"/>
      <c r="CK68" s="308"/>
      <c r="CL68" s="308"/>
      <c r="CM68" s="308"/>
      <c r="CN68" s="308"/>
      <c r="CO68" s="308"/>
    </row>
    <row r="69" spans="1:93" ht="15" customHeight="1" x14ac:dyDescent="0.25">
      <c r="A69" s="77"/>
      <c r="B69" s="27" t="str">
        <f>AF166</f>
        <v>HSTS/STRAPPER</v>
      </c>
      <c r="C69" s="27" t="str">
        <f>AI166</f>
        <v/>
      </c>
      <c r="D69" s="27" t="str">
        <f>AL166</f>
        <v>HSTS/STRAPPER</v>
      </c>
      <c r="E69" s="27" t="str">
        <f>AO166</f>
        <v>HSTS/STRAPPER</v>
      </c>
      <c r="F69" s="27" t="str">
        <f>AR166</f>
        <v>HSTS/STRAPPER</v>
      </c>
      <c r="G69" s="27" t="str">
        <f>AU166</f>
        <v>HSTS/STRAPPER</v>
      </c>
      <c r="H69" s="27" t="str">
        <f>AX166</f>
        <v>HSTS/STRAPPER</v>
      </c>
      <c r="M69" s="781" t="str">
        <f>IF(A68=" "," ",".")</f>
        <v>.</v>
      </c>
      <c r="AI69" s="17"/>
      <c r="AL69" s="17"/>
      <c r="AO69" s="17"/>
      <c r="AR69" s="17"/>
      <c r="AU69" s="17"/>
      <c r="CC69" s="308"/>
      <c r="CD69" s="308"/>
      <c r="CE69" s="308"/>
      <c r="CF69" s="308"/>
      <c r="CG69" s="308"/>
      <c r="CH69" s="308"/>
      <c r="CI69" s="308"/>
      <c r="CJ69" s="308"/>
      <c r="CK69" s="308"/>
      <c r="CL69" s="308"/>
      <c r="CM69" s="308"/>
      <c r="CN69" s="308"/>
      <c r="CO69" s="308"/>
    </row>
    <row r="70" spans="1:93" ht="15" customHeight="1" thickBot="1" x14ac:dyDescent="0.25">
      <c r="A70" s="73"/>
      <c r="B70" s="74"/>
      <c r="C70" s="74"/>
      <c r="D70" s="74"/>
      <c r="E70" s="74"/>
      <c r="F70" s="74"/>
      <c r="G70" s="74"/>
      <c r="H70" s="74"/>
      <c r="M70" s="781" t="str">
        <f>IF(A68=" "," ",".")</f>
        <v>.</v>
      </c>
      <c r="AI70" s="17"/>
      <c r="AL70" s="17"/>
      <c r="AO70" s="17"/>
      <c r="AR70" s="17"/>
      <c r="AU70" s="17"/>
      <c r="CC70" s="308"/>
      <c r="CD70" s="308"/>
      <c r="CE70" s="308"/>
      <c r="CF70" s="308"/>
      <c r="CG70" s="308"/>
      <c r="CH70" s="308"/>
      <c r="CI70" s="308"/>
      <c r="CJ70" s="308"/>
      <c r="CK70" s="308"/>
      <c r="CL70" s="308"/>
      <c r="CM70" s="308"/>
      <c r="CN70" s="308"/>
      <c r="CO70" s="308"/>
    </row>
    <row r="71" spans="1:93" ht="15" customHeight="1" x14ac:dyDescent="0.2">
      <c r="A71" s="75"/>
      <c r="B71" s="30" t="str">
        <f>IF(OR(Schedule!F31="OT*",Schedule!F31=3,Schedule!F31="3NV",Schedule!F31="OTV",Schedule!F31="OTNV",Schedule!F31="OT",Schedule!F31="3V",Schedule!F31="*OTBT",Schedule!F31="*OTET")," ",Schedule!F31)</f>
        <v xml:space="preserve"> </v>
      </c>
      <c r="C71" s="30" t="str">
        <f>IF(OR(Schedule!G31="OT*",Schedule!G31=3,Schedule!G31="3NV",Schedule!G31="OTV",Schedule!G31="OTNV",Schedule!G31="OT",Schedule!G31="3V",Schedule!G31="*OTBT",Schedule!G31="*OTET")," ",Schedule!G31)</f>
        <v xml:space="preserve"> </v>
      </c>
      <c r="D71" s="30" t="str">
        <f>IF(OR(Schedule!H31="OT*",Schedule!H31=3,Schedule!H31="3NV",Schedule!H31="OTV",Schedule!H31="OTNV",Schedule!H31="OT",Schedule!H31="3V",Schedule!H31="*OTBT",Schedule!H31="*OTET")," ",Schedule!H31)</f>
        <v xml:space="preserve"> </v>
      </c>
      <c r="E71" s="30" t="str">
        <f>IF(OR(Schedule!I31="OT*",Schedule!I31=3,Schedule!I31="3NV",Schedule!I31="OTV",Schedule!I31="OTNV",Schedule!I31="OT",Schedule!I31="3V",Schedule!I31="*OTBT",Schedule!I31="*OTET")," ",Schedule!I31)</f>
        <v>NS</v>
      </c>
      <c r="F71" s="30" t="str">
        <f>IF(OR(Schedule!J31="OT*",Schedule!J31=3,Schedule!J31="3NV",Schedule!J31="OTV",Schedule!J31="OTNV",Schedule!J31="OT",Schedule!J31="3V",Schedule!J31="*OTBT",Schedule!J31="*OTET")," ",Schedule!J31)</f>
        <v>NS</v>
      </c>
      <c r="G71" s="30" t="str">
        <f>IF(OR(Schedule!K31="OT*",Schedule!K31=3,Schedule!K31="3NV",Schedule!K31="OTV",Schedule!K31="OTNV",Schedule!K31="OT",Schedule!K31="3V",Schedule!K31="*OTBT",Schedule!K31="*OTET")," ",Schedule!K31)</f>
        <v xml:space="preserve"> </v>
      </c>
      <c r="H71" s="30" t="str">
        <f>IF(OR(Schedule!L31="OT*",Schedule!L31=3,Schedule!L31="3NV",Schedule!L31="OTV",Schedule!L31="OTNV",Schedule!L31="OT",Schedule!L31="3V",Schedule!L31="*OTBT",Schedule!L31="*OTET")," ",Schedule!L31)</f>
        <v xml:space="preserve"> </v>
      </c>
      <c r="M71" s="781" t="str">
        <f>IF(A72=" "," ",".")</f>
        <v>.</v>
      </c>
      <c r="AI71" s="17"/>
      <c r="AL71" s="17"/>
      <c r="AO71" s="17"/>
      <c r="AR71" s="17"/>
      <c r="AU71" s="17"/>
      <c r="CC71" s="308"/>
      <c r="CD71" s="308"/>
      <c r="CE71" s="308"/>
      <c r="CF71" s="308"/>
      <c r="CG71" s="308"/>
      <c r="CH71" s="308"/>
      <c r="CI71" s="308"/>
      <c r="CJ71" s="308"/>
      <c r="CK71" s="308"/>
      <c r="CL71" s="308"/>
      <c r="CM71" s="308"/>
      <c r="CN71" s="308"/>
      <c r="CO71" s="308"/>
    </row>
    <row r="72" spans="1:93" ht="15" customHeight="1" x14ac:dyDescent="0.25">
      <c r="A72" s="77" t="str">
        <f>'Master List'!C21</f>
        <v>S. ALEXANDER</v>
      </c>
      <c r="B72" s="27" t="str">
        <f>AF168</f>
        <v>DBCS</v>
      </c>
      <c r="C72" s="27" t="str">
        <f>AI168</f>
        <v>DBCS</v>
      </c>
      <c r="D72" s="27" t="str">
        <f>AL168</f>
        <v>DBCS</v>
      </c>
      <c r="E72" s="27" t="str">
        <f>AO168</f>
        <v xml:space="preserve"> </v>
      </c>
      <c r="F72" s="27" t="str">
        <f>AR168</f>
        <v xml:space="preserve"> </v>
      </c>
      <c r="G72" s="27" t="str">
        <f>AU168</f>
        <v>DBCS</v>
      </c>
      <c r="H72" s="27" t="str">
        <f>AX168</f>
        <v>DBCS</v>
      </c>
      <c r="M72" s="781" t="str">
        <f>IF(A72=" "," ",".")</f>
        <v>.</v>
      </c>
      <c r="AI72" s="17"/>
      <c r="AL72" s="17"/>
      <c r="AO72" s="17"/>
      <c r="AR72" s="17"/>
      <c r="AU72" s="17"/>
      <c r="CC72" s="308"/>
      <c r="CD72" s="308"/>
      <c r="CE72" s="308"/>
      <c r="CF72" s="308"/>
      <c r="CG72" s="308"/>
      <c r="CH72" s="308"/>
      <c r="CI72" s="308"/>
      <c r="CJ72" s="308"/>
      <c r="CK72" s="308"/>
      <c r="CL72" s="308"/>
      <c r="CM72" s="308"/>
      <c r="CN72" s="308"/>
      <c r="CO72" s="308"/>
    </row>
    <row r="73" spans="1:93" ht="15" customHeight="1" x14ac:dyDescent="0.25">
      <c r="A73" s="77"/>
      <c r="B73" s="27" t="str">
        <f>AF169</f>
        <v>ECBM ROUTES</v>
      </c>
      <c r="C73" s="27" t="str">
        <f>AI169</f>
        <v>ECBM ROUTES</v>
      </c>
      <c r="D73" s="27" t="str">
        <f>AL169</f>
        <v>ECBM ROUTES</v>
      </c>
      <c r="E73" s="27" t="str">
        <f>AO169</f>
        <v/>
      </c>
      <c r="F73" s="27" t="str">
        <f>AR169</f>
        <v/>
      </c>
      <c r="G73" s="27" t="str">
        <f>AU169</f>
        <v>ECBM ROUTES</v>
      </c>
      <c r="H73" s="27" t="str">
        <f>AX169</f>
        <v>ECBM ROUTES</v>
      </c>
      <c r="M73" s="781" t="str">
        <f>IF(A72=" "," ",".")</f>
        <v>.</v>
      </c>
      <c r="AI73" s="17"/>
      <c r="AL73" s="17"/>
      <c r="AO73" s="17"/>
      <c r="AR73" s="17"/>
      <c r="AU73" s="17"/>
      <c r="CC73" s="308"/>
      <c r="CD73" s="308"/>
      <c r="CE73" s="308"/>
      <c r="CF73" s="308"/>
      <c r="CG73" s="308"/>
      <c r="CH73" s="308"/>
      <c r="CI73" s="308"/>
      <c r="CJ73" s="308"/>
      <c r="CK73" s="308"/>
      <c r="CL73" s="308"/>
      <c r="CM73" s="308"/>
      <c r="CN73" s="308"/>
      <c r="CO73" s="308"/>
    </row>
    <row r="74" spans="1:93" ht="15" customHeight="1" thickBot="1" x14ac:dyDescent="0.25">
      <c r="A74" s="73"/>
      <c r="B74" s="74"/>
      <c r="C74" s="74"/>
      <c r="D74" s="74"/>
      <c r="E74" s="74"/>
      <c r="F74" s="74"/>
      <c r="G74" s="74"/>
      <c r="H74" s="74"/>
      <c r="M74" s="781" t="str">
        <f>IF(A72=" "," ",".")</f>
        <v>.</v>
      </c>
      <c r="AI74" s="17"/>
      <c r="AL74" s="17"/>
      <c r="AO74" s="17"/>
      <c r="AR74" s="17"/>
      <c r="AU74" s="17"/>
      <c r="CC74" s="308"/>
      <c r="CD74" s="308"/>
      <c r="CE74" s="308"/>
      <c r="CF74" s="308"/>
      <c r="CG74" s="308"/>
      <c r="CH74" s="308"/>
      <c r="CI74" s="308"/>
      <c r="CJ74" s="308"/>
      <c r="CK74" s="308"/>
      <c r="CL74" s="308"/>
      <c r="CM74" s="308"/>
      <c r="CN74" s="308"/>
      <c r="CO74" s="308"/>
    </row>
    <row r="75" spans="1:93" ht="15" customHeight="1" x14ac:dyDescent="0.2">
      <c r="A75" s="75"/>
      <c r="B75" s="30" t="str">
        <f>IF(OR(Schedule!F32="OT*",Schedule!F32=3,Schedule!F32="3NV",Schedule!F32="OTV",Schedule!F32="OTNV",Schedule!F32="OT",Schedule!F32="3V",Schedule!F32="*OTBT",Schedule!F32="*OTET")," ",Schedule!F32)</f>
        <v>NS</v>
      </c>
      <c r="C75" s="30" t="str">
        <f>IF(OR(Schedule!G32="OT*",Schedule!G32=3,Schedule!G32="3NV",Schedule!G32="OTV",Schedule!G32="OTNV",Schedule!G32="OT",Schedule!G32="3V",Schedule!G32="*OTBT",Schedule!G32="*OTET")," ",Schedule!G32)</f>
        <v>NS</v>
      </c>
      <c r="D75" s="30" t="str">
        <f>IF(OR(Schedule!H32="OT*",Schedule!H32=3,Schedule!H32="3NV",Schedule!H32="OTV",Schedule!H32="OTNV",Schedule!H32="OT",Schedule!H32="3V",Schedule!H32="*OTBT",Schedule!H32="*OTET")," ",Schedule!H32)</f>
        <v>TRNG</v>
      </c>
      <c r="E75" s="30" t="str">
        <f>IF(OR(Schedule!I32="OT*",Schedule!I32=3,Schedule!I32="3NV",Schedule!I32="OTV",Schedule!I32="OTNV",Schedule!I32="OT",Schedule!I32="3V",Schedule!I32="*OTBT",Schedule!I32="*OTET")," ",Schedule!I32)</f>
        <v>TRNG</v>
      </c>
      <c r="F75" s="30" t="str">
        <f>IF(OR(Schedule!J32="OT*",Schedule!J32=3,Schedule!J32="3NV",Schedule!J32="OTV",Schedule!J32="OTNV",Schedule!J32="OT",Schedule!J32="3V",Schedule!J32="*OTBT",Schedule!J32="*OTET")," ",Schedule!J32)</f>
        <v>TRNG</v>
      </c>
      <c r="G75" s="30" t="str">
        <f>IF(OR(Schedule!K32="OT*",Schedule!K32=3,Schedule!K32="3NV",Schedule!K32="OTV",Schedule!K32="OTNV",Schedule!K32="OT",Schedule!K32="3V",Schedule!K32="*OTBT",Schedule!K32="*OTET")," ",Schedule!K32)</f>
        <v>TRNG</v>
      </c>
      <c r="H75" s="30" t="str">
        <f>IF(OR(Schedule!L32="OT*",Schedule!L32=3,Schedule!L32="3NV",Schedule!L32="OTV",Schedule!L32="OTNV",Schedule!L32="OT",Schedule!L32="3V",Schedule!L32="*OTBT",Schedule!L32="*OTET")," ",Schedule!L32)</f>
        <v>TRNG</v>
      </c>
      <c r="M75" s="781" t="str">
        <f>IF(A76=" "," ",".")</f>
        <v>.</v>
      </c>
      <c r="AI75" s="17"/>
      <c r="AL75" s="17"/>
      <c r="AO75" s="17"/>
      <c r="AR75" s="17"/>
      <c r="AU75" s="17"/>
      <c r="CC75" s="308"/>
      <c r="CD75" s="308"/>
      <c r="CE75" s="308"/>
      <c r="CF75" s="308"/>
      <c r="CG75" s="308"/>
      <c r="CH75" s="308"/>
      <c r="CI75" s="308"/>
      <c r="CJ75" s="308"/>
      <c r="CK75" s="308"/>
      <c r="CL75" s="308"/>
      <c r="CM75" s="308"/>
      <c r="CN75" s="308"/>
      <c r="CO75" s="308"/>
    </row>
    <row r="76" spans="1:93" ht="15" customHeight="1" x14ac:dyDescent="0.25">
      <c r="A76" s="77" t="str">
        <f>'Master List'!C22</f>
        <v>Y. KWAN</v>
      </c>
      <c r="B76" s="27" t="str">
        <f>AF171</f>
        <v xml:space="preserve"> </v>
      </c>
      <c r="C76" s="27" t="str">
        <f>AI171</f>
        <v xml:space="preserve"> </v>
      </c>
      <c r="D76" s="27" t="str">
        <f>AL171</f>
        <v xml:space="preserve"> </v>
      </c>
      <c r="E76" s="27" t="str">
        <f>AO171</f>
        <v xml:space="preserve"> </v>
      </c>
      <c r="F76" s="27" t="str">
        <f>AR171</f>
        <v xml:space="preserve"> </v>
      </c>
      <c r="G76" s="27" t="str">
        <f>AU171</f>
        <v xml:space="preserve"> </v>
      </c>
      <c r="H76" s="27" t="str">
        <f>AX171</f>
        <v xml:space="preserve"> </v>
      </c>
      <c r="M76" s="781" t="str">
        <f>IF(A76=" "," ",".")</f>
        <v>.</v>
      </c>
      <c r="O76" s="601"/>
      <c r="P76" s="91"/>
      <c r="Q76" s="91"/>
      <c r="R76" s="91"/>
      <c r="S76" s="91"/>
      <c r="AC76" s="308"/>
      <c r="AD76" s="317"/>
      <c r="AE76" s="317"/>
      <c r="AF76" s="317"/>
      <c r="AG76" s="317"/>
      <c r="AH76" s="317"/>
      <c r="AI76" s="317"/>
      <c r="AJ76" s="317"/>
      <c r="AK76" s="317"/>
      <c r="AL76" s="317"/>
      <c r="AM76" s="317"/>
      <c r="AN76" s="317"/>
      <c r="AO76" s="317"/>
      <c r="AP76" s="317"/>
      <c r="AQ76" s="317"/>
      <c r="AR76" s="317"/>
      <c r="AS76" s="317"/>
      <c r="AT76" s="317"/>
      <c r="AU76" s="317"/>
      <c r="AV76" s="317"/>
      <c r="AW76" s="317"/>
      <c r="AX76" s="317"/>
      <c r="AY76" s="317"/>
      <c r="CC76" s="308"/>
      <c r="CD76" s="308"/>
      <c r="CE76" s="308"/>
      <c r="CF76" s="308"/>
      <c r="CG76" s="308"/>
      <c r="CH76" s="308"/>
      <c r="CI76" s="308"/>
      <c r="CJ76" s="308"/>
      <c r="CK76" s="308"/>
      <c r="CL76" s="308"/>
      <c r="CM76" s="308"/>
      <c r="CN76" s="308"/>
      <c r="CO76" s="308"/>
    </row>
    <row r="77" spans="1:93" ht="15" customHeight="1" x14ac:dyDescent="0.25">
      <c r="A77" s="77"/>
      <c r="B77" s="27" t="str">
        <f>AF172</f>
        <v/>
      </c>
      <c r="C77" s="27" t="str">
        <f>AI172</f>
        <v/>
      </c>
      <c r="D77" s="27" t="str">
        <f>AL172</f>
        <v/>
      </c>
      <c r="E77" s="27" t="str">
        <f>AO172</f>
        <v/>
      </c>
      <c r="F77" s="27" t="str">
        <f>AR172</f>
        <v/>
      </c>
      <c r="G77" s="27" t="str">
        <f>AU172</f>
        <v/>
      </c>
      <c r="H77" s="27" t="str">
        <f>AX172</f>
        <v/>
      </c>
      <c r="M77" s="781" t="str">
        <f>IF(A76=" "," ",".")</f>
        <v>.</v>
      </c>
      <c r="O77" s="601"/>
      <c r="P77" s="91"/>
      <c r="Q77" s="91"/>
      <c r="R77" s="91"/>
      <c r="S77" s="684"/>
      <c r="AC77" s="308"/>
      <c r="AD77" s="317"/>
      <c r="AE77" s="317"/>
      <c r="AF77" s="317"/>
      <c r="AG77" s="317"/>
      <c r="AH77" s="317"/>
      <c r="AI77" s="317"/>
      <c r="AJ77" s="317"/>
      <c r="AK77" s="317"/>
      <c r="AL77" s="317"/>
      <c r="AM77" s="317"/>
      <c r="AN77" s="317"/>
      <c r="AO77" s="317"/>
      <c r="AP77" s="317"/>
      <c r="AQ77" s="317"/>
      <c r="AR77" s="317"/>
      <c r="AS77" s="317"/>
      <c r="AT77" s="317"/>
      <c r="AU77" s="317"/>
      <c r="AV77" s="317"/>
      <c r="AW77" s="317"/>
      <c r="AX77" s="317"/>
      <c r="AY77" s="317"/>
      <c r="CC77" s="308"/>
      <c r="CD77" s="308"/>
      <c r="CE77" s="308"/>
      <c r="CF77" s="308"/>
      <c r="CG77" s="308"/>
      <c r="CH77" s="308"/>
      <c r="CI77" s="308"/>
      <c r="CJ77" s="308"/>
      <c r="CK77" s="308"/>
      <c r="CL77" s="308"/>
      <c r="CM77" s="308"/>
      <c r="CN77" s="308"/>
      <c r="CO77" s="308"/>
    </row>
    <row r="78" spans="1:93" ht="15" customHeight="1" thickBot="1" x14ac:dyDescent="0.25">
      <c r="A78" s="73"/>
      <c r="B78" s="74"/>
      <c r="C78" s="74"/>
      <c r="D78" s="74"/>
      <c r="E78" s="74"/>
      <c r="F78" s="74"/>
      <c r="G78" s="74"/>
      <c r="H78" s="74"/>
      <c r="M78" s="781" t="str">
        <f>IF(A76=" "," ",".")</f>
        <v>.</v>
      </c>
      <c r="O78" s="601"/>
      <c r="AC78" s="311"/>
      <c r="AD78" s="317"/>
      <c r="AE78" s="317"/>
      <c r="AF78" s="317"/>
      <c r="AG78" s="317"/>
      <c r="AH78" s="317"/>
      <c r="AI78" s="317"/>
      <c r="AJ78" s="317"/>
      <c r="AK78" s="317"/>
      <c r="AL78" s="317"/>
      <c r="AM78" s="317"/>
      <c r="AN78" s="317"/>
      <c r="AO78" s="317"/>
      <c r="AP78" s="317"/>
      <c r="AQ78" s="317"/>
      <c r="AR78" s="317"/>
      <c r="AS78" s="317"/>
      <c r="AT78" s="317"/>
      <c r="AU78" s="317"/>
      <c r="AV78" s="317"/>
      <c r="AW78" s="317"/>
      <c r="AX78" s="317"/>
      <c r="AY78" s="317"/>
      <c r="CC78" s="308"/>
      <c r="CD78" s="308"/>
      <c r="CE78" s="308"/>
      <c r="CF78" s="308"/>
      <c r="CG78" s="308"/>
      <c r="CH78" s="308"/>
      <c r="CI78" s="308"/>
      <c r="CJ78" s="308"/>
      <c r="CK78" s="308"/>
      <c r="CL78" s="308"/>
      <c r="CM78" s="308"/>
      <c r="CN78" s="308"/>
      <c r="CO78" s="308"/>
    </row>
    <row r="79" spans="1:93" ht="15" customHeight="1" x14ac:dyDescent="0.2">
      <c r="A79" s="75"/>
      <c r="B79" s="30" t="str">
        <f>IF(OR(Schedule!F33="OT*",Schedule!F33=3,Schedule!F33="3NV",Schedule!F33="OTV",Schedule!F33="OTNV",Schedule!F33="OT",Schedule!F33="3V",Schedule!F33="*OTBT",Schedule!F33="*OTET")," ",Schedule!F33)</f>
        <v xml:space="preserve"> </v>
      </c>
      <c r="C79" s="30" t="str">
        <f>IF(OR(Schedule!G33="OT*",Schedule!G33=3,Schedule!G33="3NV",Schedule!G33="OTV",Schedule!G33="OTNV",Schedule!G33="OT",Schedule!G33="3V",Schedule!G33="*OTBT",Schedule!G33="*OTET")," ",Schedule!G33)</f>
        <v xml:space="preserve"> </v>
      </c>
      <c r="D79" s="30" t="str">
        <f>IF(OR(Schedule!H33="OT*",Schedule!H33=3,Schedule!H33="3NV",Schedule!H33="OTV",Schedule!H33="OTNV",Schedule!H33="OT",Schedule!H33="3V",Schedule!H33="*OTBT",Schedule!H33="*OTET")," ",Schedule!H33)</f>
        <v xml:space="preserve"> </v>
      </c>
      <c r="E79" s="30" t="str">
        <f>IF(OR(Schedule!I33="OT*",Schedule!I33=3,Schedule!I33="3NV",Schedule!I33="OTV",Schedule!I33="OTNV",Schedule!I33="OT",Schedule!I33="3V",Schedule!I33="*OTBT",Schedule!I33="*OTET")," ",Schedule!I33)</f>
        <v xml:space="preserve"> </v>
      </c>
      <c r="F79" s="30" t="str">
        <f>IF(OR(Schedule!J33="OT*",Schedule!J33=3,Schedule!J33="3NV",Schedule!J33="OTV",Schedule!J33="OTNV",Schedule!J33="OT",Schedule!J33="3V",Schedule!J33="*OTBT",Schedule!J33="*OTET")," ",Schedule!J33)</f>
        <v>NS</v>
      </c>
      <c r="G79" s="30" t="str">
        <f>IF(OR(Schedule!K33="OT*",Schedule!K33=3,Schedule!K33="3NV",Schedule!K33="OTV",Schedule!K33="OTNV",Schedule!K33="OT",Schedule!K33="3V",Schedule!K33="*OTBT",Schedule!K33="*OTET")," ",Schedule!K33)</f>
        <v xml:space="preserve"> </v>
      </c>
      <c r="H79" s="30" t="str">
        <f>IF(OR(Schedule!L33="OT*",Schedule!L33=3,Schedule!L33="3NV",Schedule!L33="OTV",Schedule!L33="OTNV",Schedule!L33="OT",Schedule!L33="3V",Schedule!L33="*OTBT",Schedule!L33="*OTET")," ",Schedule!L33)</f>
        <v xml:space="preserve"> </v>
      </c>
      <c r="M79" s="781" t="str">
        <f>IF(A80=" "," ",".")</f>
        <v>.</v>
      </c>
      <c r="O79" s="601"/>
      <c r="AC79" s="311"/>
      <c r="AD79" s="316"/>
      <c r="AE79" s="316"/>
      <c r="AF79" s="316"/>
      <c r="AG79" s="316"/>
      <c r="AH79" s="316"/>
      <c r="AI79" s="316"/>
      <c r="AJ79" s="316"/>
      <c r="AK79" s="316"/>
      <c r="AL79" s="316"/>
      <c r="AM79" s="316"/>
      <c r="AN79" s="316"/>
      <c r="AO79" s="316"/>
      <c r="AP79" s="316"/>
      <c r="AQ79" s="316"/>
      <c r="AR79" s="316"/>
      <c r="AS79" s="316"/>
      <c r="AT79" s="316"/>
      <c r="AU79" s="316"/>
      <c r="AV79" s="316"/>
      <c r="AW79" s="316"/>
      <c r="AX79" s="316"/>
      <c r="AY79" s="316"/>
      <c r="CC79" s="308"/>
      <c r="CD79" s="308"/>
      <c r="CE79" s="308"/>
      <c r="CF79" s="308"/>
      <c r="CG79" s="308"/>
      <c r="CH79" s="308"/>
      <c r="CI79" s="308"/>
      <c r="CJ79" s="308"/>
      <c r="CK79" s="308"/>
      <c r="CL79" s="308"/>
      <c r="CM79" s="308"/>
      <c r="CN79" s="308"/>
      <c r="CO79" s="308"/>
    </row>
    <row r="80" spans="1:93" ht="15" customHeight="1" x14ac:dyDescent="0.25">
      <c r="A80" s="77" t="str">
        <f>'Master List'!C23</f>
        <v>R. AQUINO</v>
      </c>
      <c r="B80" s="27" t="str">
        <f>AF174</f>
        <v>DBCS</v>
      </c>
      <c r="C80" s="27" t="str">
        <f>AI174</f>
        <v>DBCS</v>
      </c>
      <c r="D80" s="27" t="str">
        <f>AL174</f>
        <v>DBCS</v>
      </c>
      <c r="E80" s="27" t="str">
        <f>AO174</f>
        <v>AFCS</v>
      </c>
      <c r="F80" s="27" t="str">
        <f>AR174</f>
        <v xml:space="preserve"> </v>
      </c>
      <c r="G80" s="27" t="str">
        <f>AU174</f>
        <v>AFCS</v>
      </c>
      <c r="H80" s="27" t="str">
        <f>AX174</f>
        <v>AFCS</v>
      </c>
      <c r="M80" s="781" t="str">
        <f>IF(A80=" "," ",".")</f>
        <v>.</v>
      </c>
      <c r="O80" s="601"/>
      <c r="AC80" s="311"/>
      <c r="AD80" s="316"/>
      <c r="AE80" s="316"/>
      <c r="AF80" s="316"/>
      <c r="AG80" s="316"/>
      <c r="AH80" s="316"/>
      <c r="AI80" s="316"/>
      <c r="AJ80" s="316"/>
      <c r="AK80" s="316"/>
      <c r="AL80" s="316"/>
      <c r="AM80" s="316"/>
      <c r="AN80" s="316"/>
      <c r="AO80" s="316"/>
      <c r="AP80" s="316"/>
      <c r="AQ80" s="316"/>
      <c r="AR80" s="17"/>
      <c r="AU80" s="17"/>
      <c r="CC80" s="308"/>
      <c r="CD80" s="308"/>
      <c r="CE80" s="308"/>
      <c r="CF80" s="308"/>
      <c r="CG80" s="308"/>
      <c r="CH80" s="308"/>
      <c r="CI80" s="308"/>
      <c r="CJ80" s="308"/>
      <c r="CK80" s="308"/>
      <c r="CL80" s="308"/>
      <c r="CM80" s="308"/>
      <c r="CN80" s="308"/>
      <c r="CO80" s="308"/>
    </row>
    <row r="81" spans="1:93" ht="15" customHeight="1" x14ac:dyDescent="0.25">
      <c r="A81" s="77"/>
      <c r="B81" s="27" t="str">
        <f>AF175</f>
        <v>ECBM ROUTES</v>
      </c>
      <c r="C81" s="27" t="str">
        <f>AI175</f>
        <v>ECBM ROUTES</v>
      </c>
      <c r="D81" s="27" t="str">
        <f>AL175</f>
        <v>ECBM ROUTES</v>
      </c>
      <c r="E81" s="27" t="str">
        <f>AO175</f>
        <v>BDS/IJP</v>
      </c>
      <c r="F81" s="27" t="str">
        <f>AR175</f>
        <v/>
      </c>
      <c r="G81" s="27" t="str">
        <f>AU175</f>
        <v>BDS/IJP</v>
      </c>
      <c r="H81" s="27" t="str">
        <f>AX175</f>
        <v>BDS/IJP</v>
      </c>
      <c r="M81" s="781" t="str">
        <f>IF(A80=" "," ",".")</f>
        <v>.</v>
      </c>
      <c r="O81" s="601"/>
      <c r="AC81" s="311"/>
      <c r="AD81" s="316"/>
      <c r="AE81" s="316"/>
      <c r="AF81" s="316"/>
      <c r="AG81" s="316"/>
      <c r="AH81" s="316"/>
      <c r="AI81" s="316"/>
      <c r="AJ81" s="316"/>
      <c r="AK81" s="316"/>
      <c r="AL81" s="316"/>
      <c r="AM81" s="316"/>
      <c r="AN81" s="316"/>
      <c r="AO81" s="316"/>
      <c r="AP81" s="316"/>
      <c r="AQ81" s="316"/>
      <c r="AR81" s="316"/>
      <c r="AS81" s="316"/>
      <c r="AT81" s="316"/>
      <c r="AU81" s="316"/>
      <c r="AV81" s="316"/>
      <c r="CC81" s="308"/>
      <c r="CD81" s="308"/>
      <c r="CE81" s="308"/>
      <c r="CF81" s="308"/>
      <c r="CG81" s="308"/>
      <c r="CH81" s="308"/>
      <c r="CI81" s="308"/>
      <c r="CJ81" s="308"/>
      <c r="CK81" s="308"/>
      <c r="CL81" s="308"/>
      <c r="CM81" s="308"/>
      <c r="CN81" s="308"/>
      <c r="CO81" s="308"/>
    </row>
    <row r="82" spans="1:93" ht="15" customHeight="1" thickBot="1" x14ac:dyDescent="0.25">
      <c r="A82" s="73"/>
      <c r="B82" s="74"/>
      <c r="C82" s="74"/>
      <c r="D82" s="74"/>
      <c r="E82" s="74"/>
      <c r="F82" s="74"/>
      <c r="G82" s="74"/>
      <c r="H82" s="74"/>
      <c r="M82" s="781" t="str">
        <f>IF(A80=" "," ",".")</f>
        <v>.</v>
      </c>
      <c r="O82" s="601"/>
      <c r="AC82" s="311"/>
      <c r="AD82" s="315"/>
      <c r="AE82" s="315"/>
      <c r="AF82" s="315"/>
      <c r="AG82" s="315"/>
      <c r="AH82" s="315"/>
      <c r="AI82" s="315"/>
      <c r="AJ82" s="315"/>
      <c r="AK82" s="315"/>
      <c r="AL82" s="315"/>
      <c r="AM82" s="315"/>
      <c r="AN82" s="315"/>
      <c r="AO82" s="315"/>
      <c r="AP82" s="315"/>
      <c r="AQ82" s="315"/>
      <c r="AR82" s="315"/>
      <c r="AS82" s="315"/>
      <c r="AT82" s="315"/>
      <c r="AU82" s="315"/>
      <c r="AV82" s="315"/>
      <c r="CC82" s="308"/>
      <c r="CD82" s="308"/>
      <c r="CE82" s="308"/>
      <c r="CF82" s="308"/>
      <c r="CG82" s="308"/>
      <c r="CH82" s="308"/>
      <c r="CI82" s="308"/>
      <c r="CJ82" s="308"/>
      <c r="CK82" s="308"/>
      <c r="CL82" s="308"/>
      <c r="CM82" s="308"/>
      <c r="CN82" s="308"/>
      <c r="CO82" s="308"/>
    </row>
    <row r="83" spans="1:93" ht="15" customHeight="1" x14ac:dyDescent="0.2">
      <c r="A83" s="75"/>
      <c r="B83" s="30" t="str">
        <f>IF(OR(Schedule!F34="OT*",Schedule!F34=3,Schedule!F34="3NV",Schedule!F34="OTV",Schedule!F34="OTNV",Schedule!F34="OT",Schedule!F34="3V",Schedule!F34="*OTBT",Schedule!F34="*OTET")," ",Schedule!F34)</f>
        <v xml:space="preserve"> </v>
      </c>
      <c r="C83" s="30" t="str">
        <f>IF(OR(Schedule!G34="OT*",Schedule!G34=3,Schedule!G34="3NV",Schedule!G34="OTV",Schedule!G34="OTNV",Schedule!G34="OT",Schedule!G34="3V",Schedule!G34="*OTBT",Schedule!G34="*OTET")," ",Schedule!G34)</f>
        <v xml:space="preserve"> </v>
      </c>
      <c r="D83" s="30" t="str">
        <f>IF(OR(Schedule!H34="OT*",Schedule!H34=3,Schedule!H34="3NV",Schedule!H34="OTV",Schedule!H34="OTNV",Schedule!H34="OT",Schedule!H34="3V",Schedule!H34="*OTBT",Schedule!H34="*OTET")," ",Schedule!H34)</f>
        <v xml:space="preserve"> </v>
      </c>
      <c r="E83" s="30" t="str">
        <f>IF(OR(Schedule!I34="OT*",Schedule!I34=3,Schedule!I34="3NV",Schedule!I34="OTV",Schedule!I34="OTNV",Schedule!I34="OT",Schedule!I34="3V",Schedule!I34="*OTBT",Schedule!I34="*OTET")," ",Schedule!I34)</f>
        <v>NS</v>
      </c>
      <c r="F83" s="30" t="str">
        <f>IF(OR(Schedule!J34="OT*",Schedule!J34=3,Schedule!J34="3NV",Schedule!J34="OTV",Schedule!J34="OTNV",Schedule!J34="OT",Schedule!J34="3V",Schedule!J34="*OTBT",Schedule!J34="*OTET")," ",Schedule!J34)</f>
        <v xml:space="preserve"> </v>
      </c>
      <c r="G83" s="30" t="str">
        <f>IF(OR(Schedule!K34="OT*",Schedule!K34=3,Schedule!K34="3NV",Schedule!K34="OTV",Schedule!K34="OTNV",Schedule!K34="OT",Schedule!K34="3V",Schedule!K34="*OTBT",Schedule!K34="*OTET")," ",Schedule!K34)</f>
        <v xml:space="preserve"> </v>
      </c>
      <c r="H83" s="30" t="str">
        <f>IF(OR(Schedule!L34="OT*",Schedule!L34=3,Schedule!L34="3NV",Schedule!L34="OTV",Schedule!L34="OTNV",Schedule!L34="OT",Schedule!L34="3V",Schedule!L34="*OTBT",Schedule!L34="*OTET")," ",Schedule!L34)</f>
        <v xml:space="preserve"> </v>
      </c>
      <c r="M83" s="781" t="str">
        <f>IF(A84=" "," ",".")</f>
        <v>.</v>
      </c>
      <c r="AC83" s="311"/>
      <c r="AD83" s="315"/>
      <c r="AE83" s="315"/>
      <c r="AF83" s="315"/>
      <c r="AG83" s="315"/>
      <c r="AH83" s="315"/>
      <c r="AI83" s="315"/>
      <c r="AJ83" s="315"/>
      <c r="AK83" s="315"/>
      <c r="AL83" s="315"/>
      <c r="AM83" s="315"/>
      <c r="AN83" s="315"/>
      <c r="AO83" s="315"/>
      <c r="AP83" s="315"/>
      <c r="AQ83" s="315"/>
      <c r="AR83" s="315"/>
      <c r="AS83" s="315"/>
      <c r="AT83" s="315"/>
      <c r="AU83" s="315"/>
      <c r="AV83" s="315"/>
      <c r="CC83" s="308"/>
      <c r="CD83" s="308"/>
      <c r="CE83" s="308"/>
      <c r="CF83" s="308"/>
      <c r="CG83" s="308"/>
      <c r="CH83" s="308"/>
      <c r="CI83" s="308"/>
      <c r="CJ83" s="308"/>
      <c r="CK83" s="308"/>
      <c r="CL83" s="308"/>
      <c r="CM83" s="308"/>
      <c r="CN83" s="308"/>
      <c r="CO83" s="308"/>
    </row>
    <row r="84" spans="1:93" ht="15" customHeight="1" x14ac:dyDescent="0.25">
      <c r="A84" s="77" t="str">
        <f>'Master List'!C24</f>
        <v>D. CURRY</v>
      </c>
      <c r="B84" s="27" t="str">
        <f>AF177</f>
        <v>DBCS</v>
      </c>
      <c r="C84" s="27" t="str">
        <f>AI177</f>
        <v>DBCS</v>
      </c>
      <c r="D84" s="27" t="str">
        <f>AL177</f>
        <v>DBCS</v>
      </c>
      <c r="E84" s="27" t="str">
        <f>AO177</f>
        <v xml:space="preserve"> </v>
      </c>
      <c r="F84" s="27" t="str">
        <f>AR177</f>
        <v>DBCS</v>
      </c>
      <c r="G84" s="27" t="str">
        <f>AU177</f>
        <v>DBCS</v>
      </c>
      <c r="H84" s="27" t="str">
        <f>AX177</f>
        <v>DBCS</v>
      </c>
      <c r="M84" s="781" t="str">
        <f>IF(A84=" "," ",".")</f>
        <v>.</v>
      </c>
      <c r="AC84" s="311"/>
      <c r="AD84" s="315"/>
      <c r="AE84" s="315"/>
      <c r="AF84" s="315"/>
      <c r="AG84" s="315"/>
      <c r="AH84" s="315"/>
      <c r="AI84" s="315"/>
      <c r="AJ84" s="315"/>
      <c r="AK84" s="315"/>
      <c r="AL84" s="315"/>
      <c r="AM84" s="315"/>
      <c r="AN84" s="315"/>
      <c r="AO84" s="315"/>
      <c r="AP84" s="315"/>
      <c r="AQ84" s="315"/>
      <c r="AR84" s="315"/>
      <c r="AS84" s="315"/>
      <c r="AT84" s="315"/>
      <c r="AU84" s="315"/>
      <c r="AV84" s="315"/>
      <c r="CC84" s="308"/>
      <c r="CD84" s="308"/>
      <c r="CE84" s="308"/>
      <c r="CF84" s="308"/>
      <c r="CG84" s="308"/>
      <c r="CH84" s="308"/>
      <c r="CI84" s="308"/>
      <c r="CJ84" s="308"/>
      <c r="CK84" s="308"/>
      <c r="CL84" s="308"/>
      <c r="CM84" s="308"/>
      <c r="CN84" s="308"/>
      <c r="CO84" s="308"/>
    </row>
    <row r="85" spans="1:93" ht="15" customHeight="1" x14ac:dyDescent="0.25">
      <c r="A85" s="77"/>
      <c r="B85" s="27" t="str">
        <f>AF178</f>
        <v>ECBM ROUTES</v>
      </c>
      <c r="C85" s="27" t="str">
        <f>AI178</f>
        <v>ECBM ROUTES</v>
      </c>
      <c r="D85" s="27" t="str">
        <f>AL178</f>
        <v>ECBM ROUTES</v>
      </c>
      <c r="E85" s="27" t="str">
        <f>AO178</f>
        <v/>
      </c>
      <c r="F85" s="27" t="str">
        <f>AR178</f>
        <v>ECBM ROUTES</v>
      </c>
      <c r="G85" s="27" t="str">
        <f>AU178</f>
        <v>ECBM ROUTES</v>
      </c>
      <c r="H85" s="27" t="str">
        <f>AX178</f>
        <v>ECBM ROUTES</v>
      </c>
      <c r="M85" s="781" t="str">
        <f>IF(A84=" "," ",".")</f>
        <v>.</v>
      </c>
      <c r="AI85" s="17"/>
      <c r="AL85" s="17"/>
      <c r="AO85" s="17"/>
      <c r="AR85" s="17"/>
      <c r="AU85" s="17"/>
      <c r="CC85" s="308"/>
      <c r="CD85" s="308"/>
      <c r="CE85" s="308"/>
      <c r="CF85" s="308"/>
      <c r="CG85" s="308"/>
      <c r="CH85" s="308"/>
      <c r="CI85" s="308"/>
      <c r="CJ85" s="308"/>
      <c r="CK85" s="308"/>
      <c r="CL85" s="308"/>
      <c r="CM85" s="308"/>
      <c r="CN85" s="308"/>
      <c r="CO85" s="308"/>
    </row>
    <row r="86" spans="1:93" ht="15" customHeight="1" thickBot="1" x14ac:dyDescent="0.25">
      <c r="A86" s="73"/>
      <c r="B86" s="74"/>
      <c r="C86" s="74"/>
      <c r="D86" s="74"/>
      <c r="E86" s="74"/>
      <c r="F86" s="74"/>
      <c r="G86" s="74"/>
      <c r="H86" s="74"/>
      <c r="M86" s="781" t="str">
        <f>IF(A84=" "," ",".")</f>
        <v>.</v>
      </c>
      <c r="AI86" s="17"/>
      <c r="AL86" s="17"/>
      <c r="AO86" s="17"/>
      <c r="AR86" s="17"/>
      <c r="AU86" s="17"/>
      <c r="CC86" s="308"/>
      <c r="CD86" s="308"/>
      <c r="CE86" s="308"/>
      <c r="CF86" s="308"/>
      <c r="CG86" s="308"/>
      <c r="CH86" s="308"/>
      <c r="CI86" s="308"/>
      <c r="CJ86" s="308"/>
      <c r="CK86" s="308"/>
      <c r="CL86" s="308"/>
      <c r="CM86" s="308"/>
      <c r="CN86" s="308"/>
      <c r="CO86" s="308"/>
    </row>
    <row r="87" spans="1:93" ht="15" customHeight="1" x14ac:dyDescent="0.2">
      <c r="A87" s="75"/>
      <c r="B87" s="30" t="str">
        <f>IF(OR(Schedule!F35="OT*",Schedule!F35=3,Schedule!F35="3NV",Schedule!F35="OTV",Schedule!F35="OTNV",Schedule!F35="OT",Schedule!F35="3V",Schedule!F35="*OTBT",Schedule!F35="*OTET")," ",Schedule!F35)</f>
        <v>*</v>
      </c>
      <c r="C87" s="30" t="str">
        <f>IF(OR(Schedule!G35="OT*",Schedule!G35=3,Schedule!G35="3NV",Schedule!G35="OTV",Schedule!G35="OTNV",Schedule!G35="OT",Schedule!G35="3V",Schedule!G35="*OTBT",Schedule!G35="*OTET")," ",Schedule!G35)</f>
        <v>*</v>
      </c>
      <c r="D87" s="30" t="str">
        <f>IF(OR(Schedule!H35="OT*",Schedule!H35=3,Schedule!H35="3NV",Schedule!H35="OTV",Schedule!H35="OTNV",Schedule!H35="OT",Schedule!H35="3V",Schedule!H35="*OTBT",Schedule!H35="*OTET")," ",Schedule!H35)</f>
        <v>*</v>
      </c>
      <c r="E87" s="30" t="str">
        <f>IF(OR(Schedule!I35="OT*",Schedule!I35=3,Schedule!I35="3NV",Schedule!I35="OTV",Schedule!I35="OTNV",Schedule!I35="OT",Schedule!I35="3V",Schedule!I35="*OTBT",Schedule!I35="*OTET")," ",Schedule!I35)</f>
        <v>*</v>
      </c>
      <c r="F87" s="30" t="str">
        <f>IF(OR(Schedule!J35="OT*",Schedule!J35=3,Schedule!J35="3NV",Schedule!J35="OTV",Schedule!J35="OTNV",Schedule!J35="OT",Schedule!J35="3V",Schedule!J35="*OTBT",Schedule!J35="*OTET")," ",Schedule!J35)</f>
        <v>NS</v>
      </c>
      <c r="G87" s="30" t="str">
        <f>IF(OR(Schedule!K35="OT*",Schedule!K35=3,Schedule!K35="3NV",Schedule!K35="OTV",Schedule!K35="OTNV",Schedule!K35="OT",Schedule!K35="3V",Schedule!K35="*OTBT",Schedule!K35="*OTET")," ",Schedule!K35)</f>
        <v>NS</v>
      </c>
      <c r="H87" s="30" t="str">
        <f>IF(OR(Schedule!L35="OT*",Schedule!L35=3,Schedule!L35="3NV",Schedule!L35="OTV",Schedule!L35="OTNV",Schedule!L35="OT",Schedule!L35="3V",Schedule!L35="*OTBT",Schedule!L35="*OTET")," ",Schedule!L35)</f>
        <v>*</v>
      </c>
      <c r="M87" s="781" t="str">
        <f>IF(A88=" "," ",".")</f>
        <v>.</v>
      </c>
      <c r="AI87" s="17"/>
      <c r="AL87" s="17"/>
      <c r="AO87" s="17"/>
      <c r="AR87" s="17"/>
      <c r="AU87" s="17"/>
      <c r="CC87" s="308"/>
      <c r="CD87" s="308"/>
      <c r="CE87" s="308"/>
      <c r="CF87" s="308"/>
      <c r="CG87" s="308"/>
      <c r="CH87" s="308"/>
      <c r="CI87" s="308"/>
      <c r="CJ87" s="308"/>
      <c r="CK87" s="308"/>
      <c r="CL87" s="308"/>
      <c r="CM87" s="308"/>
      <c r="CN87" s="308"/>
      <c r="CO87" s="308"/>
    </row>
    <row r="88" spans="1:93" ht="15" customHeight="1" x14ac:dyDescent="0.25">
      <c r="A88" s="77" t="str">
        <f>'Master List'!C25</f>
        <v>A. BEECHING</v>
      </c>
      <c r="B88" s="27" t="str">
        <f>AF180</f>
        <v xml:space="preserve"> </v>
      </c>
      <c r="C88" s="27" t="str">
        <f>AI180</f>
        <v xml:space="preserve"> </v>
      </c>
      <c r="D88" s="27" t="str">
        <f>AL180</f>
        <v xml:space="preserve"> </v>
      </c>
      <c r="E88" s="27" t="str">
        <f>AO180</f>
        <v xml:space="preserve"> </v>
      </c>
      <c r="F88" s="27" t="str">
        <f>AR180</f>
        <v xml:space="preserve"> </v>
      </c>
      <c r="G88" s="27" t="str">
        <f>AU180</f>
        <v xml:space="preserve"> </v>
      </c>
      <c r="H88" s="27" t="str">
        <f>AX180</f>
        <v xml:space="preserve"> </v>
      </c>
      <c r="M88" s="781" t="str">
        <f>IF(A88=" "," ",".")</f>
        <v>.</v>
      </c>
      <c r="AI88" s="17"/>
      <c r="AL88" s="17"/>
      <c r="AO88" s="17"/>
      <c r="AR88" s="17"/>
      <c r="AU88" s="17"/>
      <c r="CC88" s="308"/>
      <c r="CD88" s="308"/>
      <c r="CE88" s="308"/>
      <c r="CF88" s="308"/>
      <c r="CG88" s="308"/>
      <c r="CH88" s="308"/>
      <c r="CI88" s="308"/>
      <c r="CJ88" s="308"/>
      <c r="CK88" s="308"/>
      <c r="CL88" s="308"/>
      <c r="CM88" s="308"/>
      <c r="CN88" s="308"/>
      <c r="CO88" s="308"/>
    </row>
    <row r="89" spans="1:93" ht="15" customHeight="1" x14ac:dyDescent="0.25">
      <c r="A89" s="77"/>
      <c r="B89" s="27" t="str">
        <f>AF181</f>
        <v/>
      </c>
      <c r="C89" s="27" t="str">
        <f>AI181</f>
        <v/>
      </c>
      <c r="D89" s="27" t="str">
        <f>AL181</f>
        <v/>
      </c>
      <c r="E89" s="27" t="str">
        <f>AO181</f>
        <v/>
      </c>
      <c r="F89" s="27" t="str">
        <f>AR181</f>
        <v/>
      </c>
      <c r="G89" s="27" t="str">
        <f>AU181</f>
        <v/>
      </c>
      <c r="H89" s="27" t="str">
        <f>AX181</f>
        <v/>
      </c>
      <c r="M89" s="781" t="str">
        <f>IF(A88=" "," ",".")</f>
        <v>.</v>
      </c>
      <c r="AI89" s="17"/>
      <c r="AL89" s="17"/>
      <c r="AO89" s="17"/>
      <c r="AR89" s="17"/>
      <c r="AU89" s="17"/>
      <c r="CC89" s="308"/>
      <c r="CD89" s="308"/>
      <c r="CE89" s="308"/>
      <c r="CF89" s="308"/>
      <c r="CG89" s="308"/>
      <c r="CH89" s="308"/>
      <c r="CI89" s="308"/>
      <c r="CJ89" s="308"/>
      <c r="CK89" s="308"/>
      <c r="CL89" s="308"/>
      <c r="CM89" s="308"/>
      <c r="CN89" s="308"/>
      <c r="CO89" s="308"/>
    </row>
    <row r="90" spans="1:93" ht="16.5" customHeight="1" thickBot="1" x14ac:dyDescent="0.25">
      <c r="A90" s="73"/>
      <c r="B90" s="74"/>
      <c r="C90" s="74"/>
      <c r="D90" s="74"/>
      <c r="E90" s="74"/>
      <c r="F90" s="74"/>
      <c r="G90" s="74"/>
      <c r="H90" s="74"/>
      <c r="M90" s="781" t="str">
        <f>IF(A88=" "," ",".")</f>
        <v>.</v>
      </c>
      <c r="AI90" s="17"/>
      <c r="AL90" s="17"/>
      <c r="AO90" s="17"/>
      <c r="AR90" s="17"/>
      <c r="AU90" s="17"/>
      <c r="CC90" s="308"/>
      <c r="CD90" s="308"/>
      <c r="CE90" s="308"/>
      <c r="CF90" s="308"/>
      <c r="CG90" s="308"/>
      <c r="CH90" s="308"/>
      <c r="CI90" s="308"/>
      <c r="CJ90" s="308"/>
      <c r="CK90" s="308"/>
      <c r="CL90" s="308"/>
      <c r="CM90" s="308"/>
      <c r="CN90" s="308"/>
      <c r="CO90" s="308"/>
    </row>
    <row r="91" spans="1:93" ht="15" hidden="1" customHeight="1" x14ac:dyDescent="0.2">
      <c r="A91" s="75"/>
      <c r="B91" s="30">
        <f>IF(OR(Schedule!F36="OT*",Schedule!F36=3,Schedule!F36="3NV",Schedule!F36="OTV",Schedule!F36="OTNV",Schedule!F36="OT",Schedule!F36="3V",Schedule!F36="*OTBT",Schedule!F36="*OTET")," ",Schedule!F36)</f>
        <v>0</v>
      </c>
      <c r="C91" s="30">
        <f>IF(OR(Schedule!G36="OT*",Schedule!G36=3,Schedule!G36="3NV",Schedule!G36="OTV",Schedule!G36="OTNV",Schedule!G36="OT",Schedule!G36="3V",Schedule!G36="*OTBT",Schedule!G36="*OTET")," ",Schedule!G36)</f>
        <v>0</v>
      </c>
      <c r="D91" s="30">
        <f>IF(OR(Schedule!H36="OT*",Schedule!H36=3,Schedule!H36="3NV",Schedule!H36="OTV",Schedule!H36="OTNV",Schedule!H36="OT",Schedule!H36="3V",Schedule!H36="*OTBT",Schedule!H36="*OTET")," ",Schedule!H36)</f>
        <v>0</v>
      </c>
      <c r="E91" s="30">
        <f>IF(OR(Schedule!I36="OT*",Schedule!I36=3,Schedule!I36="3NV",Schedule!I36="OTV",Schedule!I36="OTNV",Schedule!I36="OT",Schedule!I36="3V",Schedule!I36="*OTBT",Schedule!I36="*OTET")," ",Schedule!I36)</f>
        <v>0</v>
      </c>
      <c r="F91" s="30">
        <f>IF(OR(Schedule!J36="OT*",Schedule!J36=3,Schedule!J36="3NV",Schedule!J36="OTV",Schedule!J36="OTNV",Schedule!J36="OT",Schedule!J36="3V",Schedule!J36="*OTBT",Schedule!J36="*OTET")," ",Schedule!J36)</f>
        <v>0</v>
      </c>
      <c r="G91" s="30">
        <f>IF(OR(Schedule!K36="OT*",Schedule!K36=3,Schedule!K36="3NV",Schedule!K36="OTV",Schedule!K36="OTNV",Schedule!K36="OT",Schedule!K36="3V",Schedule!K36="*OTBT",Schedule!K36="*OTET")," ",Schedule!K36)</f>
        <v>0</v>
      </c>
      <c r="H91" s="30">
        <f>IF(OR(Schedule!L36="OT*",Schedule!L36=3,Schedule!L36="3NV",Schedule!L36="OTV",Schedule!L36="OTNV",Schedule!L36="OT",Schedule!L36="3V",Schedule!L36="*OTBT",Schedule!L36="*OTET")," ",Schedule!L36)</f>
        <v>0</v>
      </c>
      <c r="M91" s="8" t="str">
        <f>IF(A92=" "," ",".")</f>
        <v>.</v>
      </c>
      <c r="AI91" s="17"/>
      <c r="AL91" s="17"/>
      <c r="AO91" s="17"/>
      <c r="AR91" s="17"/>
      <c r="AU91" s="17"/>
      <c r="CC91" s="308"/>
      <c r="CD91" s="308"/>
      <c r="CE91" s="308"/>
      <c r="CF91" s="308"/>
      <c r="CG91" s="308"/>
      <c r="CH91" s="308"/>
      <c r="CI91" s="308"/>
      <c r="CJ91" s="308"/>
      <c r="CK91" s="308"/>
      <c r="CL91" s="308"/>
      <c r="CM91" s="308"/>
      <c r="CN91" s="308"/>
      <c r="CO91" s="308"/>
    </row>
    <row r="92" spans="1:93" ht="27" hidden="1" customHeight="1" x14ac:dyDescent="0.25">
      <c r="A92" s="77">
        <f>'Master List'!C26</f>
        <v>0</v>
      </c>
      <c r="B92" s="27" t="str">
        <f>AF183</f>
        <v xml:space="preserve"> </v>
      </c>
      <c r="C92" s="27" t="str">
        <f>AI183</f>
        <v xml:space="preserve"> </v>
      </c>
      <c r="D92" s="27" t="str">
        <f>AL183</f>
        <v xml:space="preserve"> </v>
      </c>
      <c r="E92" s="27" t="str">
        <f>AO183</f>
        <v xml:space="preserve"> </v>
      </c>
      <c r="F92" s="27" t="str">
        <f>AR183</f>
        <v xml:space="preserve"> </v>
      </c>
      <c r="G92" s="27" t="str">
        <f>AU183</f>
        <v xml:space="preserve"> </v>
      </c>
      <c r="H92" s="27" t="str">
        <f>AX183</f>
        <v xml:space="preserve"> </v>
      </c>
      <c r="M92" s="8" t="str">
        <f>IF(A92=" "," ",".")</f>
        <v>.</v>
      </c>
      <c r="AI92" s="17"/>
      <c r="AL92" s="17"/>
      <c r="AO92" s="17"/>
      <c r="AR92" s="17"/>
      <c r="AU92" s="17"/>
      <c r="CC92" s="308"/>
      <c r="CD92" s="308"/>
      <c r="CE92" s="308"/>
      <c r="CF92" s="308"/>
      <c r="CG92" s="308"/>
      <c r="CH92" s="308"/>
      <c r="CI92" s="308"/>
      <c r="CJ92" s="308"/>
      <c r="CK92" s="308"/>
      <c r="CL92" s="308"/>
      <c r="CM92" s="308"/>
      <c r="CN92" s="308"/>
      <c r="CO92" s="308"/>
    </row>
    <row r="93" spans="1:93" ht="20.25" hidden="1" customHeight="1" x14ac:dyDescent="0.25">
      <c r="A93" s="77"/>
      <c r="B93" s="27" t="str">
        <f>AF184</f>
        <v/>
      </c>
      <c r="C93" s="27" t="str">
        <f>AI184</f>
        <v/>
      </c>
      <c r="D93" s="27" t="str">
        <f>AL184</f>
        <v/>
      </c>
      <c r="E93" s="27" t="str">
        <f>AO184</f>
        <v/>
      </c>
      <c r="F93" s="27" t="str">
        <f>AR184</f>
        <v/>
      </c>
      <c r="G93" s="27" t="str">
        <f>AU184</f>
        <v/>
      </c>
      <c r="H93" s="27" t="str">
        <f>AX184</f>
        <v/>
      </c>
      <c r="M93" s="8" t="str">
        <f>IF(A92=" "," ",".")</f>
        <v>.</v>
      </c>
      <c r="AI93" s="17"/>
      <c r="AL93" s="17"/>
      <c r="AO93" s="17"/>
      <c r="AR93" s="17"/>
      <c r="AU93" s="17"/>
      <c r="CC93" s="308"/>
      <c r="CD93" s="308"/>
      <c r="CE93" s="308"/>
      <c r="CF93" s="308"/>
      <c r="CG93" s="308"/>
      <c r="CH93" s="308"/>
      <c r="CI93" s="308"/>
      <c r="CJ93" s="308"/>
      <c r="CK93" s="308"/>
      <c r="CL93" s="308"/>
      <c r="CM93" s="308"/>
      <c r="CN93" s="308"/>
      <c r="CO93" s="308"/>
    </row>
    <row r="94" spans="1:93" ht="18" hidden="1" customHeight="1" thickBot="1" x14ac:dyDescent="0.25">
      <c r="A94" s="73"/>
      <c r="B94" s="74"/>
      <c r="C94" s="74"/>
      <c r="D94" s="74"/>
      <c r="E94" s="74"/>
      <c r="F94" s="74"/>
      <c r="G94" s="74"/>
      <c r="H94" s="74"/>
      <c r="M94" s="8" t="str">
        <f>IF(A92=" "," ",".")</f>
        <v>.</v>
      </c>
      <c r="AI94" s="17"/>
      <c r="AL94" s="17"/>
      <c r="AO94" s="17"/>
      <c r="AR94" s="17"/>
      <c r="AU94" s="17"/>
      <c r="CC94" s="308"/>
      <c r="CD94" s="308"/>
      <c r="CE94" s="308"/>
      <c r="CF94" s="308"/>
      <c r="CG94" s="308"/>
      <c r="CH94" s="308"/>
      <c r="CI94" s="308"/>
      <c r="CJ94" s="308"/>
      <c r="CK94" s="308"/>
      <c r="CL94" s="308"/>
      <c r="CM94" s="308"/>
      <c r="CN94" s="308"/>
      <c r="CO94" s="308"/>
    </row>
    <row r="95" spans="1:93" ht="16.5" hidden="1" customHeight="1" x14ac:dyDescent="0.2">
      <c r="A95" s="75"/>
      <c r="B95" s="30">
        <f>IF(OR(Schedule!F37="OT*",Schedule!F37=3,Schedule!F37="3NV",Schedule!F37="OTV",Schedule!F37="OTNV",Schedule!F37="OT",Schedule!F37="3V",Schedule!F37="*OTBT",Schedule!F37="*OTET")," ",Schedule!F37)</f>
        <v>0</v>
      </c>
      <c r="C95" s="30">
        <f>IF(OR(Schedule!G37="OT*",Schedule!G37=3,Schedule!G37="3NV",Schedule!G37="OTV",Schedule!G37="OTNV",Schedule!G37="OT",Schedule!G37="3V",Schedule!G37="*OTBT",Schedule!G37="*OTET")," ",Schedule!G37)</f>
        <v>0</v>
      </c>
      <c r="D95" s="30">
        <f>IF(OR(Schedule!H37="OT*",Schedule!H37=3,Schedule!H37="3NV",Schedule!H37="OTV",Schedule!H37="OTNV",Schedule!H37="OT",Schedule!H37="3V",Schedule!H37="*OTBT",Schedule!H37="*OTET")," ",Schedule!H37)</f>
        <v>0</v>
      </c>
      <c r="E95" s="30">
        <f>IF(OR(Schedule!I37="OT*",Schedule!I37=3,Schedule!I37="3NV",Schedule!I37="OTV",Schedule!I37="OTNV",Schedule!I37="OT",Schedule!I37="3V",Schedule!I37="*OTBT",Schedule!I37="*OTET")," ",Schedule!I37)</f>
        <v>0</v>
      </c>
      <c r="F95" s="30">
        <f>IF(OR(Schedule!J37="OT*",Schedule!J37=3,Schedule!J37="3NV",Schedule!J37="OTV",Schedule!J37="OTNV",Schedule!J37="OT",Schedule!J37="3V",Schedule!J37="*OTBT",Schedule!J37="*OTET")," ",Schedule!J37)</f>
        <v>0</v>
      </c>
      <c r="G95" s="30">
        <f>IF(OR(Schedule!K37="OT*",Schedule!K37=3,Schedule!K37="3NV",Schedule!K37="OTV",Schedule!K37="OTNV",Schedule!K37="OT",Schedule!K37="3V",Schedule!K37="*OTBT",Schedule!K37="*OTET")," ",Schedule!K37)</f>
        <v>0</v>
      </c>
      <c r="H95" s="30">
        <f>IF(OR(Schedule!L37="OT*",Schedule!L37=3,Schedule!L37="3NV",Schedule!L37="OTV",Schedule!L37="OTNV",Schedule!L37="OT",Schedule!L37="3V",Schedule!L37="*OTBT",Schedule!L37="*OTET")," ",Schedule!L37)</f>
        <v>0</v>
      </c>
      <c r="M95" s="8" t="str">
        <f>IF(A96=" "," ",".")</f>
        <v>.</v>
      </c>
      <c r="AI95" s="17"/>
      <c r="AL95" s="17"/>
      <c r="AO95" s="17"/>
      <c r="AR95" s="17"/>
      <c r="AU95" s="17"/>
      <c r="CC95" s="308"/>
      <c r="CD95" s="308"/>
      <c r="CE95" s="308"/>
      <c r="CF95" s="308"/>
      <c r="CG95" s="308"/>
      <c r="CH95" s="308"/>
      <c r="CI95" s="308"/>
      <c r="CJ95" s="308"/>
      <c r="CK95" s="308"/>
      <c r="CL95" s="308"/>
      <c r="CM95" s="308"/>
      <c r="CN95" s="308"/>
      <c r="CO95" s="308"/>
    </row>
    <row r="96" spans="1:93" ht="21.75" hidden="1" customHeight="1" x14ac:dyDescent="0.25">
      <c r="A96" s="77">
        <f>'Master List'!C27</f>
        <v>0</v>
      </c>
      <c r="B96" s="27" t="str">
        <f>AF186</f>
        <v xml:space="preserve"> </v>
      </c>
      <c r="C96" s="27" t="str">
        <f>AI186</f>
        <v xml:space="preserve"> </v>
      </c>
      <c r="D96" s="27" t="str">
        <f>AL186</f>
        <v xml:space="preserve"> </v>
      </c>
      <c r="E96" s="27" t="str">
        <f>AO186</f>
        <v xml:space="preserve"> </v>
      </c>
      <c r="F96" s="27" t="str">
        <f>AR186</f>
        <v xml:space="preserve"> </v>
      </c>
      <c r="G96" s="27" t="str">
        <f>AU186</f>
        <v xml:space="preserve"> </v>
      </c>
      <c r="H96" s="27" t="str">
        <f>AX186</f>
        <v xml:space="preserve"> </v>
      </c>
      <c r="M96" s="8" t="str">
        <f>IF(A96=" "," ",".")</f>
        <v>.</v>
      </c>
      <c r="AI96" s="17"/>
      <c r="AL96" s="17"/>
      <c r="AO96" s="17"/>
      <c r="AR96" s="17"/>
      <c r="AU96" s="17"/>
      <c r="CC96" s="308"/>
      <c r="CD96" s="308"/>
      <c r="CE96" s="308"/>
      <c r="CF96" s="308"/>
      <c r="CG96" s="308"/>
      <c r="CH96" s="308"/>
      <c r="CI96" s="308"/>
      <c r="CJ96" s="308"/>
      <c r="CK96" s="308"/>
      <c r="CL96" s="308"/>
      <c r="CM96" s="308"/>
      <c r="CN96" s="308"/>
      <c r="CO96" s="308"/>
    </row>
    <row r="97" spans="1:93" ht="13.5" hidden="1" customHeight="1" x14ac:dyDescent="0.25">
      <c r="A97" s="77"/>
      <c r="B97" s="27" t="str">
        <f>AF187</f>
        <v/>
      </c>
      <c r="C97" s="27" t="str">
        <f>AI187</f>
        <v/>
      </c>
      <c r="D97" s="27" t="str">
        <f>AL187</f>
        <v/>
      </c>
      <c r="E97" s="27" t="str">
        <f>AO187</f>
        <v/>
      </c>
      <c r="F97" s="27" t="str">
        <f>AR187</f>
        <v/>
      </c>
      <c r="G97" s="27" t="str">
        <f>AU187</f>
        <v/>
      </c>
      <c r="H97" s="27" t="str">
        <f>AX187</f>
        <v/>
      </c>
      <c r="M97" s="8" t="str">
        <f>IF(A96=" "," ",".")</f>
        <v>.</v>
      </c>
      <c r="AI97" s="17"/>
      <c r="AL97" s="17"/>
      <c r="AO97" s="17"/>
      <c r="AR97" s="17"/>
      <c r="AU97" s="17"/>
      <c r="CC97" s="308"/>
      <c r="CD97" s="308"/>
      <c r="CE97" s="308"/>
      <c r="CF97" s="308"/>
      <c r="CG97" s="308"/>
      <c r="CH97" s="308"/>
      <c r="CI97" s="308"/>
      <c r="CJ97" s="308"/>
      <c r="CK97" s="308"/>
      <c r="CL97" s="308"/>
      <c r="CM97" s="308"/>
      <c r="CN97" s="308"/>
      <c r="CO97" s="308"/>
    </row>
    <row r="98" spans="1:93" ht="15" hidden="1" customHeight="1" thickBot="1" x14ac:dyDescent="0.25">
      <c r="A98" s="73"/>
      <c r="B98" s="74"/>
      <c r="C98" s="74"/>
      <c r="D98" s="74"/>
      <c r="E98" s="74"/>
      <c r="F98" s="74"/>
      <c r="G98" s="74"/>
      <c r="H98" s="74"/>
      <c r="M98" s="8" t="str">
        <f>IF(A96=" "," ",".")</f>
        <v>.</v>
      </c>
      <c r="AI98" s="17"/>
      <c r="AL98" s="17"/>
      <c r="AO98" s="17"/>
      <c r="AR98" s="17"/>
      <c r="AU98" s="17"/>
      <c r="CC98" s="308"/>
      <c r="CD98" s="308"/>
      <c r="CE98" s="308"/>
      <c r="CF98" s="308"/>
      <c r="CG98" s="308"/>
      <c r="CH98" s="308"/>
      <c r="CI98" s="308"/>
      <c r="CJ98" s="308"/>
      <c r="CK98" s="308"/>
      <c r="CL98" s="308"/>
      <c r="CM98" s="308"/>
      <c r="CN98" s="308"/>
      <c r="CO98" s="308"/>
    </row>
    <row r="99" spans="1:93" ht="18" hidden="1" customHeight="1" x14ac:dyDescent="0.2">
      <c r="A99" s="75"/>
      <c r="B99" s="30"/>
      <c r="C99" s="30" t="s">
        <v>56</v>
      </c>
      <c r="D99" s="30"/>
      <c r="E99" s="30"/>
      <c r="F99" s="30" t="s">
        <v>56</v>
      </c>
      <c r="G99" s="30" t="s">
        <v>56</v>
      </c>
      <c r="H99" s="30"/>
      <c r="M99" s="8" t="str">
        <f>IF(A100=" "," ",".")</f>
        <v>.</v>
      </c>
      <c r="AI99" s="17"/>
      <c r="AL99" s="17"/>
      <c r="AO99" s="17"/>
      <c r="AR99" s="17"/>
      <c r="AU99" s="17"/>
      <c r="CC99" s="308"/>
      <c r="CD99" s="308"/>
      <c r="CE99" s="308"/>
      <c r="CF99" s="308"/>
      <c r="CG99" s="308"/>
      <c r="CH99" s="308"/>
      <c r="CI99" s="308"/>
      <c r="CJ99" s="308"/>
      <c r="CK99" s="308"/>
      <c r="CL99" s="308"/>
      <c r="CM99" s="308"/>
      <c r="CN99" s="308"/>
      <c r="CO99" s="308"/>
    </row>
    <row r="100" spans="1:93" ht="20.25" hidden="1" customHeight="1" x14ac:dyDescent="0.25">
      <c r="A100" s="77">
        <f>'Master List'!C28</f>
        <v>0</v>
      </c>
      <c r="B100" s="27"/>
      <c r="C100" s="27"/>
      <c r="D100" s="27"/>
      <c r="E100" s="27"/>
      <c r="F100" s="27"/>
      <c r="G100" s="27"/>
      <c r="H100" s="27"/>
      <c r="M100" s="8" t="str">
        <f>IF(A100=" "," ",".")</f>
        <v>.</v>
      </c>
      <c r="AI100" s="17"/>
      <c r="AL100" s="17"/>
      <c r="AO100" s="17"/>
      <c r="AR100" s="17"/>
      <c r="AU100" s="17"/>
      <c r="CC100" s="308"/>
      <c r="CD100" s="308"/>
      <c r="CE100" s="308"/>
      <c r="CF100" s="308"/>
      <c r="CG100" s="308"/>
      <c r="CH100" s="308"/>
      <c r="CI100" s="308"/>
      <c r="CJ100" s="308"/>
      <c r="CK100" s="308"/>
      <c r="CL100" s="308"/>
      <c r="CM100" s="308"/>
      <c r="CN100" s="308"/>
      <c r="CO100" s="308"/>
    </row>
    <row r="101" spans="1:93" ht="20.25" hidden="1" customHeight="1" x14ac:dyDescent="0.25">
      <c r="A101" s="77"/>
      <c r="B101" s="27"/>
      <c r="C101" s="27"/>
      <c r="D101" s="27"/>
      <c r="E101" s="27"/>
      <c r="F101" s="27"/>
      <c r="G101" s="27"/>
      <c r="H101" s="27"/>
      <c r="M101" s="8" t="str">
        <f>IF(A100=" "," ",".")</f>
        <v>.</v>
      </c>
      <c r="AI101" s="17"/>
      <c r="AL101" s="17"/>
      <c r="AO101" s="17"/>
      <c r="AR101" s="17"/>
      <c r="AU101" s="17"/>
      <c r="CC101" s="308"/>
      <c r="CD101" s="308"/>
      <c r="CE101" s="308"/>
      <c r="CF101" s="308"/>
      <c r="CG101" s="308"/>
      <c r="CH101" s="308"/>
      <c r="CI101" s="308"/>
      <c r="CJ101" s="308"/>
      <c r="CK101" s="308"/>
      <c r="CL101" s="308"/>
      <c r="CM101" s="308"/>
      <c r="CN101" s="308"/>
      <c r="CO101" s="308"/>
    </row>
    <row r="102" spans="1:93" ht="19.5" hidden="1" customHeight="1" thickBot="1" x14ac:dyDescent="0.25">
      <c r="A102" s="73"/>
      <c r="B102" s="74"/>
      <c r="C102" s="74"/>
      <c r="D102" s="74"/>
      <c r="E102" s="74"/>
      <c r="F102" s="74"/>
      <c r="G102" s="74"/>
      <c r="H102" s="74"/>
      <c r="M102" s="8" t="str">
        <f>IF(A100=" "," ",".")</f>
        <v>.</v>
      </c>
      <c r="AI102" s="17"/>
      <c r="AL102" s="17"/>
      <c r="AO102" s="17"/>
      <c r="AR102" s="17"/>
      <c r="AU102" s="17"/>
      <c r="CC102" s="308"/>
      <c r="CD102" s="308"/>
      <c r="CE102" s="308"/>
      <c r="CF102" s="308"/>
      <c r="CG102" s="308"/>
      <c r="CH102" s="308"/>
      <c r="CI102" s="308"/>
      <c r="CJ102" s="308"/>
      <c r="CK102" s="308"/>
      <c r="CL102" s="308"/>
      <c r="CM102" s="308"/>
      <c r="CN102" s="308"/>
      <c r="CO102" s="308"/>
    </row>
    <row r="103" spans="1:93" ht="18" hidden="1" customHeight="1" x14ac:dyDescent="0.2">
      <c r="A103" s="75"/>
      <c r="B103" s="30">
        <f>IF(OR(Schedule!F40="OT*",Schedule!F40=3,Schedule!F40="3NV",Schedule!F40="OTV",Schedule!F40="OTNV",Schedule!F40="OT",Schedule!F40="3V",Schedule!F40="*OTBT",Schedule!F40="*OTET")," ",Schedule!F40)</f>
        <v>0</v>
      </c>
      <c r="C103" s="30">
        <f>IF(OR(Schedule!G40="OT*",Schedule!G40=3,Schedule!G40="3NV",Schedule!G40="OTV",Schedule!G40="OTNV",Schedule!G40="OT",Schedule!G40="3V",Schedule!G40="*OTBT",Schedule!G40="*OTET")," ",Schedule!G40)</f>
        <v>0</v>
      </c>
      <c r="D103" s="30">
        <f>IF(OR(Schedule!H40="OT*",Schedule!H40=3,Schedule!H40="3NV",Schedule!H40="OTV",Schedule!H40="OTNV",Schedule!H40="OT",Schedule!H40="3V",Schedule!H40="*OTBT",Schedule!H40="*OTET")," ",Schedule!H40)</f>
        <v>0</v>
      </c>
      <c r="E103" s="30">
        <f>IF(OR(Schedule!I40="OT*",Schedule!I40=3,Schedule!I40="3NV",Schedule!I40="OTV",Schedule!I40="OTNV",Schedule!I40="OT",Schedule!I40="3V",Schedule!I40="*OTBT",Schedule!I40="*OTET")," ",Schedule!I40)</f>
        <v>0</v>
      </c>
      <c r="F103" s="30">
        <f>IF(OR(Schedule!J40="OT*",Schedule!J40=3,Schedule!J40="3NV",Schedule!J40="OTV",Schedule!J40="OTNV",Schedule!J40="OT",Schedule!J40="3V",Schedule!J40="*OTBT",Schedule!J40="*OTET")," ",Schedule!J40)</f>
        <v>0</v>
      </c>
      <c r="G103" s="30">
        <f>IF(OR(Schedule!K40="OT*",Schedule!K40=3,Schedule!K40="3NV",Schedule!K40="OTV",Schedule!K40="OTNV",Schedule!K40="OT",Schedule!K40="3V",Schedule!K40="*OTBT",Schedule!K40="*OTET")," ",Schedule!K40)</f>
        <v>0</v>
      </c>
      <c r="H103" s="30">
        <f>IF(OR(Schedule!L40="OT*",Schedule!L40=3,Schedule!L40="3NV",Schedule!L40="OTV",Schedule!L40="OTNV",Schedule!L40="OT",Schedule!L40="3V",Schedule!L40="*OTBT",Schedule!L40="*OTET")," ",Schedule!L40)</f>
        <v>0</v>
      </c>
      <c r="M103" s="8" t="str">
        <f>IF(A104=" "," ",".")</f>
        <v>.</v>
      </c>
      <c r="AI103" s="17"/>
      <c r="AL103" s="17"/>
      <c r="AO103" s="17"/>
      <c r="AR103" s="17"/>
      <c r="AU103" s="17"/>
      <c r="CC103" s="308"/>
      <c r="CD103" s="308"/>
      <c r="CE103" s="308"/>
      <c r="CF103" s="308"/>
      <c r="CG103" s="308"/>
      <c r="CH103" s="308"/>
      <c r="CI103" s="308"/>
      <c r="CJ103" s="308"/>
      <c r="CK103" s="308"/>
      <c r="CL103" s="308"/>
      <c r="CM103" s="308"/>
      <c r="CN103" s="308"/>
      <c r="CO103" s="308"/>
    </row>
    <row r="104" spans="1:93" ht="18" hidden="1" customHeight="1" x14ac:dyDescent="0.35">
      <c r="A104" s="77">
        <f>'Master List'!C30</f>
        <v>0</v>
      </c>
      <c r="B104" s="27" t="str">
        <f>AF195</f>
        <v>DBCS</v>
      </c>
      <c r="C104" s="27" t="str">
        <f>AI195</f>
        <v xml:space="preserve"> </v>
      </c>
      <c r="D104" s="27" t="str">
        <f>AL195</f>
        <v xml:space="preserve"> </v>
      </c>
      <c r="E104" s="27" t="str">
        <f>AO195</f>
        <v xml:space="preserve"> </v>
      </c>
      <c r="F104" s="27" t="str">
        <f>AR195</f>
        <v xml:space="preserve"> </v>
      </c>
      <c r="G104" s="27" t="str">
        <f>AU195</f>
        <v xml:space="preserve"> </v>
      </c>
      <c r="H104" s="27" t="str">
        <f>AX195</f>
        <v xml:space="preserve"> </v>
      </c>
      <c r="M104" s="8" t="str">
        <f>IF(A104=" "," ",".")</f>
        <v>.</v>
      </c>
      <c r="AF104" s="326"/>
      <c r="AG104" s="326"/>
      <c r="AH104" s="326"/>
      <c r="AI104" s="326"/>
      <c r="AJ104" s="326"/>
      <c r="AK104" s="326"/>
      <c r="AL104" s="326"/>
      <c r="AM104" s="326"/>
      <c r="AN104" s="326"/>
      <c r="AO104" s="326"/>
      <c r="AP104" s="326"/>
      <c r="AQ104" s="326"/>
      <c r="AR104" s="326"/>
      <c r="AS104" s="326"/>
      <c r="AT104" s="326"/>
      <c r="AU104" s="664" t="s">
        <v>317</v>
      </c>
      <c r="AX104" s="326"/>
      <c r="AY104" s="326"/>
      <c r="AZ104" s="326"/>
      <c r="BA104" s="326"/>
      <c r="BB104" s="326"/>
      <c r="CC104" s="308"/>
      <c r="CD104" s="308"/>
      <c r="CE104" s="308"/>
      <c r="CF104" s="308"/>
      <c r="CG104" s="308"/>
      <c r="CH104" s="308"/>
      <c r="CI104" s="308"/>
      <c r="CJ104" s="308"/>
      <c r="CK104" s="308"/>
      <c r="CL104" s="308"/>
      <c r="CM104" s="308"/>
      <c r="CN104" s="308"/>
      <c r="CO104" s="308"/>
    </row>
    <row r="105" spans="1:93" ht="17.25" hidden="1" customHeight="1" x14ac:dyDescent="0.25">
      <c r="A105" s="77"/>
      <c r="B105" s="27" t="str">
        <f>AF196</f>
        <v>ECBM ROUTES</v>
      </c>
      <c r="C105" s="27" t="str">
        <f>AI196</f>
        <v/>
      </c>
      <c r="D105" s="27" t="str">
        <f>AL196</f>
        <v/>
      </c>
      <c r="E105" s="27" t="str">
        <f>AO196</f>
        <v/>
      </c>
      <c r="F105" s="27" t="str">
        <f>AR196</f>
        <v/>
      </c>
      <c r="G105" s="27" t="str">
        <f>AU196</f>
        <v/>
      </c>
      <c r="H105" s="27" t="str">
        <f>AX196</f>
        <v/>
      </c>
      <c r="M105" s="8" t="str">
        <f>IF(A104=" "," ",".")</f>
        <v>.</v>
      </c>
      <c r="AG105" s="311"/>
      <c r="AH105" s="311"/>
      <c r="AI105" s="311"/>
      <c r="AJ105" s="311"/>
      <c r="AL105" s="17"/>
      <c r="AN105" s="315"/>
      <c r="AO105" s="17"/>
      <c r="AR105" s="17"/>
      <c r="AU105" s="17"/>
      <c r="CC105" s="308"/>
      <c r="CD105" s="308"/>
      <c r="CE105" s="308"/>
      <c r="CF105" s="308"/>
      <c r="CG105" s="308"/>
      <c r="CH105" s="308"/>
      <c r="CI105" s="308"/>
      <c r="CJ105" s="308"/>
      <c r="CK105" s="308"/>
      <c r="CL105" s="308"/>
      <c r="CM105" s="308"/>
      <c r="CN105" s="308"/>
      <c r="CO105" s="308"/>
    </row>
    <row r="106" spans="1:93" ht="17.25" hidden="1" customHeight="1" thickBot="1" x14ac:dyDescent="0.25">
      <c r="A106" s="73"/>
      <c r="B106" s="74"/>
      <c r="C106" s="74"/>
      <c r="D106" s="74"/>
      <c r="E106" s="74"/>
      <c r="F106" s="74"/>
      <c r="G106" s="74"/>
      <c r="H106" s="74"/>
      <c r="M106" s="8" t="str">
        <f>IF(A104=" "," ",".")</f>
        <v>.</v>
      </c>
      <c r="AI106" s="17"/>
      <c r="AL106" s="17"/>
      <c r="AO106" s="17"/>
      <c r="AR106" s="17"/>
      <c r="AU106" s="17"/>
    </row>
    <row r="107" spans="1:93" ht="15" customHeight="1" x14ac:dyDescent="0.2">
      <c r="M107" s="782" t="s">
        <v>333</v>
      </c>
      <c r="AI107" s="17"/>
      <c r="AL107" s="17"/>
      <c r="AO107" s="17"/>
      <c r="AR107" s="17"/>
      <c r="AU107" s="17"/>
    </row>
    <row r="108" spans="1:93" ht="15" customHeight="1" x14ac:dyDescent="0.2">
      <c r="M108" s="782" t="s">
        <v>333</v>
      </c>
      <c r="AI108" s="17"/>
      <c r="AL108" s="17"/>
      <c r="AO108" s="17"/>
      <c r="AR108" s="17"/>
      <c r="AU108" s="17"/>
    </row>
    <row r="109" spans="1:93" ht="16.5" customHeight="1" x14ac:dyDescent="0.3">
      <c r="B109" s="173">
        <f>Schedule!F13</f>
        <v>14</v>
      </c>
      <c r="C109" s="173">
        <f>Schedule!G13</f>
        <v>14</v>
      </c>
      <c r="D109" s="173">
        <f>Schedule!H13</f>
        <v>14</v>
      </c>
      <c r="E109" s="173">
        <f>Schedule!I13</f>
        <v>12</v>
      </c>
      <c r="F109" s="173">
        <f>Schedule!J13</f>
        <v>13</v>
      </c>
      <c r="G109" s="173">
        <f>Schedule!K13</f>
        <v>13</v>
      </c>
      <c r="H109" s="173">
        <f>Schedule!L13</f>
        <v>13</v>
      </c>
      <c r="M109" s="782" t="s">
        <v>333</v>
      </c>
      <c r="AE109" s="663"/>
      <c r="AI109" s="17"/>
      <c r="AL109" s="17"/>
      <c r="AO109" s="17"/>
      <c r="AR109" s="17"/>
      <c r="AU109" s="17"/>
    </row>
    <row r="110" spans="1:93" ht="15" customHeight="1" x14ac:dyDescent="0.2">
      <c r="B110" s="609"/>
      <c r="C110" s="421"/>
      <c r="M110" s="782" t="s">
        <v>333</v>
      </c>
      <c r="U110" s="309"/>
      <c r="AI110" s="17"/>
      <c r="AL110" s="17"/>
      <c r="AO110" s="17"/>
      <c r="AR110" s="17"/>
      <c r="AU110" s="17"/>
    </row>
    <row r="111" spans="1:93" ht="15" customHeight="1" x14ac:dyDescent="0.2">
      <c r="M111" s="782" t="s">
        <v>333</v>
      </c>
      <c r="AI111" s="17"/>
      <c r="AL111" s="17"/>
      <c r="AO111" s="17"/>
      <c r="AR111" s="17"/>
      <c r="AU111" s="17"/>
    </row>
    <row r="112" spans="1:93" ht="15" customHeight="1" x14ac:dyDescent="0.2">
      <c r="M112" s="782" t="s">
        <v>333</v>
      </c>
      <c r="AI112" s="17"/>
      <c r="AL112" s="17"/>
      <c r="AO112" s="17"/>
      <c r="AR112" s="17"/>
      <c r="AU112" s="17"/>
    </row>
    <row r="113" spans="13:65" ht="15" customHeight="1" x14ac:dyDescent="0.2">
      <c r="M113" s="782" t="s">
        <v>333</v>
      </c>
      <c r="AE113" s="311"/>
      <c r="AF113" s="384" t="s">
        <v>152</v>
      </c>
      <c r="AG113" s="384"/>
      <c r="AH113" s="385"/>
      <c r="AI113" s="384" t="s">
        <v>153</v>
      </c>
      <c r="AJ113" s="384"/>
      <c r="AK113" s="385"/>
      <c r="AL113" s="384" t="s">
        <v>154</v>
      </c>
      <c r="AM113" s="431"/>
      <c r="AN113" s="385"/>
      <c r="AO113" s="384" t="s">
        <v>155</v>
      </c>
      <c r="AP113" s="441"/>
      <c r="AQ113" s="385"/>
      <c r="AR113" s="386" t="s">
        <v>156</v>
      </c>
      <c r="AS113" s="428"/>
      <c r="AT113" s="385"/>
      <c r="AU113" s="384" t="s">
        <v>157</v>
      </c>
      <c r="AV113" s="431"/>
      <c r="AW113" s="384"/>
      <c r="AX113" s="384" t="s">
        <v>158</v>
      </c>
      <c r="AY113" s="431"/>
      <c r="AZ113" s="385"/>
      <c r="BA113" s="310"/>
      <c r="BB113" s="310"/>
      <c r="BC113" s="310"/>
      <c r="BD113" s="310"/>
      <c r="BE113" s="310"/>
      <c r="BF113" s="310"/>
      <c r="BG113" s="310"/>
      <c r="BH113" s="310"/>
      <c r="BI113" s="310"/>
      <c r="BJ113" s="310"/>
      <c r="BK113" s="310"/>
      <c r="BL113" s="310"/>
      <c r="BM113" s="310"/>
    </row>
    <row r="114" spans="13:65" ht="15" customHeight="1" x14ac:dyDescent="0.2">
      <c r="M114" s="782" t="s">
        <v>333</v>
      </c>
      <c r="AF114" s="307"/>
      <c r="AG114" s="307" t="s">
        <v>159</v>
      </c>
      <c r="AH114" s="307" t="s">
        <v>160</v>
      </c>
      <c r="AI114" s="308"/>
      <c r="AJ114" s="307" t="s">
        <v>159</v>
      </c>
      <c r="AK114" s="307" t="s">
        <v>160</v>
      </c>
      <c r="AL114" s="308"/>
      <c r="AM114" s="432" t="s">
        <v>159</v>
      </c>
      <c r="AN114" s="307" t="s">
        <v>160</v>
      </c>
      <c r="AO114" s="147"/>
      <c r="AP114" s="442" t="s">
        <v>159</v>
      </c>
      <c r="AQ114" s="307" t="s">
        <v>160</v>
      </c>
      <c r="AR114" s="171"/>
      <c r="AS114" s="432" t="s">
        <v>159</v>
      </c>
      <c r="AT114" s="307" t="s">
        <v>160</v>
      </c>
      <c r="AU114" s="308"/>
      <c r="AV114" s="432" t="s">
        <v>159</v>
      </c>
      <c r="AW114" s="307" t="s">
        <v>160</v>
      </c>
      <c r="AX114" s="308"/>
      <c r="AY114" s="432" t="s">
        <v>159</v>
      </c>
      <c r="AZ114" s="307" t="s">
        <v>160</v>
      </c>
      <c r="BA114" s="310"/>
      <c r="BB114" s="310"/>
      <c r="BC114" s="310"/>
      <c r="BD114" s="310"/>
      <c r="BE114" s="310"/>
      <c r="BF114" s="310"/>
      <c r="BG114" s="310"/>
      <c r="BH114" s="310"/>
      <c r="BI114" s="310"/>
      <c r="BJ114" s="310"/>
      <c r="BK114" s="310"/>
      <c r="BL114" s="310"/>
      <c r="BM114" s="310"/>
    </row>
    <row r="115" spans="13:65" ht="15" customHeight="1" x14ac:dyDescent="0.2">
      <c r="M115" s="782" t="s">
        <v>333</v>
      </c>
      <c r="AI115" s="17"/>
      <c r="AL115" s="17"/>
      <c r="AM115" s="430"/>
      <c r="AO115" s="17"/>
      <c r="AP115" s="440"/>
      <c r="AR115" s="17"/>
      <c r="AS115" s="430"/>
      <c r="AU115" s="17"/>
      <c r="AV115" s="430">
        <v>2</v>
      </c>
      <c r="AY115" s="430"/>
      <c r="BA115" s="310"/>
      <c r="BB115" s="310"/>
      <c r="BC115" s="310"/>
      <c r="BD115" s="310"/>
      <c r="BE115" s="310"/>
      <c r="BF115" s="310"/>
      <c r="BG115" s="310"/>
      <c r="BH115" s="310"/>
      <c r="BI115" s="310"/>
      <c r="BJ115" s="310"/>
      <c r="BK115" s="310"/>
      <c r="BL115" s="310"/>
      <c r="BM115" s="310"/>
    </row>
    <row r="116" spans="13:65" ht="18.75" customHeight="1" x14ac:dyDescent="0.2">
      <c r="M116" s="781" t="str">
        <f>IF(AE117=" "," ",".")</f>
        <v>.</v>
      </c>
      <c r="AE116" s="313"/>
      <c r="AF116" s="487" t="str">
        <f>B3</f>
        <v xml:space="preserve"> </v>
      </c>
      <c r="AG116" s="336">
        <v>4</v>
      </c>
      <c r="AH116" s="337">
        <v>27</v>
      </c>
      <c r="AI116" s="318" t="str">
        <f>C3</f>
        <v xml:space="preserve"> </v>
      </c>
      <c r="AJ116" s="336">
        <v>4</v>
      </c>
      <c r="AK116" s="337">
        <v>27</v>
      </c>
      <c r="AL116" s="318" t="str">
        <f>D3</f>
        <v xml:space="preserve"> </v>
      </c>
      <c r="AM116" s="389">
        <v>4</v>
      </c>
      <c r="AN116" s="337">
        <v>27</v>
      </c>
      <c r="AO116" s="318" t="str">
        <f>E3</f>
        <v>NS</v>
      </c>
      <c r="AP116" s="443">
        <v>4</v>
      </c>
      <c r="AQ116" s="337">
        <v>27</v>
      </c>
      <c r="AR116" s="318" t="str">
        <f>F3</f>
        <v xml:space="preserve"> </v>
      </c>
      <c r="AS116" s="389">
        <v>4</v>
      </c>
      <c r="AT116" s="337">
        <v>13</v>
      </c>
      <c r="AU116" s="318" t="str">
        <f>G3</f>
        <v xml:space="preserve"> </v>
      </c>
      <c r="AV116" s="389">
        <v>4</v>
      </c>
      <c r="AW116" s="337">
        <v>12</v>
      </c>
      <c r="AX116" s="318" t="str">
        <f>H3</f>
        <v xml:space="preserve"> </v>
      </c>
      <c r="AY116" s="389">
        <v>4</v>
      </c>
      <c r="AZ116" s="337">
        <v>12</v>
      </c>
      <c r="BA116" s="310"/>
      <c r="BB116" s="310"/>
      <c r="BC116" s="310"/>
      <c r="BD116" s="310"/>
      <c r="BE116" s="310"/>
      <c r="BF116" s="310"/>
      <c r="BG116" s="310"/>
    </row>
    <row r="117" spans="13:65" ht="18.75" customHeight="1" x14ac:dyDescent="0.2">
      <c r="M117" s="781" t="str">
        <f t="shared" ref="M117:M123" si="1">IF(AE117=" "," ",".")</f>
        <v>.</v>
      </c>
      <c r="AE117" s="480" t="str">
        <f>'Master List'!C4</f>
        <v>V. VARKEY</v>
      </c>
      <c r="AF117" s="484" t="str">
        <f>IF(OR(AF116&gt;" ",INDEX($V$121:$V$141,AG116)=0)," ",INDEX($V$121:$V$141,AG116))</f>
        <v>DBCS</v>
      </c>
      <c r="AG117" s="688"/>
      <c r="AH117" s="486"/>
      <c r="AI117" s="484" t="str">
        <f>IF(OR(AI116&gt;" ",INDEX($V$121:$V$141,AJ116)=0)," ",INDEX($V$121:$V$141,AJ116))</f>
        <v>DBCS</v>
      </c>
      <c r="AJ117" s="690"/>
      <c r="AK117" s="486"/>
      <c r="AL117" s="484" t="str">
        <f>IF(OR(AL116&gt;" ",INDEX($V$121:$V$141,AM116)=0)," ",INDEX($V$121:$V$141,AM116))</f>
        <v>DBCS</v>
      </c>
      <c r="AM117" s="485"/>
      <c r="AN117" s="486"/>
      <c r="AO117" s="484" t="str">
        <f>IF(OR(AO116&gt;" ",INDEX($V$121:$V$141,AP116)=0)," ",INDEX($V$121:$V$141,AP116))</f>
        <v xml:space="preserve"> </v>
      </c>
      <c r="AP117" s="485"/>
      <c r="AQ117" s="486"/>
      <c r="AR117" s="484" t="str">
        <f>IF(OR(AR116&gt;" ",INDEX($V$121:$V$141,AS116)=0)," ",INDEX($V$121:$V$141,AS116))</f>
        <v>DBCS</v>
      </c>
      <c r="AS117" s="485"/>
      <c r="AT117" s="486"/>
      <c r="AU117" s="484" t="str">
        <f>IF(OR(AU116&gt;" ",INDEX($V$121:$V$141,AV116)=0)," ",INDEX($V$121:$V$141,AV116))</f>
        <v>DBCS</v>
      </c>
      <c r="AV117" s="688"/>
      <c r="AW117" s="486"/>
      <c r="AX117" s="484" t="str">
        <f>IF(OR(AX116&gt;" ",INDEX($V$121:$V$141,AY116)=0)," ",INDEX($V$121:$V$141,AY116))</f>
        <v>DBCS</v>
      </c>
      <c r="AY117" s="485"/>
      <c r="AZ117" s="486"/>
      <c r="BA117" s="310"/>
      <c r="BB117" s="310"/>
      <c r="BC117" s="310"/>
      <c r="BD117" s="310"/>
      <c r="BE117" s="310"/>
      <c r="BF117" s="310"/>
      <c r="BG117" s="310"/>
    </row>
    <row r="118" spans="13:65" ht="21.75" customHeight="1" x14ac:dyDescent="0.25">
      <c r="M118" s="781" t="str">
        <f>IF(AE117=" "," ",".")</f>
        <v>.</v>
      </c>
      <c r="U118" s="323"/>
      <c r="V118" s="335" t="s">
        <v>159</v>
      </c>
      <c r="W118" s="324"/>
      <c r="X118" s="311"/>
      <c r="Y118" s="333"/>
      <c r="Z118" s="335" t="s">
        <v>161</v>
      </c>
      <c r="AA118" s="334"/>
      <c r="AB118" s="320"/>
      <c r="AE118" s="481"/>
      <c r="AF118" s="576" t="str">
        <f>IF(AF117=" ","",INDEX($Z$121:$Z$165,AH116))</f>
        <v>ECBM ROUTES</v>
      </c>
      <c r="AG118" s="617"/>
      <c r="AH118" s="618"/>
      <c r="AI118" s="576" t="str">
        <f>IF(AI117=" ","",INDEX($Z$121:$Z$165,AK116))</f>
        <v>ECBM ROUTES</v>
      </c>
      <c r="AJ118" s="617"/>
      <c r="AK118" s="618"/>
      <c r="AL118" s="653" t="str">
        <f>IF(AL117=" ","",INDEX($Z$121:$Z$165,AN116))</f>
        <v>ECBM ROUTES</v>
      </c>
      <c r="AM118" s="617"/>
      <c r="AN118" s="618"/>
      <c r="AO118" s="854" t="str">
        <f>IF(AO117=" ","",INDEX($Z$121:$Z$165,AQ116))</f>
        <v/>
      </c>
      <c r="AP118" s="855"/>
      <c r="AQ118" s="856"/>
      <c r="AR118" s="576" t="str">
        <f>IF(AR117=" ","",INDEX($Z$121:$Z$165,AT116))</f>
        <v>SORT PLAN/GAP</v>
      </c>
      <c r="AS118" s="617"/>
      <c r="AT118" s="618"/>
      <c r="AU118" s="576" t="str">
        <f>IF(AU117=" ","",INDEX($Z$121:$Z$165,AW116))</f>
        <v>DB6/Test Deck</v>
      </c>
      <c r="AV118" s="617"/>
      <c r="AW118" s="618"/>
      <c r="AX118" s="576" t="str">
        <f>IF(AX117=" ","",INDEX($Z$121:$Z$165,AZ116))</f>
        <v>DB6/Test Deck</v>
      </c>
      <c r="AY118" s="617"/>
      <c r="AZ118" s="618"/>
      <c r="BA118" s="310"/>
      <c r="BB118" s="310"/>
      <c r="BC118" s="310"/>
      <c r="BD118" s="310"/>
      <c r="BE118" s="310"/>
      <c r="BF118" s="310"/>
      <c r="BG118" s="310"/>
    </row>
    <row r="119" spans="13:65" ht="21" customHeight="1" x14ac:dyDescent="0.2">
      <c r="M119" s="781" t="str">
        <f>IF(AE120=" "," ",".")</f>
        <v>.</v>
      </c>
      <c r="U119" s="325"/>
      <c r="V119" s="326"/>
      <c r="W119" s="327"/>
      <c r="Y119" s="325"/>
      <c r="Z119" s="326"/>
      <c r="AA119" s="326"/>
      <c r="AB119" s="327"/>
      <c r="AE119" s="482"/>
      <c r="AF119" s="487" t="str">
        <f>B7</f>
        <v>NS</v>
      </c>
      <c r="AG119" s="488">
        <v>3</v>
      </c>
      <c r="AH119" s="489">
        <v>11</v>
      </c>
      <c r="AI119" s="487" t="str">
        <f>C7</f>
        <v>NS</v>
      </c>
      <c r="AJ119" s="488">
        <v>9</v>
      </c>
      <c r="AK119" s="489">
        <v>45</v>
      </c>
      <c r="AL119" s="487" t="str">
        <f>D7</f>
        <v xml:space="preserve"> </v>
      </c>
      <c r="AM119" s="488">
        <v>3</v>
      </c>
      <c r="AN119" s="489">
        <v>11</v>
      </c>
      <c r="AO119" s="487" t="str">
        <f>E7</f>
        <v xml:space="preserve"> </v>
      </c>
      <c r="AP119" s="488">
        <v>3</v>
      </c>
      <c r="AQ119" s="489">
        <v>11</v>
      </c>
      <c r="AR119" s="487" t="str">
        <f>F7</f>
        <v xml:space="preserve"> </v>
      </c>
      <c r="AS119" s="488">
        <v>3</v>
      </c>
      <c r="AT119" s="489">
        <v>11</v>
      </c>
      <c r="AU119" s="487" t="str">
        <f>G7</f>
        <v xml:space="preserve"> </v>
      </c>
      <c r="AV119" s="488">
        <v>3</v>
      </c>
      <c r="AW119" s="489">
        <v>11</v>
      </c>
      <c r="AX119" s="487" t="str">
        <f>H7</f>
        <v xml:space="preserve"> </v>
      </c>
      <c r="AY119" s="488">
        <v>3</v>
      </c>
      <c r="AZ119" s="489">
        <v>11</v>
      </c>
      <c r="BA119" s="310"/>
      <c r="BB119" s="310"/>
      <c r="BC119" s="310"/>
      <c r="BD119" s="310"/>
      <c r="BE119" s="310"/>
      <c r="BF119" s="310"/>
      <c r="BG119" s="310"/>
    </row>
    <row r="120" spans="13:65" ht="18" customHeight="1" x14ac:dyDescent="0.2">
      <c r="M120" s="781" t="str">
        <f t="shared" si="1"/>
        <v>.</v>
      </c>
      <c r="U120" s="325"/>
      <c r="V120" s="326"/>
      <c r="W120" s="327"/>
      <c r="Y120" s="325"/>
      <c r="Z120" s="326"/>
      <c r="AA120" s="326"/>
      <c r="AB120" s="327"/>
      <c r="AE120" s="483" t="str">
        <f>'Master List'!C5</f>
        <v>L. TURNER</v>
      </c>
      <c r="AF120" s="484" t="str">
        <f>IF(OR(AF119&gt;" ",INDEX($V$121:$V$141,AG119)=0)," ",INDEX($V$121:$V$141,AG119))</f>
        <v xml:space="preserve"> </v>
      </c>
      <c r="AG120" s="811"/>
      <c r="AH120" s="486"/>
      <c r="AI120" s="484" t="str">
        <f>IF(OR(AI119&gt;" ",INDEX($V$121:$V$141,AJ119)=0)," ",INDEX($V$121:$V$141,AJ119))</f>
        <v xml:space="preserve"> </v>
      </c>
      <c r="AJ120" s="485"/>
      <c r="AK120" s="486"/>
      <c r="AL120" s="484" t="str">
        <f>IF(OR(AL119&gt;" ",INDEX($V$121:$V$141,AM119)=0)," ",INDEX($V$121:$V$141,AM119))</f>
        <v>AFCS</v>
      </c>
      <c r="AM120" s="811"/>
      <c r="AN120" s="486"/>
      <c r="AO120" s="484" t="str">
        <f>IF(OR(AO119&gt;" ",INDEX($V$121:$V$141,AP119)=0)," ",INDEX($V$121:$V$141,AP119))</f>
        <v>AFCS</v>
      </c>
      <c r="AP120" s="811"/>
      <c r="AQ120" s="486"/>
      <c r="AR120" s="484" t="str">
        <f>IF(OR(AR119&gt;" ",INDEX($V$121:$V$141,AS119)=0)," ",INDEX($V$121:$V$141,AS119))</f>
        <v>AFCS</v>
      </c>
      <c r="AS120" s="811"/>
      <c r="AT120" s="486"/>
      <c r="AU120" s="484" t="str">
        <f>IF(OR(AU119&gt;" ",INDEX($V$121:$V$141,AV119)=0)," ",INDEX($V$121:$V$141,AV119))</f>
        <v>AFCS</v>
      </c>
      <c r="AV120" s="811"/>
      <c r="AW120" s="486"/>
      <c r="AX120" s="484" t="str">
        <f>IF(OR(AX119&gt;" ",INDEX($V$121:$V$141,AY119)=0)," ",INDEX($V$121:$V$141,AY119))</f>
        <v>AFCS</v>
      </c>
      <c r="AY120" s="811"/>
      <c r="AZ120" s="486"/>
      <c r="BA120" s="310"/>
      <c r="BB120" s="310"/>
      <c r="BC120" s="310"/>
      <c r="BD120" s="310"/>
      <c r="BE120" s="310"/>
      <c r="BF120" s="310"/>
      <c r="BG120" s="310"/>
    </row>
    <row r="121" spans="13:65" ht="19.5" customHeight="1" x14ac:dyDescent="0.2">
      <c r="M121" s="781" t="str">
        <f>IF(AE120=" "," ",".")</f>
        <v>.</v>
      </c>
      <c r="U121" s="328">
        <v>1</v>
      </c>
      <c r="V121" s="445" t="s">
        <v>130</v>
      </c>
      <c r="W121" s="327"/>
      <c r="Y121" s="328">
        <v>1</v>
      </c>
      <c r="Z121" s="492" t="s">
        <v>142</v>
      </c>
      <c r="AA121" s="348"/>
      <c r="AB121" s="327"/>
      <c r="AE121" s="481"/>
      <c r="AF121" s="576" t="str">
        <f>IF(AF120=" ","",INDEX($Z$121:$Z$165,AH119))</f>
        <v/>
      </c>
      <c r="AG121" s="617"/>
      <c r="AH121" s="618"/>
      <c r="AI121" s="647" t="str">
        <f>IF(AI120=" ","",INDEX($Z$121:$Z$165,AK119))</f>
        <v/>
      </c>
      <c r="AJ121" s="617"/>
      <c r="AK121" s="618"/>
      <c r="AL121" s="647" t="str">
        <f>IF(AL120=" ","",INDEX($Z$121:$Z$165,AN119))</f>
        <v>CARS/PARS/IPSS</v>
      </c>
      <c r="AM121" s="617"/>
      <c r="AN121" s="618"/>
      <c r="AO121" s="647" t="str">
        <f>IF(AO120=" ","",INDEX($Z$121:$Z$165,AQ119))</f>
        <v>CARS/PARS/IPSS</v>
      </c>
      <c r="AP121" s="617"/>
      <c r="AQ121" s="618"/>
      <c r="AR121" s="647" t="str">
        <f>IF(AR120=" ","",INDEX($Z$121:$Z$165,AT119))</f>
        <v>CARS/PARS/IPSS</v>
      </c>
      <c r="AS121" s="617"/>
      <c r="AT121" s="618"/>
      <c r="AU121" s="647" t="str">
        <f>IF(AU120=" ","",INDEX($Z$121:$Z$165,AW119))</f>
        <v>CARS/PARS/IPSS</v>
      </c>
      <c r="AV121" s="617"/>
      <c r="AW121" s="618"/>
      <c r="AX121" s="576" t="str">
        <f>IF(AX120=" ","",INDEX($Z$121:$Z$165,AZ119))</f>
        <v>CARS/PARS/IPSS</v>
      </c>
      <c r="AY121" s="617"/>
      <c r="AZ121" s="618"/>
      <c r="BA121" s="310"/>
      <c r="BB121" s="310"/>
      <c r="BC121" s="310"/>
      <c r="BD121" s="310"/>
      <c r="BE121" s="310"/>
      <c r="BF121" s="310"/>
      <c r="BG121" s="310"/>
    </row>
    <row r="122" spans="13:65" ht="15.75" x14ac:dyDescent="0.2">
      <c r="M122" s="781" t="str">
        <f>IF(AE123=" "," ",".")</f>
        <v>.</v>
      </c>
      <c r="U122" s="328">
        <v>2</v>
      </c>
      <c r="V122" s="610" t="s">
        <v>231</v>
      </c>
      <c r="W122" s="327"/>
      <c r="Y122" s="328">
        <v>2</v>
      </c>
      <c r="Z122" s="493" t="s">
        <v>217</v>
      </c>
      <c r="AA122" s="348"/>
      <c r="AB122" s="327"/>
      <c r="AE122" s="482"/>
      <c r="AF122" s="487">
        <f>B11</f>
        <v>0</v>
      </c>
      <c r="AG122" s="488">
        <v>4</v>
      </c>
      <c r="AH122" s="489">
        <v>12</v>
      </c>
      <c r="AI122" s="487" t="str">
        <f>C11</f>
        <v>*</v>
      </c>
      <c r="AJ122" s="488">
        <v>4</v>
      </c>
      <c r="AK122" s="489">
        <v>25</v>
      </c>
      <c r="AL122" s="487" t="str">
        <f>D11</f>
        <v>*</v>
      </c>
      <c r="AM122" s="488">
        <v>4</v>
      </c>
      <c r="AN122" s="489">
        <v>25</v>
      </c>
      <c r="AO122" s="487" t="str">
        <f>E11</f>
        <v>*</v>
      </c>
      <c r="AP122" s="488">
        <v>4</v>
      </c>
      <c r="AQ122" s="489">
        <v>25</v>
      </c>
      <c r="AR122" s="487" t="str">
        <f>F11</f>
        <v>*</v>
      </c>
      <c r="AS122" s="488">
        <v>5</v>
      </c>
      <c r="AT122" s="489">
        <v>45</v>
      </c>
      <c r="AU122" s="487" t="str">
        <f>G11</f>
        <v>*</v>
      </c>
      <c r="AV122" s="488">
        <v>5</v>
      </c>
      <c r="AW122" s="489">
        <v>45</v>
      </c>
      <c r="AX122" s="487" t="str">
        <f>H11</f>
        <v>NS</v>
      </c>
      <c r="AY122" s="488">
        <v>5</v>
      </c>
      <c r="AZ122" s="489">
        <v>45</v>
      </c>
      <c r="BA122" s="310"/>
      <c r="BB122" s="310"/>
      <c r="BC122" s="310"/>
      <c r="BD122" s="310"/>
      <c r="BE122" s="310"/>
      <c r="BF122" s="310"/>
      <c r="BG122" s="310"/>
    </row>
    <row r="123" spans="13:65" ht="15.75" x14ac:dyDescent="0.2">
      <c r="M123" s="781" t="str">
        <f t="shared" si="1"/>
        <v>.</v>
      </c>
      <c r="U123" s="328">
        <v>3</v>
      </c>
      <c r="V123" s="493" t="s">
        <v>130</v>
      </c>
      <c r="W123" s="327"/>
      <c r="Y123" s="328">
        <v>3</v>
      </c>
      <c r="Z123" s="493" t="s">
        <v>233</v>
      </c>
      <c r="AA123" s="348"/>
      <c r="AB123" s="327"/>
      <c r="AE123" s="483" t="str">
        <f>'Master List'!C6</f>
        <v>D. BRINKLEY</v>
      </c>
      <c r="AF123" s="647" t="str">
        <f>IF(OR(AF122&gt;" ",INDEX($V$121:$V$141,AG122)=0)," ",INDEX($V$121:$V$141,AG122))</f>
        <v>DBCS</v>
      </c>
      <c r="AG123" s="648"/>
      <c r="AH123" s="649"/>
      <c r="AI123" s="857" t="str">
        <f>IF(OR(AI122&gt;" ",INDEX($V$121:$V$141,AJ122)=0)," ",INDEX($V$121:$V$141,AJ122))</f>
        <v xml:space="preserve"> </v>
      </c>
      <c r="AJ123" s="858"/>
      <c r="AK123" s="859"/>
      <c r="AL123" s="484" t="str">
        <f>IF(OR(AL122&gt;" ",INDEX($V$121:$V$141,AM122)=0)," ",INDEX($V$121:$V$141,AM122))</f>
        <v xml:space="preserve"> </v>
      </c>
      <c r="AM123" s="485"/>
      <c r="AN123" s="486"/>
      <c r="AO123" s="484" t="str">
        <f>IF(OR(AO122&gt;" ",INDEX($V$121:$V$141,AP122)=0)," ",INDEX($V$121:$V$141,AP122))</f>
        <v xml:space="preserve"> </v>
      </c>
      <c r="AP123" s="485"/>
      <c r="AQ123" s="486"/>
      <c r="AR123" s="484" t="str">
        <f>IF(OR(AR122&gt;" ",INDEX($V$121:$V$141,AS122)=0)," ",INDEX($V$121:$V$141,AS122))</f>
        <v xml:space="preserve"> </v>
      </c>
      <c r="AS123" s="485"/>
      <c r="AT123" s="486"/>
      <c r="AU123" s="484" t="str">
        <f>IF(OR(AU122&gt;" ",INDEX($V$121:$V$141,AV122)=0)," ",INDEX($V$121:$V$141,AV122))</f>
        <v xml:space="preserve"> </v>
      </c>
      <c r="AV123" s="485"/>
      <c r="AW123" s="486"/>
      <c r="AX123" s="484" t="str">
        <f>IF(OR(AX122&gt;" ",INDEX($V$121:$V$141,AY122)=0)," ",INDEX($V$121:$V$141,AY122))</f>
        <v xml:space="preserve"> </v>
      </c>
      <c r="AY123" s="485"/>
      <c r="AZ123" s="486"/>
      <c r="BA123" s="310"/>
      <c r="BB123" s="310"/>
      <c r="BC123" s="310"/>
      <c r="BD123" s="310"/>
      <c r="BE123" s="310"/>
      <c r="BF123" s="310"/>
      <c r="BG123" s="310"/>
    </row>
    <row r="124" spans="13:65" ht="15.75" x14ac:dyDescent="0.2">
      <c r="M124" s="781" t="str">
        <f>IF(AE123=" "," ",".")</f>
        <v>.</v>
      </c>
      <c r="U124" s="328">
        <v>4</v>
      </c>
      <c r="V124" s="611" t="s">
        <v>136</v>
      </c>
      <c r="W124" s="327"/>
      <c r="Y124" s="328">
        <v>4</v>
      </c>
      <c r="Z124" s="493" t="s">
        <v>162</v>
      </c>
      <c r="AA124" s="348"/>
      <c r="AB124" s="327"/>
      <c r="AE124" s="481"/>
      <c r="AF124" s="576" t="str">
        <f>IF(AF123=" ","",INDEX($Z$121:$Z$165,AH122))</f>
        <v>DB6/Test Deck</v>
      </c>
      <c r="AG124" s="617"/>
      <c r="AH124" s="618"/>
      <c r="AI124" s="576" t="str">
        <f>IF(AI123=" ","",INDEX($Z$121:$Z$165,AK122))</f>
        <v/>
      </c>
      <c r="AJ124" s="617"/>
      <c r="AK124" s="618"/>
      <c r="AL124" s="576" t="str">
        <f>IF(AL123=" ","",INDEX($Z$121:$Z$165,AN122))</f>
        <v/>
      </c>
      <c r="AM124" s="617"/>
      <c r="AN124" s="618"/>
      <c r="AO124" s="576" t="str">
        <f>IF(AO123=" ","",INDEX($Z$121:$Z$165,AQ122))</f>
        <v/>
      </c>
      <c r="AP124" s="617"/>
      <c r="AQ124" s="618"/>
      <c r="AR124" s="576" t="str">
        <f>IF(AR123=" ","",INDEX($Z$121:$Z$165,AT122))</f>
        <v/>
      </c>
      <c r="AS124" s="617"/>
      <c r="AT124" s="618"/>
      <c r="AU124" s="576" t="str">
        <f>IF(AU123=" ","",INDEX($Z$121:$Z$165,AW122))</f>
        <v/>
      </c>
      <c r="AV124" s="617"/>
      <c r="AW124" s="618"/>
      <c r="AX124" s="561" t="str">
        <f>IF(AX123=" ","",INDEX($Z$121:$Z$165,AZ122))</f>
        <v/>
      </c>
      <c r="AY124" s="617"/>
      <c r="AZ124" s="618"/>
      <c r="BA124" s="310"/>
      <c r="BB124" s="310"/>
      <c r="BC124" s="310"/>
      <c r="BD124" s="310"/>
      <c r="BE124" s="310"/>
      <c r="BF124" s="310"/>
      <c r="BG124" s="310"/>
    </row>
    <row r="125" spans="13:65" ht="15.75" x14ac:dyDescent="0.2">
      <c r="M125" s="781" t="str">
        <f>IF(AE126=" "," ",".")</f>
        <v>.</v>
      </c>
      <c r="U125" s="328">
        <v>5</v>
      </c>
      <c r="V125" s="612" t="s">
        <v>199</v>
      </c>
      <c r="W125" s="327"/>
      <c r="Y125" s="328">
        <v>5</v>
      </c>
      <c r="Z125" s="493" t="s">
        <v>171</v>
      </c>
      <c r="AA125" s="348"/>
      <c r="AB125" s="327"/>
      <c r="AE125" s="482"/>
      <c r="AF125" s="487" t="str">
        <f>B15</f>
        <v>NS</v>
      </c>
      <c r="AG125" s="488">
        <v>10</v>
      </c>
      <c r="AH125" s="489">
        <v>32</v>
      </c>
      <c r="AI125" s="487" t="str">
        <f>C15</f>
        <v>NS</v>
      </c>
      <c r="AJ125" s="488">
        <v>10</v>
      </c>
      <c r="AK125" s="489">
        <v>42</v>
      </c>
      <c r="AL125" s="487" t="str">
        <f>D15</f>
        <v>TRVL</v>
      </c>
      <c r="AM125" s="488">
        <v>3</v>
      </c>
      <c r="AN125" s="489">
        <v>5</v>
      </c>
      <c r="AO125" s="487" t="str">
        <f>E15</f>
        <v>TRNG</v>
      </c>
      <c r="AP125" s="488">
        <v>3</v>
      </c>
      <c r="AQ125" s="489">
        <v>5</v>
      </c>
      <c r="AR125" s="487" t="str">
        <f>F15</f>
        <v>TRNG</v>
      </c>
      <c r="AS125" s="488">
        <v>3</v>
      </c>
      <c r="AT125" s="489">
        <v>5</v>
      </c>
      <c r="AU125" s="487" t="str">
        <f>G15</f>
        <v>TRNG</v>
      </c>
      <c r="AV125" s="488">
        <v>3</v>
      </c>
      <c r="AW125" s="489">
        <v>5</v>
      </c>
      <c r="AX125" s="487" t="str">
        <f>H15</f>
        <v>TRNG</v>
      </c>
      <c r="AY125" s="488">
        <v>5</v>
      </c>
      <c r="AZ125" s="489">
        <v>45</v>
      </c>
      <c r="BA125" s="310"/>
      <c r="BB125" s="310"/>
      <c r="BC125" s="310"/>
      <c r="BD125" s="310"/>
      <c r="BE125" s="310"/>
      <c r="BF125" s="310"/>
      <c r="BG125" s="310"/>
    </row>
    <row r="126" spans="13:65" ht="18" customHeight="1" x14ac:dyDescent="0.2">
      <c r="M126" s="781" t="str">
        <f>IF(AE126=" "," ",".")</f>
        <v>.</v>
      </c>
      <c r="U126" s="328">
        <v>6</v>
      </c>
      <c r="V126" s="613" t="s">
        <v>246</v>
      </c>
      <c r="W126" s="327"/>
      <c r="Y126" s="328">
        <v>6</v>
      </c>
      <c r="Z126" s="494" t="s">
        <v>163</v>
      </c>
      <c r="AA126" s="348"/>
      <c r="AB126" s="327"/>
      <c r="AC126" s="180"/>
      <c r="AD126" s="560"/>
      <c r="AE126" s="483" t="str">
        <f>'Master List'!C7</f>
        <v>M. FRANTZ</v>
      </c>
      <c r="AF126" s="484" t="str">
        <f>IF(OR(AF125&gt;" ",INDEX($V$121:$V$141,AG125)=0)," ",INDEX($V$121:$V$141,AG125))</f>
        <v xml:space="preserve"> </v>
      </c>
      <c r="AG126" s="485"/>
      <c r="AH126" s="486"/>
      <c r="AI126" s="484" t="str">
        <f>IF(OR(AI125&gt;" ",INDEX($V$121:$V$141,AJ125)=0)," ",INDEX($V$121:$V$141,AJ125))</f>
        <v xml:space="preserve"> </v>
      </c>
      <c r="AJ126" s="485"/>
      <c r="AK126" s="486"/>
      <c r="AL126" s="484" t="str">
        <f>IF(OR(AL125&gt;" ",INDEX($V$121:$V$141,AM125)=0)," ",INDEX($V$121:$V$141,AM125))</f>
        <v xml:space="preserve"> </v>
      </c>
      <c r="AM126" s="485"/>
      <c r="AN126" s="486"/>
      <c r="AO126" s="484" t="str">
        <f>IF(OR(AO125&gt;" ",INDEX($V$121:$V$141,AP125)=0)," ",INDEX($V$121:$V$141,AP125))</f>
        <v xml:space="preserve"> </v>
      </c>
      <c r="AP126" s="485"/>
      <c r="AQ126" s="486"/>
      <c r="AR126" s="484" t="str">
        <f>IF(OR(AR125&gt;" ",INDEX($V$121:$V$141,AS125)=0)," ",INDEX($V$121:$V$141,AS125))</f>
        <v xml:space="preserve"> </v>
      </c>
      <c r="AS126" s="485"/>
      <c r="AT126" s="486"/>
      <c r="AU126" s="484" t="str">
        <f>IF(OR(AU125&gt;" ",INDEX($V$121:$V$141,AV125)=0)," ",INDEX($V$121:$V$141,AV125))</f>
        <v xml:space="preserve"> </v>
      </c>
      <c r="AV126" s="485"/>
      <c r="AW126" s="486"/>
      <c r="AX126" s="484" t="str">
        <f>IF(OR(AX125&gt;" ",INDEX($V$121:$V$141,AY125)=0)," ",INDEX($V$121:$V$141,AY125))</f>
        <v xml:space="preserve"> </v>
      </c>
      <c r="AY126" s="485"/>
      <c r="AZ126" s="486"/>
      <c r="BA126" s="310"/>
      <c r="BB126" s="310"/>
      <c r="BC126" s="310"/>
      <c r="BD126" s="310"/>
      <c r="BE126" s="310"/>
      <c r="BF126" s="310"/>
      <c r="BG126" s="310"/>
    </row>
    <row r="127" spans="13:65" ht="15.75" x14ac:dyDescent="0.2">
      <c r="M127" s="781" t="str">
        <f>IF(AE126=" "," ",".")</f>
        <v>.</v>
      </c>
      <c r="U127" s="328">
        <v>7</v>
      </c>
      <c r="V127" s="613" t="s">
        <v>343</v>
      </c>
      <c r="W127" s="327"/>
      <c r="Y127" s="328">
        <v>7</v>
      </c>
      <c r="Z127" s="493" t="s">
        <v>254</v>
      </c>
      <c r="AA127" s="348"/>
      <c r="AB127" s="327"/>
      <c r="AE127" s="481"/>
      <c r="AF127" s="576" t="str">
        <f>IF(AF126=" ","",INDEX($Z$121:$Z$165,AH125))</f>
        <v/>
      </c>
      <c r="AG127" s="617"/>
      <c r="AH127" s="618"/>
      <c r="AI127" s="576" t="str">
        <f>IF(AI126=" ","",INDEX($Z$121:$Z$165,AK125))</f>
        <v/>
      </c>
      <c r="AJ127" s="617"/>
      <c r="AK127" s="618"/>
      <c r="AL127" s="653" t="str">
        <f>IF(AL126=" ","",INDEX($Z$121:$Z$165,AN125))</f>
        <v/>
      </c>
      <c r="AM127" s="617"/>
      <c r="AN127" s="618"/>
      <c r="AO127" s="576" t="str">
        <f>IF(AO126=" ","",INDEX($Z$121:$Z$165,AQ125))</f>
        <v/>
      </c>
      <c r="AP127" s="617"/>
      <c r="AQ127" s="618"/>
      <c r="AR127" s="576" t="str">
        <f>IF(AR126=" ","",INDEX($Z$121:$Z$165,AT125))</f>
        <v/>
      </c>
      <c r="AS127" s="617"/>
      <c r="AT127" s="618"/>
      <c r="AU127" s="576" t="str">
        <f>IF(AU126=" ","",INDEX($Z$121:$Z$165,AW125))</f>
        <v/>
      </c>
      <c r="AV127" s="617"/>
      <c r="AW127" s="618"/>
      <c r="AX127" s="576" t="str">
        <f>IF(AX126=" ","",INDEX($Z$121:$Z$165,AZ125))</f>
        <v/>
      </c>
      <c r="AY127" s="617"/>
      <c r="AZ127" s="618"/>
      <c r="BA127" s="310"/>
      <c r="BB127" s="310"/>
      <c r="BC127" s="310"/>
      <c r="BD127" s="310"/>
      <c r="BE127" s="310"/>
      <c r="BF127" s="310"/>
      <c r="BG127" s="310"/>
    </row>
    <row r="128" spans="13:65" ht="18.75" customHeight="1" x14ac:dyDescent="0.2">
      <c r="M128" s="781" t="str">
        <f>IF(AE129=" "," ",".")</f>
        <v>.</v>
      </c>
      <c r="U128" s="328">
        <v>8</v>
      </c>
      <c r="V128" s="493" t="s">
        <v>219</v>
      </c>
      <c r="W128" s="327"/>
      <c r="Y128" s="328">
        <v>8</v>
      </c>
      <c r="Z128" s="493" t="s">
        <v>194</v>
      </c>
      <c r="AA128" s="348"/>
      <c r="AB128" s="327"/>
      <c r="AE128" s="482"/>
      <c r="AF128" s="487" t="str">
        <f>B19</f>
        <v xml:space="preserve"> </v>
      </c>
      <c r="AG128" s="488">
        <v>10</v>
      </c>
      <c r="AH128" s="489">
        <v>42</v>
      </c>
      <c r="AI128" s="487" t="str">
        <f>C19</f>
        <v xml:space="preserve"> </v>
      </c>
      <c r="AJ128" s="488">
        <v>10</v>
      </c>
      <c r="AK128" s="489">
        <v>42</v>
      </c>
      <c r="AL128" s="487" t="str">
        <f>D19</f>
        <v xml:space="preserve"> </v>
      </c>
      <c r="AM128" s="488">
        <v>3</v>
      </c>
      <c r="AN128" s="489">
        <v>5</v>
      </c>
      <c r="AO128" s="487" t="str">
        <f>E19</f>
        <v xml:space="preserve"> </v>
      </c>
      <c r="AP128" s="488">
        <v>4</v>
      </c>
      <c r="AQ128" s="489">
        <v>13</v>
      </c>
      <c r="AR128" s="487" t="str">
        <f>F19</f>
        <v xml:space="preserve"> </v>
      </c>
      <c r="AS128" s="488">
        <v>3</v>
      </c>
      <c r="AT128" s="489">
        <v>5</v>
      </c>
      <c r="AU128" s="487" t="str">
        <f>G19</f>
        <v xml:space="preserve"> </v>
      </c>
      <c r="AV128" s="488">
        <v>3</v>
      </c>
      <c r="AW128" s="489">
        <v>5</v>
      </c>
      <c r="AX128" s="487" t="str">
        <f>H19</f>
        <v>NS</v>
      </c>
      <c r="AY128" s="488">
        <v>4</v>
      </c>
      <c r="AZ128" s="489">
        <v>12</v>
      </c>
      <c r="BA128" s="310"/>
      <c r="BB128" s="310"/>
      <c r="BC128" s="310"/>
      <c r="BD128" s="310"/>
      <c r="BE128" s="310"/>
      <c r="BF128" s="310"/>
      <c r="BG128" s="310"/>
    </row>
    <row r="129" spans="13:59" ht="18.75" customHeight="1" x14ac:dyDescent="0.2">
      <c r="M129" s="781" t="str">
        <f>IF(AE129=" "," ",".")</f>
        <v>.</v>
      </c>
      <c r="U129" s="328">
        <v>9</v>
      </c>
      <c r="V129" s="493" t="s">
        <v>126</v>
      </c>
      <c r="W129" s="339"/>
      <c r="Y129" s="328">
        <v>9</v>
      </c>
      <c r="Z129" s="493" t="s">
        <v>232</v>
      </c>
      <c r="AA129" s="348"/>
      <c r="AB129" s="327"/>
      <c r="AD129" s="560"/>
      <c r="AE129" s="483" t="str">
        <f>'Master List'!C8</f>
        <v>L. JONES</v>
      </c>
      <c r="AF129" s="484" t="str">
        <f>IF(OR(AF128&gt;" ",INDEX($V$121:$V$141,AG128)=0)," ",INDEX($V$121:$V$141,AG128))</f>
        <v>AFSM</v>
      </c>
      <c r="AG129" s="688"/>
      <c r="AH129" s="486"/>
      <c r="AI129" s="484" t="str">
        <f>IF(OR(AI128&gt;" ",INDEX($V$121:$V$141,AJ128)=0)," ",INDEX($V$121:$V$141,AJ128))</f>
        <v>AFSM</v>
      </c>
      <c r="AJ129" s="688"/>
      <c r="AK129" s="486"/>
      <c r="AL129" s="484" t="str">
        <f>IF(OR(AL128&gt;" ",INDEX($V$121:$V$141,AM128)=0)," ",INDEX($V$121:$V$141,AM128))</f>
        <v>AFCS</v>
      </c>
      <c r="AM129" s="811"/>
      <c r="AN129" s="486"/>
      <c r="AO129" s="484" t="str">
        <f>IF(OR(AO128&gt;" ",INDEX($V$121:$V$141,AP128)=0)," ",INDEX($V$121:$V$141,AP128))</f>
        <v>DBCS</v>
      </c>
      <c r="AP129" s="485"/>
      <c r="AQ129" s="486"/>
      <c r="AR129" s="484" t="str">
        <f>IF(OR(AR128&gt;" ",INDEX($V$121:$V$141,AS128)=0)," ",INDEX($V$121:$V$141,AS128))</f>
        <v>AFCS</v>
      </c>
      <c r="AS129" s="811"/>
      <c r="AT129" s="486"/>
      <c r="AU129" s="484" t="str">
        <f>IF(OR(AU128&gt;" ",INDEX($V$121:$V$141,AV128)=0)," ",INDEX($V$121:$V$141,AV128))</f>
        <v>AFCS</v>
      </c>
      <c r="AV129" s="811"/>
      <c r="AW129" s="486"/>
      <c r="AX129" s="484" t="str">
        <f>IF(OR(AX128&gt;" ",INDEX($V$121:$V$141,AY128)=0)," ",INDEX($V$121:$V$141,AY128))</f>
        <v xml:space="preserve"> </v>
      </c>
      <c r="AY129" s="485"/>
      <c r="AZ129" s="486"/>
      <c r="BA129" s="310"/>
      <c r="BB129" s="310"/>
      <c r="BC129" s="310"/>
      <c r="BD129" s="310"/>
      <c r="BE129" s="310"/>
      <c r="BF129" s="310"/>
      <c r="BG129" s="310"/>
    </row>
    <row r="130" spans="13:59" ht="18.75" customHeight="1" x14ac:dyDescent="0.2">
      <c r="M130" s="781" t="str">
        <f>IF(AE129=" "," ",".")</f>
        <v>.</v>
      </c>
      <c r="U130" s="328">
        <v>10</v>
      </c>
      <c r="V130" s="493" t="s">
        <v>137</v>
      </c>
      <c r="W130" s="339"/>
      <c r="Y130" s="328">
        <v>10</v>
      </c>
      <c r="Z130" s="492" t="s">
        <v>252</v>
      </c>
      <c r="AA130" s="348"/>
      <c r="AB130" s="327"/>
      <c r="AE130" s="481"/>
      <c r="AF130" s="576" t="str">
        <f>IF(AF129=" ","",INDEX($Z$121:$Z$165,AH128))</f>
        <v>UNIBUEUR</v>
      </c>
      <c r="AG130" s="617"/>
      <c r="AH130" s="618"/>
      <c r="AI130" s="576" t="str">
        <f>IF(AI129=" ","",INDEX($Z$121:$Z$165,AK128))</f>
        <v>UNIBUEUR</v>
      </c>
      <c r="AJ130" s="617"/>
      <c r="AK130" s="618"/>
      <c r="AL130" s="653" t="str">
        <f>IF(AL129=" ","",INDEX($Z$121:$Z$165,AN128))</f>
        <v>BDS/IJP</v>
      </c>
      <c r="AM130" s="617"/>
      <c r="AN130" s="618"/>
      <c r="AO130" s="576" t="str">
        <f>IF(AO129=" ","",INDEX($Z$121:$Z$165,AQ128))</f>
        <v>SORT PLAN/GAP</v>
      </c>
      <c r="AP130" s="617"/>
      <c r="AQ130" s="618"/>
      <c r="AR130" s="576" t="str">
        <f>IF(AR129=" ","",INDEX($Z$121:$Z$165,AT128))</f>
        <v>BDS/IJP</v>
      </c>
      <c r="AS130" s="617"/>
      <c r="AT130" s="618"/>
      <c r="AU130" s="576" t="str">
        <f>IF(AU129=" ","",INDEX($Z$121:$Z$165,AW128))</f>
        <v>BDS/IJP</v>
      </c>
      <c r="AV130" s="617"/>
      <c r="AW130" s="618"/>
      <c r="AX130" s="576" t="str">
        <f>IF(AX129=" ","",INDEX($Z$121:$Z$165,AZ128))</f>
        <v/>
      </c>
      <c r="AY130" s="617"/>
      <c r="AZ130" s="618"/>
      <c r="BA130" s="310"/>
      <c r="BB130" s="310"/>
      <c r="BC130" s="310"/>
      <c r="BD130" s="310"/>
      <c r="BE130" s="310"/>
      <c r="BF130" s="310"/>
      <c r="BG130" s="310"/>
    </row>
    <row r="131" spans="13:59" ht="18.75" customHeight="1" x14ac:dyDescent="0.2">
      <c r="M131" s="781" t="str">
        <f>IF(AE132=" "," ",".")</f>
        <v>.</v>
      </c>
      <c r="U131" s="328">
        <v>1</v>
      </c>
      <c r="V131" s="493" t="s">
        <v>233</v>
      </c>
      <c r="W131" s="339"/>
      <c r="Y131" s="328">
        <v>11</v>
      </c>
      <c r="Z131" s="493" t="s">
        <v>179</v>
      </c>
      <c r="AA131" s="348"/>
      <c r="AB131" s="327"/>
      <c r="AE131" s="482"/>
      <c r="AF131" s="487" t="str">
        <f>B23</f>
        <v xml:space="preserve"> </v>
      </c>
      <c r="AG131" s="488">
        <v>4</v>
      </c>
      <c r="AH131" s="489">
        <v>13</v>
      </c>
      <c r="AI131" s="487" t="str">
        <f>C23</f>
        <v xml:space="preserve"> </v>
      </c>
      <c r="AJ131" s="488">
        <v>4</v>
      </c>
      <c r="AK131" s="489">
        <v>13</v>
      </c>
      <c r="AL131" s="487" t="str">
        <f>D23</f>
        <v xml:space="preserve"> </v>
      </c>
      <c r="AM131" s="488">
        <v>4</v>
      </c>
      <c r="AN131" s="489">
        <v>12</v>
      </c>
      <c r="AO131" s="487" t="str">
        <f>E23</f>
        <v xml:space="preserve"> </v>
      </c>
      <c r="AP131" s="488">
        <v>4</v>
      </c>
      <c r="AQ131" s="489">
        <v>12</v>
      </c>
      <c r="AR131" s="487" t="str">
        <f>F23</f>
        <v xml:space="preserve"> </v>
      </c>
      <c r="AS131" s="488">
        <v>4</v>
      </c>
      <c r="AT131" s="489">
        <v>12</v>
      </c>
      <c r="AU131" s="487" t="str">
        <f>G23</f>
        <v>NS</v>
      </c>
      <c r="AV131" s="488">
        <v>1</v>
      </c>
      <c r="AW131" s="489">
        <v>5</v>
      </c>
      <c r="AX131" s="487" t="str">
        <f>H23</f>
        <v>AL</v>
      </c>
      <c r="AY131" s="488">
        <v>1</v>
      </c>
      <c r="AZ131" s="489">
        <v>11</v>
      </c>
      <c r="BA131" s="310"/>
      <c r="BB131" s="310"/>
      <c r="BC131" s="310"/>
      <c r="BD131" s="310"/>
      <c r="BE131" s="310"/>
      <c r="BF131" s="310"/>
      <c r="BG131" s="310"/>
    </row>
    <row r="132" spans="13:59" ht="18.75" customHeight="1" x14ac:dyDescent="0.2">
      <c r="M132" s="781" t="str">
        <f>IF(AE132=" "," ",".")</f>
        <v>.</v>
      </c>
      <c r="U132" s="328">
        <v>12</v>
      </c>
      <c r="V132" s="493" t="s">
        <v>327</v>
      </c>
      <c r="W132" s="339"/>
      <c r="Y132" s="328">
        <v>12</v>
      </c>
      <c r="Z132" s="493" t="s">
        <v>195</v>
      </c>
      <c r="AA132" s="348"/>
      <c r="AB132" s="327"/>
      <c r="AE132" s="483" t="str">
        <f>'Master List'!C9</f>
        <v>T. SHIELDS</v>
      </c>
      <c r="AF132" s="484" t="str">
        <f>IF(OR(AF131&gt;" ",INDEX($V$121:$V$141,AG131)=0)," ",INDEX($V$121:$V$141,AG131))</f>
        <v>DBCS</v>
      </c>
      <c r="AG132" s="485"/>
      <c r="AH132" s="486"/>
      <c r="AI132" s="484" t="str">
        <f>IF(OR(AI131&gt;" ",INDEX($V$121:$V$141,AJ131)=0)," ",INDEX($V$121:$V$141,AJ131))</f>
        <v>DBCS</v>
      </c>
      <c r="AJ132" s="688"/>
      <c r="AK132" s="486"/>
      <c r="AL132" s="484" t="str">
        <f>IF(OR(AL131&gt;" ",INDEX($V$121:$V$141,AM131)=0)," ",INDEX($V$121:$V$141,AM131))</f>
        <v>DBCS</v>
      </c>
      <c r="AM132" s="485"/>
      <c r="AN132" s="486"/>
      <c r="AO132" s="484" t="str">
        <f>IF(OR(AO131&gt;" ",INDEX($V$121:$V$141,AP131)=0)," ",INDEX($V$121:$V$141,AP131))</f>
        <v>DBCS</v>
      </c>
      <c r="AP132" s="485"/>
      <c r="AQ132" s="486"/>
      <c r="AR132" s="484" t="str">
        <f>IF(OR(AR131&gt;" ",INDEX($V$121:$V$141,AS131)=0)," ",INDEX($V$121:$V$141,AS131))</f>
        <v>DBCS</v>
      </c>
      <c r="AS132" s="486"/>
      <c r="AT132" s="486"/>
      <c r="AU132" s="484" t="str">
        <f>IF(OR(AU131&gt;" ",INDEX($V$121:$V$141,AV131)=0)," ",INDEX($V$121:$V$141,AV131))</f>
        <v xml:space="preserve"> </v>
      </c>
      <c r="AV132" s="485"/>
      <c r="AW132" s="486"/>
      <c r="AX132" s="484" t="str">
        <f>IF(OR(AX131&gt;" ",INDEX($V$121:$V$141,AY131)=0)," ",INDEX($V$121:$V$141,AY131))</f>
        <v xml:space="preserve"> </v>
      </c>
      <c r="AY132" s="485"/>
      <c r="AZ132" s="486"/>
      <c r="BA132" s="310"/>
      <c r="BB132" s="310"/>
      <c r="BC132" s="310"/>
      <c r="BD132" s="310"/>
      <c r="BE132" s="310"/>
      <c r="BF132" s="310"/>
      <c r="BG132" s="310"/>
    </row>
    <row r="133" spans="13:59" ht="18.75" customHeight="1" x14ac:dyDescent="0.2">
      <c r="M133" s="781" t="str">
        <f>IF(AE132=" "," ",".")</f>
        <v>.</v>
      </c>
      <c r="U133" s="328">
        <v>13</v>
      </c>
      <c r="V133" s="493" t="s">
        <v>291</v>
      </c>
      <c r="W133" s="339"/>
      <c r="Y133" s="328">
        <v>13</v>
      </c>
      <c r="Z133" s="494" t="s">
        <v>192</v>
      </c>
      <c r="AA133" s="348"/>
      <c r="AB133" s="327"/>
      <c r="AE133" s="481"/>
      <c r="AF133" s="576" t="str">
        <f>IF(AF132=" ","",INDEX($Z$121:$Z$165,AH131))</f>
        <v>SORT PLAN/GAP</v>
      </c>
      <c r="AG133" s="617"/>
      <c r="AH133" s="618"/>
      <c r="AI133" s="576" t="str">
        <f>IF(AI132=" ","",INDEX($Z$121:$Z$165,AK131))</f>
        <v>SORT PLAN/GAP</v>
      </c>
      <c r="AJ133" s="617"/>
      <c r="AK133" s="618"/>
      <c r="AL133" s="653" t="str">
        <f>IF(AL132=" ","",INDEX($Z$121:$Z$165,AN131))</f>
        <v>DB6/Test Deck</v>
      </c>
      <c r="AM133" s="617"/>
      <c r="AN133" s="618"/>
      <c r="AO133" s="576" t="str">
        <f>IF(AO132=" ","",INDEX($Z$121:$Z$165,AQ131))</f>
        <v>DB6/Test Deck</v>
      </c>
      <c r="AP133" s="581"/>
      <c r="AQ133" s="582"/>
      <c r="AR133" s="581" t="str">
        <f>IF(AR132=" ","",INDEX($Z$121:$Z$165,AT131))</f>
        <v>DB6/Test Deck</v>
      </c>
      <c r="AS133" s="646"/>
      <c r="AT133" s="650"/>
      <c r="AU133" s="576" t="str">
        <f>IF(AU132=" ","",INDEX($Z$121:$Z$165,AW131))</f>
        <v/>
      </c>
      <c r="AV133" s="617"/>
      <c r="AW133" s="618"/>
      <c r="AX133" s="576" t="str">
        <f>IF(AX132=" ","",INDEX($Z$121:$Z$165,AZ131))</f>
        <v/>
      </c>
      <c r="AY133" s="617"/>
      <c r="AZ133" s="618"/>
      <c r="BA133" s="310"/>
      <c r="BB133" s="310"/>
      <c r="BC133" s="310"/>
      <c r="BD133" s="310"/>
      <c r="BE133" s="310"/>
      <c r="BF133" s="310"/>
      <c r="BG133" s="310"/>
    </row>
    <row r="134" spans="13:59" ht="18.75" customHeight="1" x14ac:dyDescent="0.2">
      <c r="M134" s="781" t="str">
        <f>IF(AE135=" "," ",".")</f>
        <v>.</v>
      </c>
      <c r="U134" s="328">
        <v>14</v>
      </c>
      <c r="V134" s="493" t="s">
        <v>322</v>
      </c>
      <c r="W134" s="339"/>
      <c r="Y134" s="328">
        <v>14</v>
      </c>
      <c r="Z134" s="494" t="s">
        <v>229</v>
      </c>
      <c r="AA134" s="348"/>
      <c r="AB134" s="327"/>
      <c r="AE134" s="482"/>
      <c r="AF134" s="487" t="str">
        <f>B27</f>
        <v xml:space="preserve"> </v>
      </c>
      <c r="AG134" s="488">
        <v>4</v>
      </c>
      <c r="AH134" s="489">
        <v>12</v>
      </c>
      <c r="AI134" s="487" t="str">
        <f>C27</f>
        <v xml:space="preserve"> </v>
      </c>
      <c r="AJ134" s="488">
        <v>5</v>
      </c>
      <c r="AK134" s="489">
        <v>45</v>
      </c>
      <c r="AL134" s="487" t="str">
        <f>D27</f>
        <v xml:space="preserve"> </v>
      </c>
      <c r="AM134" s="488">
        <v>5</v>
      </c>
      <c r="AN134" s="489">
        <v>45</v>
      </c>
      <c r="AO134" s="487" t="str">
        <f>E27</f>
        <v xml:space="preserve"> </v>
      </c>
      <c r="AP134" s="488">
        <v>5</v>
      </c>
      <c r="AQ134" s="489">
        <v>45</v>
      </c>
      <c r="AR134" s="487" t="str">
        <f>F27</f>
        <v xml:space="preserve"> </v>
      </c>
      <c r="AS134" s="488">
        <v>5</v>
      </c>
      <c r="AT134" s="489">
        <v>45</v>
      </c>
      <c r="AU134" s="487" t="str">
        <f>G27</f>
        <v xml:space="preserve"> </v>
      </c>
      <c r="AV134" s="488">
        <v>5</v>
      </c>
      <c r="AW134" s="489">
        <v>45</v>
      </c>
      <c r="AX134" s="487" t="str">
        <f>H27</f>
        <v>NS</v>
      </c>
      <c r="AY134" s="488">
        <v>4</v>
      </c>
      <c r="AZ134" s="489">
        <v>25</v>
      </c>
      <c r="BA134" s="310"/>
      <c r="BB134" s="310"/>
      <c r="BC134" s="310"/>
      <c r="BD134" s="310"/>
      <c r="BE134" s="310"/>
      <c r="BF134" s="310"/>
      <c r="BG134" s="310"/>
    </row>
    <row r="135" spans="13:59" ht="18.75" customHeight="1" x14ac:dyDescent="0.2">
      <c r="M135" s="781" t="str">
        <f>IF(AE135=" "," ",".")</f>
        <v>.</v>
      </c>
      <c r="U135" s="399">
        <v>15</v>
      </c>
      <c r="V135" s="614" t="s">
        <v>56</v>
      </c>
      <c r="W135" s="615" t="s">
        <v>73</v>
      </c>
      <c r="Y135" s="328">
        <v>15</v>
      </c>
      <c r="Z135" s="494" t="s">
        <v>204</v>
      </c>
      <c r="AA135" s="348"/>
      <c r="AB135" s="327"/>
      <c r="AE135" s="483" t="str">
        <f>'Master List'!C10</f>
        <v>D. BRUMIT</v>
      </c>
      <c r="AF135" s="484" t="str">
        <f>IF(OR(AF134&gt;" ",INDEX($V$121:$V$141,AG134)=0)," ",INDEX($V$121:$V$141,AG134))</f>
        <v>DBCS</v>
      </c>
      <c r="AG135" s="485"/>
      <c r="AH135" s="486"/>
      <c r="AI135" s="484" t="str">
        <f>IF(OR(AI134&gt;" ",INDEX($V$121:$V$141,AJ134)=0)," ",INDEX($V$121:$V$141,AJ134))</f>
        <v>FSS</v>
      </c>
      <c r="AJ135" s="485"/>
      <c r="AK135" s="486"/>
      <c r="AL135" s="484" t="str">
        <f>IF(OR(AL134&gt;" ",INDEX($V$121:$V$141,AM134)=0)," ",INDEX($V$121:$V$141,AM134))</f>
        <v>FSS</v>
      </c>
      <c r="AM135" s="485"/>
      <c r="AN135" s="486"/>
      <c r="AO135" s="484" t="str">
        <f>IF(OR(AO134&gt;" ",INDEX($V$121:$V$141,AP134)=0)," ",INDEX($V$121:$V$141,AP134))</f>
        <v>FSS</v>
      </c>
      <c r="AP135" s="485"/>
      <c r="AQ135" s="486"/>
      <c r="AR135" s="484" t="str">
        <f>IF(OR(AR134&gt;" ",INDEX($V$121:$V$141,AS134)=0)," ",INDEX($V$121:$V$141,AS134))</f>
        <v>FSS</v>
      </c>
      <c r="AS135" s="485"/>
      <c r="AT135" s="486"/>
      <c r="AU135" s="484" t="str">
        <f>IF(OR(AU134&gt;" ",INDEX($V$121:$V$141,AV134)=0)," ",INDEX($V$121:$V$141,AV134))</f>
        <v>FSS</v>
      </c>
      <c r="AV135" s="485"/>
      <c r="AW135" s="486"/>
      <c r="AX135" s="484" t="str">
        <f>IF(OR(AX134&gt;" ",INDEX($V$121:$V$141,AY134)=0)," ",INDEX($V$121:$V$141,AY134))</f>
        <v xml:space="preserve"> </v>
      </c>
      <c r="AY135" s="485"/>
      <c r="AZ135" s="486"/>
      <c r="BA135" s="310"/>
      <c r="BB135" s="310"/>
      <c r="BC135" s="310"/>
      <c r="BD135" s="310"/>
      <c r="BE135" s="310"/>
      <c r="BF135" s="310"/>
      <c r="BG135" s="310"/>
    </row>
    <row r="136" spans="13:59" ht="15.75" x14ac:dyDescent="0.2">
      <c r="M136" s="781" t="str">
        <f>IF(AE135=" "," ",".")</f>
        <v>.</v>
      </c>
      <c r="U136" s="399">
        <v>16</v>
      </c>
      <c r="V136" s="614" t="s">
        <v>344</v>
      </c>
      <c r="W136" s="615"/>
      <c r="Y136" s="328">
        <v>16</v>
      </c>
      <c r="Z136" s="493" t="s">
        <v>225</v>
      </c>
      <c r="AA136" s="348"/>
      <c r="AB136" s="327"/>
      <c r="AE136" s="481"/>
      <c r="AF136" s="576" t="str">
        <f>IF(AF135=" ","",INDEX($Z$121:$Z$165,AH134))</f>
        <v>DB6/Test Deck</v>
      </c>
      <c r="AG136" s="617"/>
      <c r="AH136" s="618"/>
      <c r="AI136" s="576" t="str">
        <f>IF(AI135=" ","",INDEX($Z$121:$Z$165,AK134))</f>
        <v xml:space="preserve"> </v>
      </c>
      <c r="AJ136" s="581"/>
      <c r="AK136" s="582"/>
      <c r="AL136" s="653" t="str">
        <f>IF(AL135=" ","",INDEX($Z$121:$Z$165,AN134))</f>
        <v xml:space="preserve"> </v>
      </c>
      <c r="AM136" s="617"/>
      <c r="AN136" s="618"/>
      <c r="AO136" s="576" t="str">
        <f>IF(AO135=" ","",INDEX($Z$121:$Z$165,AQ134))</f>
        <v xml:space="preserve"> </v>
      </c>
      <c r="AP136" s="617"/>
      <c r="AQ136" s="618"/>
      <c r="AR136" s="576" t="str">
        <f>IF(AR135=" ","",INDEX($Z$121:$Z$165,AT134))</f>
        <v xml:space="preserve"> </v>
      </c>
      <c r="AS136" s="617"/>
      <c r="AT136" s="618"/>
      <c r="AU136" s="576" t="str">
        <f>IF(AU135=" ","",INDEX($Z$121:$Z$165,AW134))</f>
        <v xml:space="preserve"> </v>
      </c>
      <c r="AV136" s="617"/>
      <c r="AW136" s="618"/>
      <c r="AX136" s="576" t="str">
        <f>IF(AX135=" ","",INDEX($Z$121:$Z$165,AZ134))</f>
        <v/>
      </c>
      <c r="AY136" s="617"/>
      <c r="AZ136" s="618"/>
      <c r="BA136" s="310"/>
      <c r="BB136" s="310"/>
      <c r="BC136" s="310"/>
      <c r="BD136" s="310"/>
      <c r="BE136" s="310"/>
      <c r="BF136" s="310"/>
      <c r="BG136" s="310"/>
    </row>
    <row r="137" spans="13:59" ht="15.75" x14ac:dyDescent="0.2">
      <c r="M137" s="781" t="str">
        <f>IF(AE138=" "," ",".")</f>
        <v>.</v>
      </c>
      <c r="U137" s="414"/>
      <c r="V137" s="766" t="s">
        <v>56</v>
      </c>
      <c r="W137" s="329"/>
      <c r="Y137" s="328">
        <v>17</v>
      </c>
      <c r="Z137" s="493" t="s">
        <v>191</v>
      </c>
      <c r="AA137" s="348"/>
      <c r="AB137" s="327"/>
      <c r="AE137" s="482"/>
      <c r="AF137" s="487" t="str">
        <f>B31</f>
        <v xml:space="preserve"> </v>
      </c>
      <c r="AG137" s="488">
        <v>4</v>
      </c>
      <c r="AH137" s="489">
        <v>27</v>
      </c>
      <c r="AI137" s="487" t="str">
        <f>C31</f>
        <v xml:space="preserve"> </v>
      </c>
      <c r="AJ137" s="488">
        <v>4</v>
      </c>
      <c r="AK137" s="489">
        <v>27</v>
      </c>
      <c r="AL137" s="487" t="str">
        <f>D31</f>
        <v xml:space="preserve"> </v>
      </c>
      <c r="AM137" s="488">
        <v>4</v>
      </c>
      <c r="AN137" s="489">
        <v>12</v>
      </c>
      <c r="AO137" s="487" t="str">
        <f>E31</f>
        <v xml:space="preserve"> </v>
      </c>
      <c r="AP137" s="488">
        <v>4</v>
      </c>
      <c r="AQ137" s="489">
        <v>27</v>
      </c>
      <c r="AR137" s="487" t="str">
        <f>F31</f>
        <v xml:space="preserve"> </v>
      </c>
      <c r="AS137" s="488">
        <v>4</v>
      </c>
      <c r="AT137" s="489">
        <v>27</v>
      </c>
      <c r="AU137" s="487" t="str">
        <f>G31</f>
        <v>NS</v>
      </c>
      <c r="AV137" s="488">
        <v>4</v>
      </c>
      <c r="AW137" s="489">
        <v>27</v>
      </c>
      <c r="AX137" s="487" t="str">
        <f>H31</f>
        <v xml:space="preserve"> </v>
      </c>
      <c r="AY137" s="488">
        <v>4</v>
      </c>
      <c r="AZ137" s="489">
        <v>13</v>
      </c>
      <c r="BA137" s="310"/>
      <c r="BB137" s="310"/>
      <c r="BC137" s="310"/>
      <c r="BD137" s="310"/>
      <c r="BE137" s="310"/>
      <c r="BF137" s="310"/>
      <c r="BG137" s="310"/>
    </row>
    <row r="138" spans="13:59" ht="15.75" x14ac:dyDescent="0.2">
      <c r="M138" s="781" t="str">
        <f>IF(AE138=" "," ",".")</f>
        <v>.</v>
      </c>
      <c r="U138" s="414"/>
      <c r="V138" s="766" t="s">
        <v>56</v>
      </c>
      <c r="W138" s="329"/>
      <c r="Y138" s="328">
        <v>18</v>
      </c>
      <c r="Z138" s="493" t="s">
        <v>193</v>
      </c>
      <c r="AA138" s="348"/>
      <c r="AB138" s="327"/>
      <c r="AC138" s="180"/>
      <c r="AD138" s="560"/>
      <c r="AE138" s="483" t="str">
        <f>'Master List'!C11</f>
        <v>J. MAYER</v>
      </c>
      <c r="AF138" s="484" t="str">
        <f>IF(OR(AF137&gt;" ",INDEX($V$121:$V$141,AG137)=0)," ",INDEX($V$121:$V$141,AG137))</f>
        <v>DBCS</v>
      </c>
      <c r="AG138" s="485"/>
      <c r="AH138" s="486"/>
      <c r="AI138" s="484" t="str">
        <f>IF(OR(AI137&gt;" ",INDEX($V$121:$V$141,AJ137)=0)," ",INDEX($V$121:$V$141,AJ137))</f>
        <v>DBCS</v>
      </c>
      <c r="AJ138" s="485"/>
      <c r="AK138" s="486"/>
      <c r="AL138" s="484" t="str">
        <f>IF(OR(AL137&gt;" ",INDEX($V$121:$V$141,AM137)=0)," ",INDEX($V$121:$V$141,AM137))</f>
        <v>DBCS</v>
      </c>
      <c r="AM138" s="485"/>
      <c r="AN138" s="486"/>
      <c r="AO138" s="484" t="str">
        <f>IF(OR(AO137&gt;" ",INDEX($V$121:$V$141,AP137)=0)," ",INDEX($V$121:$V$141,AP137))</f>
        <v>DBCS</v>
      </c>
      <c r="AP138" s="485"/>
      <c r="AQ138" s="486"/>
      <c r="AR138" s="484" t="str">
        <f>IF(OR(AR137&gt;" ",INDEX($V$121:$V$141,AS137)=0)," ",INDEX($V$121:$V$141,AS137))</f>
        <v>DBCS</v>
      </c>
      <c r="AS138" s="485"/>
      <c r="AT138" s="486"/>
      <c r="AU138" s="484" t="str">
        <f>IF(OR(AU137&gt;" ",INDEX($V$121:$V$141,AV137)=0)," ",INDEX($V$121:$V$141,AV137))</f>
        <v xml:space="preserve"> </v>
      </c>
      <c r="AV138" s="485"/>
      <c r="AW138" s="486"/>
      <c r="AX138" s="484" t="str">
        <f>IF(OR(AX137&gt;" ",INDEX($V$121:$V$141,AY137)=0)," ",INDEX($V$121:$V$141,AY137))</f>
        <v>DBCS</v>
      </c>
      <c r="AY138" s="485"/>
      <c r="AZ138" s="486"/>
      <c r="BA138" s="310"/>
      <c r="BB138" s="310"/>
      <c r="BC138" s="310"/>
      <c r="BD138" s="310"/>
      <c r="BE138" s="310"/>
      <c r="BF138" s="310"/>
      <c r="BG138" s="310"/>
    </row>
    <row r="139" spans="13:59" ht="15.75" x14ac:dyDescent="0.2">
      <c r="M139" s="781" t="str">
        <f>IF(AE138=" "," ",".")</f>
        <v>.</v>
      </c>
      <c r="U139" s="414"/>
      <c r="V139" s="766" t="s">
        <v>56</v>
      </c>
      <c r="W139" s="329"/>
      <c r="Y139" s="328">
        <v>19</v>
      </c>
      <c r="Z139" s="493" t="s">
        <v>206</v>
      </c>
      <c r="AA139" s="348"/>
      <c r="AB139" s="327"/>
      <c r="AE139" s="481"/>
      <c r="AF139" s="576" t="str">
        <f>IF(AF138=" ","",INDEX($Z$121:$Z$165,AH137))</f>
        <v>ECBM ROUTES</v>
      </c>
      <c r="AG139" s="617"/>
      <c r="AH139" s="618"/>
      <c r="AI139" s="576" t="str">
        <f>IF(AI138=" ","",INDEX($Z$121:$Z$165,AK137))</f>
        <v>ECBM ROUTES</v>
      </c>
      <c r="AJ139" s="617"/>
      <c r="AK139" s="618"/>
      <c r="AL139" s="653" t="str">
        <f>IF(AL138=" ","",INDEX($Z$121:$Z$165,AN137))</f>
        <v>DB6/Test Deck</v>
      </c>
      <c r="AM139" s="617"/>
      <c r="AN139" s="618"/>
      <c r="AO139" s="576" t="str">
        <f>IF(AO138=" ","",INDEX($Z$121:$Z$165,AQ137))</f>
        <v>ECBM ROUTES</v>
      </c>
      <c r="AP139" s="617"/>
      <c r="AQ139" s="618"/>
      <c r="AR139" s="576" t="str">
        <f>IF(AR138=" ","",INDEX($Z$121:$Z$165,AT137))</f>
        <v>ECBM ROUTES</v>
      </c>
      <c r="AS139" s="617"/>
      <c r="AT139" s="618"/>
      <c r="AU139" s="576" t="str">
        <f>IF(AU138=" ","",INDEX($Z$121:$Z$165,AW137))</f>
        <v/>
      </c>
      <c r="AV139" s="617"/>
      <c r="AW139" s="618"/>
      <c r="AX139" s="576" t="str">
        <f>IF(AX138=" ","",INDEX($Z$121:$Z$165,AZ137))</f>
        <v>SORT PLAN/GAP</v>
      </c>
      <c r="AY139" s="617"/>
      <c r="AZ139" s="618"/>
      <c r="BA139" s="310"/>
      <c r="BB139" s="310"/>
      <c r="BC139" s="310"/>
      <c r="BD139" s="310"/>
      <c r="BE139" s="310"/>
      <c r="BF139" s="310"/>
      <c r="BG139" s="310"/>
    </row>
    <row r="140" spans="13:59" ht="15.75" x14ac:dyDescent="0.2">
      <c r="M140" s="781" t="str">
        <f>IF(AE141=" "," ",".")</f>
        <v>.</v>
      </c>
      <c r="U140" s="414"/>
      <c r="V140" s="766" t="s">
        <v>56</v>
      </c>
      <c r="W140" s="329"/>
      <c r="Y140" s="328">
        <v>20</v>
      </c>
      <c r="Z140" s="493" t="s">
        <v>205</v>
      </c>
      <c r="AA140" s="329"/>
      <c r="AB140" s="327"/>
      <c r="AE140" s="482"/>
      <c r="AF140" s="487" t="str">
        <f>B35</f>
        <v xml:space="preserve"> </v>
      </c>
      <c r="AG140" s="488">
        <v>1</v>
      </c>
      <c r="AH140" s="489">
        <v>5</v>
      </c>
      <c r="AI140" s="487" t="str">
        <f>C35</f>
        <v xml:space="preserve"> </v>
      </c>
      <c r="AJ140" s="488">
        <v>4</v>
      </c>
      <c r="AK140" s="489">
        <v>13</v>
      </c>
      <c r="AL140" s="487" t="str">
        <f>D35</f>
        <v>NS</v>
      </c>
      <c r="AM140" s="488">
        <v>4</v>
      </c>
      <c r="AN140" s="489">
        <v>13</v>
      </c>
      <c r="AO140" s="487" t="str">
        <f>E35</f>
        <v>TRVL</v>
      </c>
      <c r="AP140" s="488">
        <v>4</v>
      </c>
      <c r="AQ140" s="489">
        <v>12</v>
      </c>
      <c r="AR140" s="487" t="str">
        <f>F35</f>
        <v>TRNG</v>
      </c>
      <c r="AS140" s="488">
        <v>1</v>
      </c>
      <c r="AT140" s="489">
        <v>25</v>
      </c>
      <c r="AU140" s="487" t="str">
        <f>G35</f>
        <v>TRNG</v>
      </c>
      <c r="AV140" s="488">
        <v>1</v>
      </c>
      <c r="AW140" s="489">
        <v>5</v>
      </c>
      <c r="AX140" s="487" t="str">
        <f>H35</f>
        <v>TRVL</v>
      </c>
      <c r="AY140" s="488">
        <v>1</v>
      </c>
      <c r="AZ140" s="489">
        <v>25</v>
      </c>
      <c r="BA140" s="310"/>
      <c r="BB140" s="310"/>
      <c r="BC140" s="310"/>
      <c r="BD140" s="310"/>
      <c r="BE140" s="310"/>
      <c r="BF140" s="310"/>
      <c r="BG140" s="310"/>
    </row>
    <row r="141" spans="13:59" ht="15.75" x14ac:dyDescent="0.2">
      <c r="M141" s="781" t="str">
        <f>IF(AE141=" "," ",".")</f>
        <v>.</v>
      </c>
      <c r="U141" s="496"/>
      <c r="V141" s="766" t="s">
        <v>56</v>
      </c>
      <c r="W141" s="329"/>
      <c r="Y141" s="328">
        <v>21</v>
      </c>
      <c r="Z141" s="493" t="s">
        <v>231</v>
      </c>
      <c r="AA141" s="329"/>
      <c r="AB141" s="327"/>
      <c r="AE141" s="483" t="str">
        <f>'Master List'!C12</f>
        <v>P. BRUCE</v>
      </c>
      <c r="AF141" s="484" t="str">
        <f>IF(OR(AF140&gt;" ",INDEX($V$121:$V$141,AG140)=0)," ",INDEX($V$121:$V$141,AG140))</f>
        <v>AFCS</v>
      </c>
      <c r="AG141" s="688"/>
      <c r="AH141" s="486"/>
      <c r="AI141" s="484" t="str">
        <f>IF(OR(AI140&gt;" ",INDEX($V$121:$V$141,AJ140)=0)," ",INDEX($V$121:$V$141,AJ140))</f>
        <v>DBCS</v>
      </c>
      <c r="AJ141" s="485"/>
      <c r="AK141" s="486"/>
      <c r="AL141" s="687" t="str">
        <f>IF(OR(AL140&gt;" ",INDEX($V$121:$V$141,AM140)=0)," ",INDEX($V$121:$V$141,AM140))</f>
        <v xml:space="preserve"> </v>
      </c>
      <c r="AM141" s="688"/>
      <c r="AN141" s="689"/>
      <c r="AO141" s="484" t="str">
        <f>IF(OR(AO140&gt;" ",INDEX($V$121:$V$141,AP140)=0)," ",INDEX($V$121:$V$141,AP140))</f>
        <v xml:space="preserve"> </v>
      </c>
      <c r="AP141" s="485"/>
      <c r="AQ141" s="486"/>
      <c r="AR141" s="484" t="str">
        <f>IF(OR(AR140&gt;" ",INDEX($V$121:$V$141,AS140)=0)," ",INDEX($V$121:$V$141,AS140))</f>
        <v xml:space="preserve"> </v>
      </c>
      <c r="AS141" s="485"/>
      <c r="AT141" s="486"/>
      <c r="AU141" s="484" t="str">
        <f>IF(OR(AU140&gt;" ",INDEX($V$121:$V$141,AV140)=0)," ",INDEX($V$121:$V$141,AV140))</f>
        <v xml:space="preserve"> </v>
      </c>
      <c r="AV141" s="485"/>
      <c r="AW141" s="486"/>
      <c r="AX141" s="687" t="str">
        <f>IF(OR(AX140&gt;" ",INDEX($V$121:$V$141,AY140)=0)," ",INDEX($V$121:$V$141,AY140))</f>
        <v xml:space="preserve"> </v>
      </c>
      <c r="AY141" s="688"/>
      <c r="AZ141" s="689"/>
      <c r="BA141" s="310"/>
      <c r="BB141" s="310"/>
      <c r="BC141" s="310"/>
      <c r="BD141" s="310"/>
      <c r="BE141" s="310"/>
      <c r="BF141" s="310"/>
      <c r="BG141" s="310"/>
    </row>
    <row r="142" spans="13:59" ht="15.75" x14ac:dyDescent="0.2">
      <c r="M142" s="781" t="str">
        <f>IF(AE141=" "," ",".")</f>
        <v>.</v>
      </c>
      <c r="U142" s="496" t="s">
        <v>56</v>
      </c>
      <c r="V142" s="766" t="s">
        <v>56</v>
      </c>
      <c r="W142" s="329"/>
      <c r="Y142" s="328">
        <v>22</v>
      </c>
      <c r="Z142" s="493" t="s">
        <v>228</v>
      </c>
      <c r="AA142" s="348"/>
      <c r="AB142" s="327"/>
      <c r="AE142" s="481"/>
      <c r="AF142" s="576" t="str">
        <f>IF(AF141=" ","",INDEX($Z$121:$Z$165,AH140))</f>
        <v>BDS/IJP</v>
      </c>
      <c r="AG142" s="617"/>
      <c r="AH142" s="618"/>
      <c r="AI142" s="576" t="str">
        <f>IF(AI141=" ","",INDEX($Z$121:$Z$165,AK140))</f>
        <v>SORT PLAN/GAP</v>
      </c>
      <c r="AJ142" s="617"/>
      <c r="AK142" s="618"/>
      <c r="AL142" s="576" t="str">
        <f>IF(AL141=" ","",INDEX($Z$121:$Z$165,AN140))</f>
        <v/>
      </c>
      <c r="AM142" s="617"/>
      <c r="AN142" s="618"/>
      <c r="AO142" s="576" t="str">
        <f>IF(AO141=" ","",INDEX($Z$121:$Z$165,AQ140))</f>
        <v/>
      </c>
      <c r="AP142" s="617"/>
      <c r="AQ142" s="618"/>
      <c r="AR142" s="576" t="str">
        <f>IF(AR141=" ","",INDEX($Z$121:$Z$165,AT140))</f>
        <v/>
      </c>
      <c r="AS142" s="617"/>
      <c r="AT142" s="618"/>
      <c r="AU142" s="576" t="str">
        <f>IF(AU141=" ","",INDEX($Z$121:$Z$165,AW140))</f>
        <v/>
      </c>
      <c r="AV142" s="617"/>
      <c r="AW142" s="618"/>
      <c r="AX142" s="576" t="str">
        <f>IF(AX141=" ","",INDEX($Z$121:$Z$165,AZ140))</f>
        <v/>
      </c>
      <c r="AY142" s="617"/>
      <c r="AZ142" s="618"/>
      <c r="BA142" s="310"/>
      <c r="BB142" s="310"/>
      <c r="BC142" s="310"/>
      <c r="BD142" s="310"/>
      <c r="BE142" s="310"/>
      <c r="BF142" s="310"/>
      <c r="BG142" s="310"/>
    </row>
    <row r="143" spans="13:59" ht="15.75" x14ac:dyDescent="0.2">
      <c r="M143" s="781" t="str">
        <f>IF(AE144=" "," ",".")</f>
        <v>.</v>
      </c>
      <c r="V143" s="766" t="s">
        <v>56</v>
      </c>
      <c r="W143" s="329"/>
      <c r="Y143" s="328">
        <v>23</v>
      </c>
      <c r="Z143" s="493" t="s">
        <v>216</v>
      </c>
      <c r="AA143" s="348"/>
      <c r="AB143" s="327"/>
      <c r="AE143" s="482"/>
      <c r="AF143" s="487" t="str">
        <f>B39</f>
        <v xml:space="preserve"> </v>
      </c>
      <c r="AG143" s="488">
        <v>1</v>
      </c>
      <c r="AH143" s="489">
        <v>11</v>
      </c>
      <c r="AI143" s="487" t="str">
        <f>C39</f>
        <v xml:space="preserve"> </v>
      </c>
      <c r="AJ143" s="488">
        <v>4</v>
      </c>
      <c r="AK143" s="489">
        <v>12</v>
      </c>
      <c r="AL143" s="487" t="str">
        <f>D39</f>
        <v xml:space="preserve"> </v>
      </c>
      <c r="AM143" s="488">
        <v>4</v>
      </c>
      <c r="AN143" s="489">
        <v>12</v>
      </c>
      <c r="AO143" s="487" t="str">
        <f>E39</f>
        <v xml:space="preserve"> </v>
      </c>
      <c r="AP143" s="488">
        <v>1</v>
      </c>
      <c r="AQ143" s="489">
        <v>5</v>
      </c>
      <c r="AR143" s="487" t="str">
        <f>F39</f>
        <v>NS</v>
      </c>
      <c r="AS143" s="488">
        <v>4</v>
      </c>
      <c r="AT143" s="489">
        <v>13</v>
      </c>
      <c r="AU143" s="487" t="str">
        <f>G39</f>
        <v xml:space="preserve"> </v>
      </c>
      <c r="AV143" s="488">
        <v>4</v>
      </c>
      <c r="AW143" s="489">
        <v>13</v>
      </c>
      <c r="AX143" s="487" t="str">
        <f>H39</f>
        <v xml:space="preserve"> </v>
      </c>
      <c r="AY143" s="488">
        <v>5</v>
      </c>
      <c r="AZ143" s="489">
        <v>45</v>
      </c>
      <c r="BA143" s="310"/>
      <c r="BB143" s="310"/>
      <c r="BC143" s="310"/>
      <c r="BD143" s="310"/>
      <c r="BE143" s="310"/>
      <c r="BF143" s="310"/>
      <c r="BG143" s="310"/>
    </row>
    <row r="144" spans="13:59" ht="15.75" x14ac:dyDescent="0.2">
      <c r="M144" s="781" t="str">
        <f>IF(AE144=" "," ",".")</f>
        <v>.</v>
      </c>
      <c r="V144" s="766" t="s">
        <v>56</v>
      </c>
      <c r="W144" s="329"/>
      <c r="Y144" s="328">
        <v>24</v>
      </c>
      <c r="Z144" s="493" t="s">
        <v>136</v>
      </c>
      <c r="AA144" s="348"/>
      <c r="AB144" s="327"/>
      <c r="AE144" s="483" t="str">
        <f>'Master List'!C13</f>
        <v>T. PHAM</v>
      </c>
      <c r="AF144" s="484" t="str">
        <f>IF(OR(AF143&gt;" ",INDEX($V$121:$V$141,AG143)=0)," ",INDEX($V$121:$V$141,AG143))</f>
        <v>AFCS</v>
      </c>
      <c r="AG144" s="485"/>
      <c r="AH144" s="486"/>
      <c r="AI144" s="484" t="str">
        <f>IF(OR(AI143&gt;" ",INDEX($V$121:$V$141,AJ143)=0)," ",INDEX($V$121:$V$141,AJ143))</f>
        <v>DBCS</v>
      </c>
      <c r="AJ144" s="485"/>
      <c r="AK144" s="486"/>
      <c r="AL144" s="484" t="str">
        <f>IF(OR(AL143&gt;" ",INDEX($V$121:$V$141,AM143)=0)," ",INDEX($V$121:$V$141,AM143))</f>
        <v>DBCS</v>
      </c>
      <c r="AM144" s="485"/>
      <c r="AN144" s="486"/>
      <c r="AO144" s="484" t="str">
        <f>IF(OR(AO143&gt;" ",INDEX($V$121:$V$141,AP143)=0)," ",INDEX($V$121:$V$141,AP143))</f>
        <v>AFCS</v>
      </c>
      <c r="AP144" s="485"/>
      <c r="AQ144" s="486"/>
      <c r="AR144" s="691" t="str">
        <f>IF(OR(AR143&gt;" ",INDEX($V$121:$V$141,AS143)=0)," ",INDEX($V$121:$V$141,AS143))</f>
        <v xml:space="preserve"> </v>
      </c>
      <c r="AS144" s="692"/>
      <c r="AT144" s="693"/>
      <c r="AU144" s="484" t="str">
        <f>IF(OR(AU143&gt;" ",INDEX($V$121:$V$141,AV143)=0)," ",INDEX($V$121:$V$141,AV143))</f>
        <v>DBCS</v>
      </c>
      <c r="AV144" s="485"/>
      <c r="AW144" s="486"/>
      <c r="AX144" s="484" t="str">
        <f>IF(OR(AX143&gt;" ",INDEX($V$121:$V$141,AY143)=0)," ",INDEX($V$121:$V$141,AY143))</f>
        <v>FSS</v>
      </c>
      <c r="AY144" s="485"/>
      <c r="AZ144" s="486"/>
      <c r="BA144" s="310"/>
      <c r="BB144" s="310"/>
      <c r="BC144" s="310"/>
      <c r="BD144" s="310"/>
      <c r="BE144" s="310"/>
      <c r="BF144" s="310"/>
      <c r="BG144" s="310"/>
    </row>
    <row r="145" spans="13:59" ht="15.75" x14ac:dyDescent="0.2">
      <c r="M145" s="781" t="str">
        <f>IF(AE144=" "," ",".")</f>
        <v>.</v>
      </c>
      <c r="V145" s="766" t="s">
        <v>56</v>
      </c>
      <c r="W145" s="329"/>
      <c r="Y145" s="328">
        <v>25</v>
      </c>
      <c r="Z145" s="423" t="s">
        <v>230</v>
      </c>
      <c r="AA145" s="348"/>
      <c r="AB145" s="327"/>
      <c r="AE145" s="481"/>
      <c r="AF145" s="576" t="str">
        <f>IF(AF144=" ","",INDEX($Z$121:$Z$165,AH143))</f>
        <v>CARS/PARS/IPSS</v>
      </c>
      <c r="AG145" s="617"/>
      <c r="AH145" s="618"/>
      <c r="AI145" s="576" t="str">
        <f>IF(AI144=" ","",INDEX($Z$121:$Z$165,AK143))</f>
        <v>DB6/Test Deck</v>
      </c>
      <c r="AJ145" s="617"/>
      <c r="AK145" s="618"/>
      <c r="AL145" s="576" t="str">
        <f>IF(AL144=" ","",INDEX($Z$121:$Z$165,AN143))</f>
        <v>DB6/Test Deck</v>
      </c>
      <c r="AM145" s="617"/>
      <c r="AN145" s="618"/>
      <c r="AO145" s="576" t="str">
        <f>IF(AO144=" ","",INDEX($Z$121:$Z$165,AQ143))</f>
        <v>BDS/IJP</v>
      </c>
      <c r="AP145" s="617"/>
      <c r="AQ145" s="618"/>
      <c r="AR145" s="576" t="str">
        <f>IF(AR144=" ","",INDEX($Z$121:$Z$165,AT143))</f>
        <v/>
      </c>
      <c r="AS145" s="617"/>
      <c r="AT145" s="618"/>
      <c r="AU145" s="576" t="str">
        <f>IF(AU144=" ","",INDEX($Z$121:$Z$165,AW143))</f>
        <v>SORT PLAN/GAP</v>
      </c>
      <c r="AV145" s="617"/>
      <c r="AW145" s="618"/>
      <c r="AX145" s="576" t="str">
        <f>IF(AX144=" ","",INDEX($Z$121:$Z$165,AZ143))</f>
        <v xml:space="preserve"> </v>
      </c>
      <c r="AY145" s="617"/>
      <c r="AZ145" s="618"/>
      <c r="BA145" s="310"/>
      <c r="BB145" s="310"/>
      <c r="BC145" s="310"/>
      <c r="BD145" s="310"/>
      <c r="BE145" s="310"/>
      <c r="BF145" s="310"/>
      <c r="BG145" s="310"/>
    </row>
    <row r="146" spans="13:59" x14ac:dyDescent="0.2">
      <c r="M146" s="781" t="str">
        <f>IF(AE147=" "," ",".")</f>
        <v>.</v>
      </c>
      <c r="V146" s="766" t="s">
        <v>56</v>
      </c>
      <c r="W146" s="329"/>
      <c r="Y146" s="328">
        <v>26</v>
      </c>
      <c r="Z146" s="665" t="s">
        <v>295</v>
      </c>
      <c r="AA146" s="666"/>
      <c r="AB146" s="327"/>
      <c r="AE146" s="482"/>
      <c r="AF146" s="487" t="str">
        <f>B43</f>
        <v>AL</v>
      </c>
      <c r="AG146" s="488">
        <v>1</v>
      </c>
      <c r="AH146" s="489">
        <v>5</v>
      </c>
      <c r="AI146" s="487" t="str">
        <f>C43</f>
        <v xml:space="preserve"> </v>
      </c>
      <c r="AJ146" s="488">
        <v>4</v>
      </c>
      <c r="AK146" s="489">
        <v>12</v>
      </c>
      <c r="AL146" s="487" t="str">
        <f>D43</f>
        <v xml:space="preserve"> </v>
      </c>
      <c r="AM146" s="488">
        <v>1</v>
      </c>
      <c r="AN146" s="489">
        <v>5</v>
      </c>
      <c r="AO146" s="487" t="str">
        <f>E43</f>
        <v>NS</v>
      </c>
      <c r="AP146" s="488">
        <v>1</v>
      </c>
      <c r="AQ146" s="489">
        <v>5</v>
      </c>
      <c r="AR146" s="487" t="str">
        <f>F43</f>
        <v xml:space="preserve"> </v>
      </c>
      <c r="AS146" s="488">
        <v>1</v>
      </c>
      <c r="AT146" s="489">
        <v>5</v>
      </c>
      <c r="AU146" s="487" t="str">
        <f>G43</f>
        <v xml:space="preserve"> </v>
      </c>
      <c r="AV146" s="488">
        <v>1</v>
      </c>
      <c r="AW146" s="489">
        <v>5</v>
      </c>
      <c r="AX146" s="487" t="str">
        <f>H43</f>
        <v xml:space="preserve"> </v>
      </c>
      <c r="AY146" s="488">
        <v>1</v>
      </c>
      <c r="AZ146" s="489">
        <v>5</v>
      </c>
      <c r="BA146" s="310"/>
      <c r="BB146" s="310"/>
      <c r="BC146" s="310"/>
      <c r="BD146" s="310"/>
      <c r="BE146" s="310"/>
      <c r="BF146" s="310"/>
      <c r="BG146" s="310"/>
    </row>
    <row r="147" spans="13:59" ht="15.75" x14ac:dyDescent="0.2">
      <c r="M147" s="781" t="str">
        <f>IF(AE147=" "," ",".")</f>
        <v>.</v>
      </c>
      <c r="V147" s="766" t="s">
        <v>56</v>
      </c>
      <c r="W147" s="329"/>
      <c r="Y147" s="328">
        <v>27</v>
      </c>
      <c r="Z147" s="493" t="s">
        <v>315</v>
      </c>
      <c r="AA147" s="329"/>
      <c r="AB147" s="327"/>
      <c r="AD147" s="560"/>
      <c r="AE147" s="483" t="str">
        <f>'Master List'!C14</f>
        <v>C. PAN</v>
      </c>
      <c r="AF147" s="484" t="str">
        <f>IF(OR(AF146&gt;" ",INDEX($V$121:$V$141,AG146)=0)," ",INDEX($V$121:$V$141,AG146))</f>
        <v xml:space="preserve"> </v>
      </c>
      <c r="AG147" s="485"/>
      <c r="AH147" s="486"/>
      <c r="AI147" s="484" t="str">
        <f>IF(OR(AI146&gt;" ",INDEX($V$121:$V$141,AJ146)=0)," ",INDEX($V$121:$V$141,AJ146))</f>
        <v>DBCS</v>
      </c>
      <c r="AJ147" s="692"/>
      <c r="AK147" s="486"/>
      <c r="AL147" s="484" t="str">
        <f>IF(OR(AL146&gt;" ",INDEX($V$121:$V$141,AM146)=0)," ",INDEX($V$121:$V$141,AM146))</f>
        <v>AFCS</v>
      </c>
      <c r="AM147" s="692"/>
      <c r="AN147" s="486"/>
      <c r="AO147" s="484" t="str">
        <f>IF(OR(AO146&gt;" ",INDEX($V$121:$V$141,AP146)=0)," ",INDEX($V$121:$V$141,AP146))</f>
        <v xml:space="preserve"> </v>
      </c>
      <c r="AP147" s="485"/>
      <c r="AQ147" s="486"/>
      <c r="AR147" s="484" t="str">
        <f>IF(OR(AR146&gt;" ",INDEX($V$121:$V$141,AS146)=0)," ",INDEX($V$121:$V$141,AS146))</f>
        <v>AFCS</v>
      </c>
      <c r="AS147" s="485"/>
      <c r="AT147" s="486"/>
      <c r="AU147" s="484" t="str">
        <f>IF(OR(AU146&gt;" ",INDEX($V$121:$V$141,AV146)=0)," ",INDEX($V$121:$V$141,AV146))</f>
        <v>AFCS</v>
      </c>
      <c r="AV147" s="485"/>
      <c r="AW147" s="486"/>
      <c r="AX147" s="484" t="str">
        <f>IF(OR(AX146&gt;" ",INDEX($V$121:$V$141,AY146)=0)," ",INDEX($V$121:$V$141,AY146))</f>
        <v>AFCS</v>
      </c>
      <c r="AY147" s="485"/>
      <c r="AZ147" s="486"/>
      <c r="BA147" s="310"/>
      <c r="BB147" s="310"/>
      <c r="BC147" s="310"/>
      <c r="BD147" s="310"/>
      <c r="BE147" s="310"/>
      <c r="BF147" s="310"/>
      <c r="BG147" s="310"/>
    </row>
    <row r="148" spans="13:59" ht="15.75" x14ac:dyDescent="0.2">
      <c r="M148" s="781" t="str">
        <f>IF(AE147=" "," ",".")</f>
        <v>.</v>
      </c>
      <c r="V148" s="766" t="s">
        <v>56</v>
      </c>
      <c r="W148" s="329"/>
      <c r="Y148" s="328">
        <v>28</v>
      </c>
      <c r="Z148" s="493" t="s">
        <v>316</v>
      </c>
      <c r="AA148" s="326"/>
      <c r="AB148" s="327"/>
      <c r="AE148" s="481"/>
      <c r="AF148" s="576" t="str">
        <f>IF(AF147=" ","",INDEX($Z$121:$Z$165,AH146))</f>
        <v/>
      </c>
      <c r="AG148" s="617"/>
      <c r="AH148" s="618"/>
      <c r="AI148" s="576" t="str">
        <f>IF(AI147=" ","",INDEX($Z$121:$Z$165,AK146))</f>
        <v>DB6/Test Deck</v>
      </c>
      <c r="AJ148" s="617"/>
      <c r="AK148" s="618"/>
      <c r="AL148" s="653" t="str">
        <f>IF(AL147=" ","",INDEX($Z$121:$Z$165,AN146))</f>
        <v>BDS/IJP</v>
      </c>
      <c r="AM148" s="617"/>
      <c r="AN148" s="618"/>
      <c r="AO148" s="576" t="str">
        <f>IF(AO147=" ","",INDEX($Z$121:$Z$165,AQ146))</f>
        <v/>
      </c>
      <c r="AP148" s="617"/>
      <c r="AQ148" s="618"/>
      <c r="AR148" s="576" t="str">
        <f>IF(AR147=" ","",INDEX($Z$121:$Z$165,AT146))</f>
        <v>BDS/IJP</v>
      </c>
      <c r="AS148" s="617"/>
      <c r="AT148" s="618"/>
      <c r="AU148" s="576" t="str">
        <f>IF(AU147=" ","",INDEX($Z$121:$Z$165,AW146))</f>
        <v>BDS/IJP</v>
      </c>
      <c r="AV148" s="617"/>
      <c r="AW148" s="618"/>
      <c r="AX148" s="576" t="str">
        <f>IF(AX147=" ","",INDEX($Z$121:$Z$165,AZ146))</f>
        <v>BDS/IJP</v>
      </c>
      <c r="AY148" s="617"/>
      <c r="AZ148" s="618"/>
      <c r="BA148" s="310"/>
      <c r="BB148" s="310"/>
      <c r="BC148" s="310"/>
      <c r="BD148" s="310"/>
      <c r="BE148" s="310"/>
      <c r="BF148" s="310"/>
      <c r="BG148" s="310"/>
    </row>
    <row r="149" spans="13:59" ht="15.75" x14ac:dyDescent="0.2">
      <c r="M149" s="781" t="str">
        <f>IF(AE150=" "," ",".")</f>
        <v>.</v>
      </c>
      <c r="V149" s="766" t="s">
        <v>56</v>
      </c>
      <c r="W149" s="329"/>
      <c r="Y149" s="328">
        <v>29</v>
      </c>
      <c r="Z149" s="493" t="s">
        <v>241</v>
      </c>
      <c r="AA149" s="326"/>
      <c r="AB149" s="327"/>
      <c r="AE149" s="482"/>
      <c r="AF149" s="487" t="str">
        <f>B47</f>
        <v xml:space="preserve"> </v>
      </c>
      <c r="AG149" s="488">
        <v>4</v>
      </c>
      <c r="AH149" s="489">
        <v>27</v>
      </c>
      <c r="AI149" s="487" t="str">
        <f>C47</f>
        <v xml:space="preserve"> </v>
      </c>
      <c r="AJ149" s="488">
        <v>4</v>
      </c>
      <c r="AK149" s="489">
        <v>27</v>
      </c>
      <c r="AL149" s="487" t="str">
        <f>D47</f>
        <v>NS</v>
      </c>
      <c r="AM149" s="488">
        <v>4</v>
      </c>
      <c r="AN149" s="489">
        <v>27</v>
      </c>
      <c r="AO149" s="487" t="str">
        <f>E47</f>
        <v xml:space="preserve"> </v>
      </c>
      <c r="AP149" s="488">
        <v>4</v>
      </c>
      <c r="AQ149" s="489">
        <v>27</v>
      </c>
      <c r="AR149" s="487" t="str">
        <f>F47</f>
        <v xml:space="preserve"> </v>
      </c>
      <c r="AS149" s="488">
        <v>4</v>
      </c>
      <c r="AT149" s="489">
        <v>27</v>
      </c>
      <c r="AU149" s="487" t="str">
        <f>G47</f>
        <v xml:space="preserve"> </v>
      </c>
      <c r="AV149" s="488">
        <v>4</v>
      </c>
      <c r="AW149" s="489">
        <v>27</v>
      </c>
      <c r="AX149" s="487" t="str">
        <f>H47</f>
        <v xml:space="preserve"> </v>
      </c>
      <c r="AY149" s="488">
        <v>4</v>
      </c>
      <c r="AZ149" s="489">
        <v>27</v>
      </c>
      <c r="BA149" s="310"/>
      <c r="BB149" s="310"/>
      <c r="BC149" s="310"/>
      <c r="BD149" s="310"/>
      <c r="BE149" s="310"/>
      <c r="BF149" s="310"/>
      <c r="BG149" s="310"/>
    </row>
    <row r="150" spans="13:59" ht="15.75" x14ac:dyDescent="0.2">
      <c r="M150" s="781" t="str">
        <f>IF(AE150=" "," ",".")</f>
        <v>.</v>
      </c>
      <c r="V150" s="766" t="s">
        <v>56</v>
      </c>
      <c r="W150" s="329"/>
      <c r="Y150" s="328">
        <v>30</v>
      </c>
      <c r="Z150" s="493" t="s">
        <v>242</v>
      </c>
      <c r="AA150" s="326"/>
      <c r="AB150" s="327"/>
      <c r="AC150" s="180"/>
      <c r="AE150" s="483" t="str">
        <f>'Master List'!C15</f>
        <v>T. CHEN</v>
      </c>
      <c r="AF150" s="484" t="str">
        <f>IF(OR(AF149&gt;" ",INDEX($V$121:$V$141,AG149)=0)," ",INDEX($V$121:$V$141,AG149))</f>
        <v>DBCS</v>
      </c>
      <c r="AG150" s="485"/>
      <c r="AH150" s="486"/>
      <c r="AI150" s="484" t="str">
        <f>IF(OR(AI149&gt;" ",INDEX($V$121:$V$141,AJ149)=0)," ",INDEX($V$121:$V$141,AJ149))</f>
        <v>DBCS</v>
      </c>
      <c r="AJ150" s="485"/>
      <c r="AK150" s="486"/>
      <c r="AL150" s="484" t="str">
        <f>IF(OR(AL149&gt;" ",INDEX($V$121:$V$141,AM149)=0)," ",INDEX($V$121:$V$141,AM149))</f>
        <v xml:space="preserve"> </v>
      </c>
      <c r="AM150" s="485"/>
      <c r="AN150" s="486"/>
      <c r="AO150" s="484" t="str">
        <f>IF(OR(AO149&gt;" ",INDEX($V$121:$V$141,AP149)=0)," ",INDEX($V$121:$V$141,AP149))</f>
        <v>DBCS</v>
      </c>
      <c r="AP150" s="485"/>
      <c r="AQ150" s="486"/>
      <c r="AR150" s="484" t="str">
        <f>IF(OR(AR149&gt;" ",INDEX($V$121:$V$141,AS149)=0)," ",INDEX($V$121:$V$141,AS149))</f>
        <v>DBCS</v>
      </c>
      <c r="AS150" s="485"/>
      <c r="AT150" s="486"/>
      <c r="AU150" s="484" t="str">
        <f>IF(OR(AU149&gt;" ",INDEX($V$121:$V$141,AV149)=0)," ",INDEX($V$121:$V$141,AV149))</f>
        <v>DBCS</v>
      </c>
      <c r="AV150" s="485"/>
      <c r="AW150" s="486"/>
      <c r="AX150" s="484" t="str">
        <f>IF(OR(AX149&gt;" ",INDEX($V$121:$V$141,AY149)=0)," ",INDEX($V$121:$V$141,AY149))</f>
        <v>DBCS</v>
      </c>
      <c r="AY150" s="692"/>
      <c r="AZ150" s="486"/>
      <c r="BA150" s="310"/>
      <c r="BB150" s="310"/>
      <c r="BC150" s="310"/>
      <c r="BD150" s="310"/>
      <c r="BE150" s="310"/>
      <c r="BF150" s="310"/>
      <c r="BG150" s="310"/>
    </row>
    <row r="151" spans="13:59" ht="15.75" x14ac:dyDescent="0.2">
      <c r="M151" s="781" t="str">
        <f>IF(AE150=" "," ",".")</f>
        <v>.</v>
      </c>
      <c r="V151" s="766" t="s">
        <v>56</v>
      </c>
      <c r="W151" s="329"/>
      <c r="Y151" s="328">
        <v>31</v>
      </c>
      <c r="Z151" s="493" t="s">
        <v>301</v>
      </c>
      <c r="AA151" s="326"/>
      <c r="AB151" s="327"/>
      <c r="AE151" s="481"/>
      <c r="AF151" s="561" t="str">
        <f>IF(AF150=" ","",INDEX($Z$121:$Z$165,AH149))</f>
        <v>ECBM ROUTES</v>
      </c>
      <c r="AG151" s="617"/>
      <c r="AH151" s="618"/>
      <c r="AI151" s="561" t="str">
        <f>IF(AI150=" ","",INDEX($Z$121:$Z$165,AK149))</f>
        <v>ECBM ROUTES</v>
      </c>
      <c r="AJ151" s="617"/>
      <c r="AK151" s="618"/>
      <c r="AL151" s="681" t="str">
        <f>IF(AL150=" ","",INDEX($Z$121:$Z$165,AN149))</f>
        <v/>
      </c>
      <c r="AM151" s="617"/>
      <c r="AN151" s="618"/>
      <c r="AO151" s="561" t="str">
        <f>IF(AO150=" ","",INDEX($Z$121:$Z$165,AQ149))</f>
        <v>ECBM ROUTES</v>
      </c>
      <c r="AP151" s="617"/>
      <c r="AQ151" s="618"/>
      <c r="AR151" s="561" t="str">
        <f>IF(AR150=" ","",INDEX($Z$121:$Z$165,AT149))</f>
        <v>ECBM ROUTES</v>
      </c>
      <c r="AS151" s="617"/>
      <c r="AT151" s="618"/>
      <c r="AU151" s="561" t="str">
        <f>IF(AU150=" ","",INDEX($Z$121:$Z$165,AW149))</f>
        <v>ECBM ROUTES</v>
      </c>
      <c r="AV151" s="617"/>
      <c r="AW151" s="618"/>
      <c r="AX151" s="561" t="str">
        <f>IF(AX150=" ","",INDEX($Z$121:$Z$165,AZ149))</f>
        <v>ECBM ROUTES</v>
      </c>
      <c r="AY151" s="617"/>
      <c r="AZ151" s="618"/>
      <c r="BA151" s="310"/>
      <c r="BB151" s="310"/>
      <c r="BC151" s="310"/>
      <c r="BD151" s="310"/>
      <c r="BE151" s="310"/>
      <c r="BF151" s="310"/>
      <c r="BG151" s="310"/>
    </row>
    <row r="152" spans="13:59" ht="15.75" x14ac:dyDescent="0.2">
      <c r="M152" s="781" t="str">
        <f>IF(AE153=" "," ",".")</f>
        <v>.</v>
      </c>
      <c r="V152" s="766" t="s">
        <v>56</v>
      </c>
      <c r="W152" s="329"/>
      <c r="Y152" s="328">
        <v>32</v>
      </c>
      <c r="Z152" s="493" t="s">
        <v>328</v>
      </c>
      <c r="AA152" s="326"/>
      <c r="AB152" s="327"/>
      <c r="AE152" s="482"/>
      <c r="AF152" s="487" t="str">
        <f>B51</f>
        <v>*</v>
      </c>
      <c r="AG152" s="488">
        <v>4</v>
      </c>
      <c r="AH152" s="489">
        <v>13</v>
      </c>
      <c r="AI152" s="487" t="str">
        <f>C51</f>
        <v>*</v>
      </c>
      <c r="AJ152" s="488">
        <v>4</v>
      </c>
      <c r="AK152" s="489">
        <v>12</v>
      </c>
      <c r="AL152" s="487" t="str">
        <f>D51</f>
        <v>*</v>
      </c>
      <c r="AM152" s="488">
        <v>1</v>
      </c>
      <c r="AN152" s="489">
        <v>2</v>
      </c>
      <c r="AO152" s="487" t="str">
        <f>E51</f>
        <v>*</v>
      </c>
      <c r="AP152" s="488">
        <v>4</v>
      </c>
      <c r="AQ152" s="489">
        <v>13</v>
      </c>
      <c r="AR152" s="487" t="str">
        <f>F51</f>
        <v>*</v>
      </c>
      <c r="AS152" s="488">
        <v>4</v>
      </c>
      <c r="AT152" s="489">
        <v>32</v>
      </c>
      <c r="AU152" s="487" t="str">
        <f>G51</f>
        <v>*</v>
      </c>
      <c r="AV152" s="488">
        <v>4</v>
      </c>
      <c r="AW152" s="489">
        <v>13</v>
      </c>
      <c r="AX152" s="487" t="str">
        <f>H51</f>
        <v>*</v>
      </c>
      <c r="AY152" s="488">
        <v>4</v>
      </c>
      <c r="AZ152" s="489">
        <v>13</v>
      </c>
      <c r="BA152" s="310"/>
      <c r="BB152" s="310"/>
      <c r="BC152" s="310"/>
      <c r="BD152" s="310"/>
      <c r="BE152" s="310"/>
      <c r="BF152" s="310"/>
      <c r="BG152" s="310"/>
    </row>
    <row r="153" spans="13:59" ht="15.75" x14ac:dyDescent="0.2">
      <c r="M153" s="781" t="str">
        <f>IF(AE153=" "," ",".")</f>
        <v>.</v>
      </c>
      <c r="V153" s="766" t="s">
        <v>56</v>
      </c>
      <c r="W153" s="329"/>
      <c r="Y153" s="328">
        <v>33</v>
      </c>
      <c r="Z153" s="493" t="s">
        <v>244</v>
      </c>
      <c r="AA153" s="326"/>
      <c r="AB153" s="327"/>
      <c r="AE153" s="483" t="str">
        <f>'Master List'!C16</f>
        <v>W. STIERS</v>
      </c>
      <c r="AF153" s="484" t="str">
        <f>IF(OR(AF152&gt;" ",INDEX($V$121:$V$141,AG152)=0)," ",INDEX($V$121:$V$141,AG152))</f>
        <v xml:space="preserve"> </v>
      </c>
      <c r="AG153" s="485"/>
      <c r="AH153" s="486"/>
      <c r="AI153" s="484" t="str">
        <f>IF(OR(AI152&gt;" ",INDEX($V$121:$V$141,AJ152)=0)," ",INDEX($V$121:$V$141,AJ152))</f>
        <v xml:space="preserve"> </v>
      </c>
      <c r="AJ153" s="485"/>
      <c r="AK153" s="486"/>
      <c r="AL153" s="484" t="str">
        <f>IF(OR(AL152&gt;" ",INDEX($V$121:$V$141,AM152)=0)," ",INDEX($V$121:$V$141,AM152))</f>
        <v xml:space="preserve"> </v>
      </c>
      <c r="AM153" s="485"/>
      <c r="AN153" s="486"/>
      <c r="AO153" s="484" t="str">
        <f>IF(OR(AO152&gt;" ",INDEX($V$121:$V$141,AP152)=0)," ",INDEX($V$121:$V$141,AP152))</f>
        <v xml:space="preserve"> </v>
      </c>
      <c r="AP153" s="485"/>
      <c r="AQ153" s="486"/>
      <c r="AR153" s="484" t="str">
        <f>IF(OR(AR152&gt;" ",INDEX($V$121:$V$141,AS152)=0)," ",INDEX($V$121:$V$141,AS152))</f>
        <v xml:space="preserve"> </v>
      </c>
      <c r="AS153" s="485"/>
      <c r="AT153" s="486"/>
      <c r="AU153" s="484" t="str">
        <f>IF(OR(AU152&gt;" ",INDEX($V$121:$V$141,AV152)=0)," ",INDEX($V$121:$V$141,AV152))</f>
        <v xml:space="preserve"> </v>
      </c>
      <c r="AV153" s="485"/>
      <c r="AW153" s="486"/>
      <c r="AX153" s="484" t="str">
        <f>IF(OR(AX152&gt;" ",INDEX($V$121:$V$141,AY152)=0)," ",INDEX($V$121:$V$141,AY152))</f>
        <v xml:space="preserve"> </v>
      </c>
      <c r="AY153" s="485"/>
      <c r="AZ153" s="486"/>
      <c r="BA153" s="310"/>
      <c r="BB153" s="310"/>
      <c r="BC153" s="310"/>
      <c r="BD153" s="310"/>
      <c r="BE153" s="310"/>
      <c r="BF153" s="310"/>
      <c r="BG153" s="310"/>
    </row>
    <row r="154" spans="13:59" ht="15.75" x14ac:dyDescent="0.2">
      <c r="M154" s="781" t="str">
        <f>IF(AE153=" "," ",".")</f>
        <v>.</v>
      </c>
      <c r="V154" s="766" t="s">
        <v>56</v>
      </c>
      <c r="W154" s="329"/>
      <c r="Y154" s="328">
        <v>34</v>
      </c>
      <c r="Z154" s="493" t="s">
        <v>258</v>
      </c>
      <c r="AA154" s="326"/>
      <c r="AB154" s="327"/>
      <c r="AE154" s="481"/>
      <c r="AF154" s="561" t="str">
        <f>IF(AF153=" ","",INDEX($Z$121:$Z$165,AH152))</f>
        <v/>
      </c>
      <c r="AG154" s="617"/>
      <c r="AH154" s="618"/>
      <c r="AI154" s="561" t="str">
        <f>IF(AI153=" ","",INDEX($Z$121:$Z$165,AK152))</f>
        <v/>
      </c>
      <c r="AJ154" s="617"/>
      <c r="AK154" s="618"/>
      <c r="AL154" s="654" t="str">
        <f>IF(AL153=" ","",INDEX($Z$121:$Z$165,AN152))</f>
        <v/>
      </c>
      <c r="AM154" s="617"/>
      <c r="AN154" s="618"/>
      <c r="AO154" s="561" t="str">
        <f>IF(AO153=" ","",INDEX($Z$121:$Z$165,AQ152))</f>
        <v/>
      </c>
      <c r="AP154" s="617"/>
      <c r="AQ154" s="618"/>
      <c r="AR154" s="561" t="str">
        <f>IF(AR153=" ","",INDEX($Z$121:$Z$165,AT152))</f>
        <v/>
      </c>
      <c r="AS154" s="617"/>
      <c r="AT154" s="618"/>
      <c r="AU154" s="561" t="str">
        <f>IF(AU153=" ","",INDEX($Z$121:$Z$165,AW152))</f>
        <v/>
      </c>
      <c r="AV154" s="617"/>
      <c r="AW154" s="618"/>
      <c r="AX154" s="561" t="str">
        <f>IF(AX153=" ","",INDEX($Z$121:$Z$165,AZ152))</f>
        <v/>
      </c>
      <c r="AY154" s="617"/>
      <c r="AZ154" s="618"/>
      <c r="BA154" s="310"/>
      <c r="BB154" s="310"/>
      <c r="BC154" s="310"/>
      <c r="BD154" s="310"/>
      <c r="BE154" s="310"/>
      <c r="BF154" s="310"/>
      <c r="BG154" s="310"/>
    </row>
    <row r="155" spans="13:59" ht="15.75" x14ac:dyDescent="0.2">
      <c r="M155" s="781" t="str">
        <f>IF(AE156=" "," ",".")</f>
        <v>.</v>
      </c>
      <c r="V155" s="766" t="s">
        <v>56</v>
      </c>
      <c r="W155" s="329"/>
      <c r="Y155" s="328">
        <v>35</v>
      </c>
      <c r="Z155" s="493" t="s">
        <v>290</v>
      </c>
      <c r="AA155" s="326"/>
      <c r="AB155" s="327"/>
      <c r="AE155" s="482"/>
      <c r="AF155" s="487" t="str">
        <f>B55</f>
        <v xml:space="preserve"> </v>
      </c>
      <c r="AG155" s="488">
        <v>1</v>
      </c>
      <c r="AH155" s="489">
        <v>5</v>
      </c>
      <c r="AI155" s="487" t="str">
        <f>C55</f>
        <v xml:space="preserve"> </v>
      </c>
      <c r="AJ155" s="488">
        <v>1</v>
      </c>
      <c r="AK155" s="489">
        <v>41</v>
      </c>
      <c r="AL155" s="487" t="str">
        <f>D55</f>
        <v xml:space="preserve"> </v>
      </c>
      <c r="AM155" s="488">
        <v>1</v>
      </c>
      <c r="AN155" s="489">
        <v>5</v>
      </c>
      <c r="AO155" s="487" t="str">
        <f>E55</f>
        <v xml:space="preserve"> </v>
      </c>
      <c r="AP155" s="488">
        <v>1</v>
      </c>
      <c r="AQ155" s="489">
        <v>5</v>
      </c>
      <c r="AR155" s="487" t="str">
        <f>F55</f>
        <v xml:space="preserve"> </v>
      </c>
      <c r="AS155" s="488">
        <v>1</v>
      </c>
      <c r="AT155" s="489">
        <v>5</v>
      </c>
      <c r="AU155" s="487" t="str">
        <f>G55</f>
        <v>NS</v>
      </c>
      <c r="AV155" s="488">
        <v>1</v>
      </c>
      <c r="AW155" s="489">
        <v>5</v>
      </c>
      <c r="AX155" s="487" t="str">
        <f>H55</f>
        <v xml:space="preserve"> </v>
      </c>
      <c r="AY155" s="488">
        <v>1</v>
      </c>
      <c r="AZ155" s="489">
        <v>5</v>
      </c>
      <c r="BA155" s="310"/>
      <c r="BB155" s="310"/>
      <c r="BC155" s="310"/>
      <c r="BD155" s="310"/>
      <c r="BE155" s="310"/>
      <c r="BF155" s="310"/>
      <c r="BG155" s="310"/>
    </row>
    <row r="156" spans="13:59" ht="15.75" x14ac:dyDescent="0.2">
      <c r="M156" s="781" t="str">
        <f>IF(AE156=" "," ",".")</f>
        <v>.</v>
      </c>
      <c r="V156" s="766" t="s">
        <v>56</v>
      </c>
      <c r="W156" s="329"/>
      <c r="Y156" s="328">
        <v>36</v>
      </c>
      <c r="Z156" s="493" t="s">
        <v>250</v>
      </c>
      <c r="AA156" s="326"/>
      <c r="AB156" s="460"/>
      <c r="AE156" s="483" t="str">
        <f>'Master List'!C17</f>
        <v>J. HILL</v>
      </c>
      <c r="AF156" s="484" t="str">
        <f>IF(OR(AF155&gt;" ",INDEX($V$121:$V$141,AG155)=0)," ",INDEX($V$121:$V$141,AG155))</f>
        <v>AFCS</v>
      </c>
      <c r="AG156" s="485"/>
      <c r="AH156" s="486"/>
      <c r="AI156" s="484" t="str">
        <f>IF(OR(AI155&gt;" ",INDEX($V$121:$V$141,AJ155)=0)," ",INDEX($V$121:$V$141,AJ155))</f>
        <v>AFCS</v>
      </c>
      <c r="AJ156" s="485"/>
      <c r="AK156" s="486"/>
      <c r="AL156" s="484" t="str">
        <f>IF(OR(AL155&gt;" ",INDEX($V$121:$V$141,AM155)=0)," ",INDEX($V$121:$V$141,AM155))</f>
        <v>AFCS</v>
      </c>
      <c r="AM156" s="485"/>
      <c r="AN156" s="486"/>
      <c r="AO156" s="484" t="str">
        <f>IF(OR(AO155&gt;" ",INDEX($V$121:$V$141,AP155)=0)," ",INDEX($V$121:$V$141,AP155))</f>
        <v>AFCS</v>
      </c>
      <c r="AP156" s="485"/>
      <c r="AQ156" s="486"/>
      <c r="AR156" s="484" t="str">
        <f>IF(OR(AR155&gt;" ",INDEX($V$121:$V$141,AS155)=0)," ",INDEX($V$121:$V$141,AS155))</f>
        <v>AFCS</v>
      </c>
      <c r="AS156" s="485"/>
      <c r="AT156" s="486"/>
      <c r="AU156" s="484" t="str">
        <f>IF(OR(AU155&gt;" ",INDEX($V$121:$V$141,AV155)=0)," ",INDEX($V$121:$V$141,AV155))</f>
        <v xml:space="preserve"> </v>
      </c>
      <c r="AV156" s="485"/>
      <c r="AW156" s="486"/>
      <c r="AX156" s="484" t="str">
        <f>IF(OR(AX155&gt;" ",INDEX($V$121:$V$141,AY155)=0)," ",INDEX($V$121:$V$141,AY155))</f>
        <v>AFCS</v>
      </c>
      <c r="AY156" s="485"/>
      <c r="AZ156" s="486"/>
      <c r="BA156" s="310"/>
      <c r="BB156" s="310"/>
      <c r="BC156" s="310"/>
      <c r="BD156" s="310"/>
      <c r="BE156" s="310"/>
      <c r="BF156" s="310"/>
      <c r="BG156" s="310"/>
    </row>
    <row r="157" spans="13:59" ht="15.75" x14ac:dyDescent="0.2">
      <c r="M157" s="781" t="str">
        <f>IF(AE156=" "," ",".")</f>
        <v>.</v>
      </c>
      <c r="W157" s="329"/>
      <c r="Y157" s="328">
        <v>37</v>
      </c>
      <c r="Z157" s="508" t="s">
        <v>313</v>
      </c>
      <c r="AA157" s="326"/>
      <c r="AB157" s="327"/>
      <c r="AE157" s="481"/>
      <c r="AF157" s="561" t="str">
        <f>IF(AF156=" ","",INDEX($Z$121:$Z$165,AH155))</f>
        <v>BDS/IJP</v>
      </c>
      <c r="AG157" s="617"/>
      <c r="AH157" s="618"/>
      <c r="AI157" s="561" t="str">
        <f>IF(AI156=" ","",INDEX($Z$121:$Z$165,AK155))</f>
        <v>Belt Kit</v>
      </c>
      <c r="AJ157" s="617"/>
      <c r="AK157" s="618"/>
      <c r="AL157" s="654" t="str">
        <f>IF(AL156=" ","",INDEX($Z$121:$Z$165,AN155))</f>
        <v>BDS/IJP</v>
      </c>
      <c r="AM157" s="617"/>
      <c r="AN157" s="618"/>
      <c r="AO157" s="561" t="str">
        <f>IF(AO156=" ","",INDEX($Z$121:$Z$165,AQ155))</f>
        <v>BDS/IJP</v>
      </c>
      <c r="AP157" s="617"/>
      <c r="AQ157" s="618"/>
      <c r="AR157" s="561" t="str">
        <f>IF(AR156=" ","",INDEX($Z$121:$Z$165,AT155))</f>
        <v>BDS/IJP</v>
      </c>
      <c r="AS157" s="617"/>
      <c r="AT157" s="618"/>
      <c r="AU157" s="561" t="str">
        <f>IF(AU156=" ","",INDEX($Z$121:$Z$165,AW155))</f>
        <v/>
      </c>
      <c r="AV157" s="617"/>
      <c r="AW157" s="618"/>
      <c r="AX157" s="561" t="str">
        <f>IF(AX156=" ","",INDEX($Z$121:$Z$165,AZ155))</f>
        <v>BDS/IJP</v>
      </c>
      <c r="AY157" s="617"/>
      <c r="AZ157" s="618"/>
      <c r="BA157" s="310"/>
      <c r="BB157" s="310"/>
      <c r="BC157" s="310"/>
      <c r="BD157" s="310"/>
      <c r="BE157" s="310"/>
      <c r="BF157" s="310"/>
      <c r="BG157" s="310"/>
    </row>
    <row r="158" spans="13:59" ht="15.75" x14ac:dyDescent="0.2">
      <c r="M158" s="781" t="str">
        <f>IF(AE159=" "," ",".")</f>
        <v>.</v>
      </c>
      <c r="Y158" s="328">
        <v>38</v>
      </c>
      <c r="Z158" s="508" t="s">
        <v>313</v>
      </c>
      <c r="AA158" s="326"/>
      <c r="AB158" s="327"/>
      <c r="AE158" s="482"/>
      <c r="AF158" s="487" t="str">
        <f>B59</f>
        <v xml:space="preserve"> </v>
      </c>
      <c r="AG158" s="488">
        <v>14</v>
      </c>
      <c r="AH158" s="489">
        <v>42</v>
      </c>
      <c r="AI158" s="487" t="str">
        <f>C59</f>
        <v xml:space="preserve"> </v>
      </c>
      <c r="AJ158" s="488">
        <v>14</v>
      </c>
      <c r="AK158" s="489">
        <v>42</v>
      </c>
      <c r="AL158" s="487" t="str">
        <f>D59</f>
        <v>NS</v>
      </c>
      <c r="AM158" s="488">
        <v>4</v>
      </c>
      <c r="AN158" s="489">
        <v>12</v>
      </c>
      <c r="AO158" s="487" t="str">
        <f>E59</f>
        <v xml:space="preserve"> </v>
      </c>
      <c r="AP158" s="488">
        <v>4</v>
      </c>
      <c r="AQ158" s="489">
        <v>27</v>
      </c>
      <c r="AR158" s="487" t="str">
        <f>F59</f>
        <v xml:space="preserve"> </v>
      </c>
      <c r="AS158" s="488">
        <v>4</v>
      </c>
      <c r="AT158" s="489">
        <v>27</v>
      </c>
      <c r="AU158" s="487" t="str">
        <f>G59</f>
        <v xml:space="preserve"> </v>
      </c>
      <c r="AV158" s="488">
        <v>4</v>
      </c>
      <c r="AW158" s="489">
        <v>27</v>
      </c>
      <c r="AX158" s="487" t="str">
        <f>H59</f>
        <v xml:space="preserve"> </v>
      </c>
      <c r="AY158" s="488">
        <v>10</v>
      </c>
      <c r="AZ158" s="489">
        <v>42</v>
      </c>
      <c r="BA158" s="310"/>
      <c r="BB158" s="310"/>
      <c r="BC158" s="310"/>
      <c r="BD158" s="310"/>
      <c r="BE158" s="310"/>
      <c r="BF158" s="310"/>
      <c r="BG158" s="310"/>
    </row>
    <row r="159" spans="13:59" ht="15.75" x14ac:dyDescent="0.2">
      <c r="M159" s="781" t="str">
        <f>IF(AE159=" "," ",".")</f>
        <v>.</v>
      </c>
      <c r="Y159" s="328">
        <v>39</v>
      </c>
      <c r="Z159" s="508" t="s">
        <v>313</v>
      </c>
      <c r="AA159" s="326"/>
      <c r="AB159" s="327"/>
      <c r="AE159" s="483" t="str">
        <f>'Master List'!C18</f>
        <v>C. SANGEL</v>
      </c>
      <c r="AF159" s="484" t="str">
        <f>IF(OR(AF158&gt;" ",INDEX($V$121:$V$141,AG158)=0)," ",INDEX($V$121:$V$141,AG158))</f>
        <v>SPSS</v>
      </c>
      <c r="AG159" s="692"/>
      <c r="AH159" s="486"/>
      <c r="AI159" s="484" t="str">
        <f>IF(OR(AI158&gt;" ",INDEX($V$121:$V$141,AJ158)=0)," ",INDEX($V$121:$V$141,AJ158))</f>
        <v>SPSS</v>
      </c>
      <c r="AJ159" s="692"/>
      <c r="AK159" s="486"/>
      <c r="AL159" s="484" t="str">
        <f>IF(OR(AL158&gt;" ",INDEX($V$121:$V$141,AM158)=0)," ",INDEX($V$121:$V$141,AM158))</f>
        <v xml:space="preserve"> </v>
      </c>
      <c r="AM159" s="485"/>
      <c r="AN159" s="486"/>
      <c r="AO159" s="484" t="str">
        <f>IF(OR(AO158&gt;" ",INDEX($V$121:$V$141,AP158)=0)," ",INDEX($V$121:$V$141,AP158))</f>
        <v>DBCS</v>
      </c>
      <c r="AP159" s="485"/>
      <c r="AQ159" s="486"/>
      <c r="AR159" s="484" t="str">
        <f>IF(OR(AR158&gt;" ",INDEX($V$121:$V$141,AS158)=0)," ",INDEX($V$121:$V$141,AS158))</f>
        <v>DBCS</v>
      </c>
      <c r="AS159" s="485"/>
      <c r="AT159" s="486"/>
      <c r="AU159" s="484" t="str">
        <f>IF(OR(AU158&gt;" ",INDEX($V$121:$V$141,AV158)=0)," ",INDEX($V$121:$V$141,AV158))</f>
        <v>DBCS</v>
      </c>
      <c r="AV159" s="485"/>
      <c r="AW159" s="486"/>
      <c r="AX159" s="484" t="str">
        <f>IF(OR(AX158&gt;" ",INDEX($V$121:$V$141,AY158)=0)," ",INDEX($V$121:$V$141,AY158))</f>
        <v>AFSM</v>
      </c>
      <c r="AY159" s="846"/>
      <c r="AZ159" s="486"/>
      <c r="BA159" s="310"/>
      <c r="BB159" s="310"/>
      <c r="BC159" s="310"/>
      <c r="BD159" s="310"/>
      <c r="BE159" s="310"/>
      <c r="BF159" s="310"/>
      <c r="BG159" s="310"/>
    </row>
    <row r="160" spans="13:59" ht="15.75" x14ac:dyDescent="0.2">
      <c r="M160" s="781" t="str">
        <f>IF(AE159=" "," ",".")</f>
        <v>.</v>
      </c>
      <c r="Y160" s="328">
        <v>40</v>
      </c>
      <c r="Z160" s="508" t="s">
        <v>362</v>
      </c>
      <c r="AA160" s="326"/>
      <c r="AB160" s="327"/>
      <c r="AE160" s="481"/>
      <c r="AF160" s="561" t="str">
        <f>IF(AF159=" ","",INDEX($Z$121:$Z$165,AH158))</f>
        <v>UNIBUEUR</v>
      </c>
      <c r="AG160" s="617"/>
      <c r="AH160" s="618"/>
      <c r="AI160" s="561" t="str">
        <f>IF(AI159=" ","",INDEX($Z$121:$Z$165,AK158))</f>
        <v>UNIBUEUR</v>
      </c>
      <c r="AJ160" s="617"/>
      <c r="AK160" s="618"/>
      <c r="AL160" s="654" t="str">
        <f>IF(AL159=" ","",INDEX($Z$121:$Z$165,AN158))</f>
        <v/>
      </c>
      <c r="AM160" s="617"/>
      <c r="AN160" s="618"/>
      <c r="AO160" s="561" t="str">
        <f>IF(AO159=" ","",INDEX($Z$121:$Z$165,AQ158))</f>
        <v>ECBM ROUTES</v>
      </c>
      <c r="AP160" s="617"/>
      <c r="AQ160" s="618"/>
      <c r="AR160" s="561" t="str">
        <f>IF(AR159=" ","",INDEX($Z$121:$Z$165,AT158))</f>
        <v>ECBM ROUTES</v>
      </c>
      <c r="AS160" s="617"/>
      <c r="AT160" s="618"/>
      <c r="AU160" s="829" t="str">
        <f>IF(AU159=" ","",INDEX($Z$121:$Z$165,AW158))</f>
        <v>ECBM ROUTES</v>
      </c>
      <c r="AV160" s="617"/>
      <c r="AW160" s="618"/>
      <c r="AX160" s="829" t="str">
        <f>IF(AX159=" ","",INDEX($Z$121:$Z$165,AZ158))</f>
        <v>UNIBUEUR</v>
      </c>
      <c r="AY160" s="617"/>
      <c r="AZ160" s="618"/>
      <c r="BA160" s="310"/>
      <c r="BB160" s="310"/>
      <c r="BC160" s="310"/>
      <c r="BD160" s="310"/>
      <c r="BE160" s="310"/>
      <c r="BF160" s="310"/>
      <c r="BG160" s="310"/>
    </row>
    <row r="161" spans="13:59" ht="15.75" x14ac:dyDescent="0.2">
      <c r="M161" s="781" t="str">
        <f>IF(AE162=" "," ",".")</f>
        <v>.</v>
      </c>
      <c r="Y161" s="328">
        <v>41</v>
      </c>
      <c r="Z161" s="508" t="s">
        <v>320</v>
      </c>
      <c r="AA161" s="326"/>
      <c r="AB161" s="327"/>
      <c r="AE161" s="482"/>
      <c r="AF161" s="487" t="str">
        <f>B63</f>
        <v>TRVL</v>
      </c>
      <c r="AG161" s="488">
        <v>7</v>
      </c>
      <c r="AH161" s="489">
        <v>45</v>
      </c>
      <c r="AI161" s="682" t="str">
        <f>C63</f>
        <v>NS</v>
      </c>
      <c r="AJ161" s="488">
        <v>7</v>
      </c>
      <c r="AK161" s="683">
        <v>45</v>
      </c>
      <c r="AL161" s="682" t="str">
        <f>D63</f>
        <v xml:space="preserve"> </v>
      </c>
      <c r="AM161" s="488">
        <v>7</v>
      </c>
      <c r="AN161" s="683">
        <v>45</v>
      </c>
      <c r="AO161" s="487" t="str">
        <f>E63</f>
        <v xml:space="preserve"> </v>
      </c>
      <c r="AP161" s="488">
        <v>7</v>
      </c>
      <c r="AQ161" s="489">
        <v>45</v>
      </c>
      <c r="AR161" s="487" t="str">
        <f>F63</f>
        <v xml:space="preserve"> </v>
      </c>
      <c r="AS161" s="488">
        <v>7</v>
      </c>
      <c r="AT161" s="489">
        <v>45</v>
      </c>
      <c r="AU161" s="487" t="str">
        <f>G63</f>
        <v xml:space="preserve"> </v>
      </c>
      <c r="AV161" s="488">
        <v>7</v>
      </c>
      <c r="AW161" s="489">
        <v>45</v>
      </c>
      <c r="AX161" s="487" t="str">
        <f>H63</f>
        <v xml:space="preserve"> </v>
      </c>
      <c r="AY161" s="488">
        <v>7</v>
      </c>
      <c r="AZ161" s="490">
        <v>45</v>
      </c>
      <c r="BA161" s="310"/>
      <c r="BB161" s="310"/>
      <c r="BC161" s="310"/>
      <c r="BD161" s="310"/>
      <c r="BE161" s="310"/>
      <c r="BF161" s="310"/>
      <c r="BG161" s="310"/>
    </row>
    <row r="162" spans="13:59" ht="15.75" x14ac:dyDescent="0.2">
      <c r="M162" s="781" t="str">
        <f>IF(AE162=" "," ",".")</f>
        <v>.</v>
      </c>
      <c r="Y162" s="328">
        <v>42</v>
      </c>
      <c r="Z162" s="495" t="s">
        <v>323</v>
      </c>
      <c r="AA162" s="326"/>
      <c r="AB162" s="327"/>
      <c r="AE162" s="483" t="str">
        <f>'Master List'!C19</f>
        <v>T. GILES</v>
      </c>
      <c r="AF162" s="484" t="str">
        <f>IF(OR(AF161&gt;" ",INDEX($V$121:$V$141,AG161)=0)," ",INDEX($V$121:$V$141,AG161))</f>
        <v xml:space="preserve"> </v>
      </c>
      <c r="AG162" s="485"/>
      <c r="AH162" s="486"/>
      <c r="AI162" s="484" t="str">
        <f>IF(OR(AI161&gt;" ",INDEX($V$121:$V$141,AJ161)=0)," ",INDEX($V$121:$V$141,AJ161))</f>
        <v xml:space="preserve"> </v>
      </c>
      <c r="AJ162" s="485"/>
      <c r="AK162" s="486"/>
      <c r="AL162" s="484" t="str">
        <f>IF(OR(AL161&gt;" ",INDEX($V$121:$V$141,AM161)=0)," ",INDEX($V$121:$V$141,AM161))</f>
        <v>APPS 1</v>
      </c>
      <c r="AM162" s="485"/>
      <c r="AN162" s="486"/>
      <c r="AO162" s="484" t="str">
        <f>IF(OR(AO161&gt;" ",INDEX($V$121:$V$141,AP161)=0)," ",INDEX($V$121:$V$141,AP161))</f>
        <v>APPS 1</v>
      </c>
      <c r="AP162" s="485"/>
      <c r="AQ162" s="486"/>
      <c r="AR162" s="484" t="str">
        <f>IF(OR(AR161&gt;" ",INDEX($V$121:$V$141,AS161)=0)," ",INDEX($V$121:$V$141,AS161))</f>
        <v>APPS 1</v>
      </c>
      <c r="AS162" s="485"/>
      <c r="AT162" s="486"/>
      <c r="AU162" s="484" t="str">
        <f>IF(OR(AU161&gt;" ",INDEX($V$121:$V$141,AV161)=0)," ",INDEX($V$121:$V$141,AV161))</f>
        <v>APPS 1</v>
      </c>
      <c r="AV162" s="485"/>
      <c r="AW162" s="486"/>
      <c r="AX162" s="484" t="str">
        <f>IF(OR(AX161&gt;" ",INDEX($V$121:$V$141,AY161)=0)," ",INDEX($V$121:$V$141,AY161))</f>
        <v>APPS 1</v>
      </c>
      <c r="AY162" s="485"/>
      <c r="AZ162" s="486"/>
      <c r="BA162" s="310"/>
      <c r="BB162" s="310"/>
      <c r="BC162" s="310"/>
      <c r="BD162" s="310"/>
      <c r="BE162" s="310"/>
      <c r="BF162" s="310"/>
      <c r="BG162" s="310"/>
    </row>
    <row r="163" spans="13:59" ht="15.75" x14ac:dyDescent="0.2">
      <c r="M163" s="781" t="str">
        <f>IF(AE162=" "," ",".")</f>
        <v>.</v>
      </c>
      <c r="Y163" s="328">
        <v>43</v>
      </c>
      <c r="Z163" s="495" t="s">
        <v>325</v>
      </c>
      <c r="AA163" s="326"/>
      <c r="AB163" s="327"/>
      <c r="AE163" s="481"/>
      <c r="AF163" s="651" t="str">
        <f>IF(AF162=" ","",INDEX($Z$121:$Z$165,AH161))</f>
        <v/>
      </c>
      <c r="AG163" s="617"/>
      <c r="AH163" s="618"/>
      <c r="AI163" s="561" t="str">
        <f>IF(AI162=" ","",INDEX($Z$121:$Z$165,AK161))</f>
        <v/>
      </c>
      <c r="AJ163" s="617"/>
      <c r="AK163" s="618"/>
      <c r="AL163" s="654" t="str">
        <f>IF(AL162=" ","",INDEX($Z$121:$Z$165,AN161))</f>
        <v xml:space="preserve"> </v>
      </c>
      <c r="AM163" s="617"/>
      <c r="AN163" s="618"/>
      <c r="AO163" s="561" t="str">
        <f>IF(AO162=" ","",INDEX($Z$121:$Z$165,AQ161))</f>
        <v xml:space="preserve"> </v>
      </c>
      <c r="AP163" s="617"/>
      <c r="AQ163" s="618"/>
      <c r="AR163" s="561" t="str">
        <f>IF(AR162=" ","",INDEX($Z$121:$Z$165,AT161))</f>
        <v xml:space="preserve"> </v>
      </c>
      <c r="AS163" s="617"/>
      <c r="AT163" s="618"/>
      <c r="AU163" s="680" t="str">
        <f>IF(AU162=" ","",INDEX($Z$121:$Z$165,AW161))</f>
        <v xml:space="preserve"> </v>
      </c>
      <c r="AV163" s="617"/>
      <c r="AW163" s="618"/>
      <c r="AX163" s="561" t="str">
        <f>IF(AX162=" ","",INDEX($Z$121:$Z$165,AZ161))</f>
        <v xml:space="preserve"> </v>
      </c>
      <c r="AY163" s="617"/>
      <c r="AZ163" s="618"/>
      <c r="BA163" s="310"/>
      <c r="BB163" s="310"/>
      <c r="BC163" s="310"/>
      <c r="BD163" s="310"/>
      <c r="BE163" s="310"/>
      <c r="BF163" s="310"/>
      <c r="BG163" s="310"/>
    </row>
    <row r="164" spans="13:59" x14ac:dyDescent="0.2">
      <c r="M164" s="781" t="str">
        <f>IF(AE165=" "," ",".")</f>
        <v>.</v>
      </c>
      <c r="Y164" s="328">
        <v>44</v>
      </c>
      <c r="Z164" s="495" t="s">
        <v>322</v>
      </c>
      <c r="AA164" s="326"/>
      <c r="AB164" s="327"/>
      <c r="AE164" s="482"/>
      <c r="AF164" s="487" t="str">
        <f>B67</f>
        <v xml:space="preserve"> </v>
      </c>
      <c r="AG164" s="488">
        <v>4</v>
      </c>
      <c r="AH164" s="489">
        <v>37</v>
      </c>
      <c r="AI164" s="487" t="str">
        <f>C67</f>
        <v>NS</v>
      </c>
      <c r="AJ164" s="488">
        <v>10</v>
      </c>
      <c r="AK164" s="489">
        <v>42</v>
      </c>
      <c r="AL164" s="487" t="str">
        <f>D67</f>
        <v xml:space="preserve"> </v>
      </c>
      <c r="AM164" s="488">
        <v>4</v>
      </c>
      <c r="AN164" s="489">
        <v>37</v>
      </c>
      <c r="AO164" s="487" t="str">
        <f>E67</f>
        <v xml:space="preserve"> </v>
      </c>
      <c r="AP164" s="488">
        <v>4</v>
      </c>
      <c r="AQ164" s="489">
        <v>37</v>
      </c>
      <c r="AR164" s="487" t="str">
        <f>F67</f>
        <v xml:space="preserve"> </v>
      </c>
      <c r="AS164" s="488">
        <v>4</v>
      </c>
      <c r="AT164" s="489">
        <v>37</v>
      </c>
      <c r="AU164" s="487" t="str">
        <f>G67</f>
        <v xml:space="preserve"> </v>
      </c>
      <c r="AV164" s="488">
        <v>4</v>
      </c>
      <c r="AW164" s="489">
        <v>37</v>
      </c>
      <c r="AX164" s="487" t="str">
        <f>H67</f>
        <v xml:space="preserve"> </v>
      </c>
      <c r="AY164" s="488">
        <v>4</v>
      </c>
      <c r="AZ164" s="489">
        <v>37</v>
      </c>
      <c r="BA164" s="310"/>
      <c r="BB164" s="310"/>
      <c r="BC164" s="310"/>
      <c r="BD164" s="310"/>
      <c r="BE164" s="310"/>
      <c r="BF164" s="310"/>
      <c r="BG164" s="310"/>
    </row>
    <row r="165" spans="13:59" ht="15.75" x14ac:dyDescent="0.2">
      <c r="M165" s="781" t="str">
        <f>IF(AE165=" "," ",".")</f>
        <v>.</v>
      </c>
      <c r="W165" s="17" t="s">
        <v>220</v>
      </c>
      <c r="Y165" s="328">
        <v>45</v>
      </c>
      <c r="Z165" s="495" t="s">
        <v>56</v>
      </c>
      <c r="AA165" s="493" t="s">
        <v>164</v>
      </c>
      <c r="AB165" s="327"/>
      <c r="AE165" s="483" t="str">
        <f>'Master List'!C20</f>
        <v>S. HERNANDEZ</v>
      </c>
      <c r="AF165" s="484" t="str">
        <f>IF(OR(AF164&gt;" ",INDEX($V$121:$V$141,AG164)=0)," ",INDEX($V$121:$V$141,AG164))</f>
        <v>DBCS</v>
      </c>
      <c r="AG165" s="845"/>
      <c r="AH165" s="486"/>
      <c r="AI165" s="484" t="str">
        <f>IF(OR(AI164&gt;" ",INDEX($V$121:$V$141,AJ164)=0)," ",INDEX($V$121:$V$141,AJ164))</f>
        <v xml:space="preserve"> </v>
      </c>
      <c r="AJ165" s="485"/>
      <c r="AK165" s="486"/>
      <c r="AL165" s="484" t="str">
        <f>IF(OR(AL164&gt;" ",INDEX($V$121:$V$141,AM164)=0)," ",INDEX($V$121:$V$141,AM164))</f>
        <v>DBCS</v>
      </c>
      <c r="AM165" s="485"/>
      <c r="AN165" s="486"/>
      <c r="AO165" s="484" t="str">
        <f>IF(OR(AO164&gt;" ",INDEX($V$121:$V$141,AP164)=0)," ",INDEX($V$121:$V$141,AP164))</f>
        <v>DBCS</v>
      </c>
      <c r="AP165" s="485"/>
      <c r="AQ165" s="486"/>
      <c r="AR165" s="484" t="str">
        <f>IF(OR(AR164&gt;" ",INDEX($V$121:$V$141,AS164)=0)," ",INDEX($V$121:$V$141,AS164))</f>
        <v>DBCS</v>
      </c>
      <c r="AS165" s="485"/>
      <c r="AT165" s="486"/>
      <c r="AU165" s="484" t="str">
        <f>IF(OR(AU164&gt;" ",INDEX($V$121:$V$141,AV164)=0)," ",INDEX($V$121:$V$141,AV164))</f>
        <v>DBCS</v>
      </c>
      <c r="AV165" s="692"/>
      <c r="AW165" s="486"/>
      <c r="AX165" s="484" t="str">
        <f>IF(OR(AX164&gt;" ",INDEX($V$121:$V$141,AY164)=0)," ",INDEX($V$121:$V$141,AY164))</f>
        <v>DBCS</v>
      </c>
      <c r="AY165" s="688"/>
      <c r="AZ165" s="486"/>
      <c r="BA165" s="310"/>
      <c r="BB165" s="310"/>
      <c r="BC165" s="310"/>
      <c r="BD165" s="310"/>
      <c r="BE165" s="310"/>
      <c r="BF165" s="310"/>
      <c r="BG165" s="310"/>
    </row>
    <row r="166" spans="13:59" ht="15.75" x14ac:dyDescent="0.2">
      <c r="M166" s="781" t="str">
        <f>IF(AE165=" "," ",".")</f>
        <v>.</v>
      </c>
      <c r="V166" s="17">
        <v>11</v>
      </c>
      <c r="W166" s="329" t="s">
        <v>163</v>
      </c>
      <c r="Y166" s="355"/>
      <c r="Z166" s="334"/>
      <c r="AA166" s="461"/>
      <c r="AB166" s="334"/>
      <c r="AE166" s="481"/>
      <c r="AF166" s="561" t="str">
        <f>IF(AF165=" ","",INDEX($Z$121:$Z$165,AH164))</f>
        <v>HSTS/STRAPPER</v>
      </c>
      <c r="AG166" s="617"/>
      <c r="AH166" s="618"/>
      <c r="AI166" s="561" t="str">
        <f>IF(AI165=" ","",INDEX($Z$121:$Z$165,AK164))</f>
        <v/>
      </c>
      <c r="AJ166" s="617"/>
      <c r="AK166" s="618"/>
      <c r="AL166" s="561" t="str">
        <f>IF(AL165=" ","",INDEX($Z$121:$Z$165,AN164))</f>
        <v>HSTS/STRAPPER</v>
      </c>
      <c r="AM166" s="581"/>
      <c r="AN166" s="582"/>
      <c r="AO166" s="561" t="str">
        <f>IF(AO165=" ","",INDEX($Z$121:$Z$165,AQ164))</f>
        <v>HSTS/STRAPPER</v>
      </c>
      <c r="AP166" s="581"/>
      <c r="AQ166" s="582"/>
      <c r="AR166" s="561" t="str">
        <f>IF(AR165=" ","",INDEX($Z$121:$Z$165,AT164))</f>
        <v>HSTS/STRAPPER</v>
      </c>
      <c r="AS166" s="581"/>
      <c r="AT166" s="582"/>
      <c r="AU166" s="561" t="str">
        <f>IF(AU165=" ","",INDEX($Z$121:$Z$165,AW164))</f>
        <v>HSTS/STRAPPER</v>
      </c>
      <c r="AV166" s="581"/>
      <c r="AW166" s="582"/>
      <c r="AX166" s="561" t="str">
        <f>IF(AX165=" ","",INDEX($Z$121:$Z$165,AZ164))</f>
        <v>HSTS/STRAPPER</v>
      </c>
      <c r="AY166" s="581"/>
      <c r="AZ166" s="582"/>
      <c r="BA166" s="310"/>
      <c r="BB166" s="310"/>
      <c r="BC166" s="310"/>
      <c r="BD166" s="310"/>
      <c r="BE166" s="310"/>
      <c r="BF166" s="310"/>
      <c r="BG166" s="310"/>
    </row>
    <row r="167" spans="13:59" x14ac:dyDescent="0.2">
      <c r="M167" s="781" t="str">
        <f>IF(AE168=" "," ",".")</f>
        <v>.</v>
      </c>
      <c r="V167" s="17">
        <v>13</v>
      </c>
      <c r="W167" s="329" t="s">
        <v>192</v>
      </c>
      <c r="AE167" s="482"/>
      <c r="AF167" s="487" t="str">
        <f>B71</f>
        <v xml:space="preserve"> </v>
      </c>
      <c r="AG167" s="488">
        <v>4</v>
      </c>
      <c r="AH167" s="489">
        <v>27</v>
      </c>
      <c r="AI167" s="487" t="str">
        <f>C71</f>
        <v xml:space="preserve"> </v>
      </c>
      <c r="AJ167" s="488">
        <v>4</v>
      </c>
      <c r="AK167" s="489">
        <v>27</v>
      </c>
      <c r="AL167" s="487" t="str">
        <f>D71</f>
        <v xml:space="preserve"> </v>
      </c>
      <c r="AM167" s="488">
        <v>4</v>
      </c>
      <c r="AN167" s="489">
        <v>27</v>
      </c>
      <c r="AO167" s="487" t="str">
        <f>E71</f>
        <v>NS</v>
      </c>
      <c r="AP167" s="488">
        <v>9</v>
      </c>
      <c r="AQ167" s="489">
        <v>45</v>
      </c>
      <c r="AR167" s="487" t="str">
        <f>F71</f>
        <v>NS</v>
      </c>
      <c r="AS167" s="488">
        <v>9</v>
      </c>
      <c r="AT167" s="489">
        <v>45</v>
      </c>
      <c r="AU167" s="487" t="str">
        <f>G71</f>
        <v xml:space="preserve"> </v>
      </c>
      <c r="AV167" s="488">
        <v>4</v>
      </c>
      <c r="AW167" s="489">
        <v>27</v>
      </c>
      <c r="AX167" s="487" t="str">
        <f>H71</f>
        <v xml:space="preserve"> </v>
      </c>
      <c r="AY167" s="488">
        <v>4</v>
      </c>
      <c r="AZ167" s="489">
        <v>27</v>
      </c>
      <c r="BA167" s="310">
        <v>27</v>
      </c>
      <c r="BB167" s="310"/>
      <c r="BC167" s="310"/>
      <c r="BD167" s="310"/>
      <c r="BE167" s="310"/>
      <c r="BF167" s="310"/>
      <c r="BG167" s="310"/>
    </row>
    <row r="168" spans="13:59" ht="15.75" x14ac:dyDescent="0.2">
      <c r="M168" s="781" t="str">
        <f>IF(AE168=" "," ",".")</f>
        <v>.</v>
      </c>
      <c r="V168" s="17">
        <v>12</v>
      </c>
      <c r="W168" s="329" t="s">
        <v>190</v>
      </c>
      <c r="AE168" s="483" t="str">
        <f>'Master List'!C21</f>
        <v>S. ALEXANDER</v>
      </c>
      <c r="AF168" s="484" t="str">
        <f>IF(OR(AF167&gt;" ",INDEX($V$121:$V$141,AG167)=0)," ",INDEX($V$121:$V$141,AG167))</f>
        <v>DBCS</v>
      </c>
      <c r="AG168" s="485"/>
      <c r="AH168" s="486"/>
      <c r="AI168" s="484" t="str">
        <f>IF(OR(AI167&gt;" ",INDEX($V$121:$V$141,AJ167)=0)," ",INDEX($V$121:$V$141,AJ167))</f>
        <v>DBCS</v>
      </c>
      <c r="AJ168" s="485"/>
      <c r="AK168" s="486"/>
      <c r="AL168" s="484" t="str">
        <f>IF(OR(AL167&gt;" ",INDEX($V$121:$V$141,AM167)=0)," ",INDEX($V$121:$V$141,AM167))</f>
        <v>DBCS</v>
      </c>
      <c r="AM168" s="485"/>
      <c r="AN168" s="486"/>
      <c r="AO168" s="484" t="str">
        <f>IF(OR(AO167&gt;" ",INDEX($V$121:$V$141,AP167)=0)," ",INDEX($V$121:$V$141,AP167))</f>
        <v xml:space="preserve"> </v>
      </c>
      <c r="AP168" s="485"/>
      <c r="AQ168" s="486"/>
      <c r="AR168" s="484" t="str">
        <f>IF(OR(AR167&gt;" ",INDEX($V$121:$V$141,AS167)=0)," ",INDEX($V$121:$V$141,AS167))</f>
        <v xml:space="preserve"> </v>
      </c>
      <c r="AS168" s="485"/>
      <c r="AT168" s="486"/>
      <c r="AU168" s="484" t="str">
        <f>IF(OR(AU167&gt;" ",INDEX($V$121:$V$141,AV167)=0)," ",INDEX($V$121:$V$141,AV167))</f>
        <v>DBCS</v>
      </c>
      <c r="AV168" s="485"/>
      <c r="AW168" s="486"/>
      <c r="AX168" s="484" t="str">
        <f>IF(OR(AX167&gt;" ",INDEX($V$121:$V$141,AY167)=0)," ",INDEX($V$121:$V$141,AY167))</f>
        <v>DBCS</v>
      </c>
      <c r="AY168" s="485"/>
      <c r="AZ168" s="486"/>
      <c r="BA168" s="310"/>
      <c r="BB168" s="310"/>
      <c r="BC168" s="310"/>
      <c r="BD168" s="310"/>
      <c r="BE168" s="310"/>
      <c r="BF168" s="310"/>
      <c r="BG168" s="310"/>
    </row>
    <row r="169" spans="13:59" ht="15.75" x14ac:dyDescent="0.2">
      <c r="M169" s="781" t="str">
        <f>IF(AE168=" "," ",".")</f>
        <v>.</v>
      </c>
      <c r="V169" s="17">
        <v>12</v>
      </c>
      <c r="W169" s="329" t="s">
        <v>189</v>
      </c>
      <c r="AE169" s="481"/>
      <c r="AF169" s="561" t="str">
        <f>IF(AF168=" ","",INDEX($Z$121:$Z$165,AH167))</f>
        <v>ECBM ROUTES</v>
      </c>
      <c r="AG169" s="617"/>
      <c r="AH169" s="618"/>
      <c r="AI169" s="561" t="str">
        <f>IF(AI168=" ","",INDEX($Z$121:$Z$165,AK167))</f>
        <v>ECBM ROUTES</v>
      </c>
      <c r="AJ169" s="617"/>
      <c r="AK169" s="618"/>
      <c r="AL169" s="654" t="str">
        <f>IF(AL168=" ","",INDEX($Z$121:$Z$165,AN167))</f>
        <v>ECBM ROUTES</v>
      </c>
      <c r="AM169" s="617"/>
      <c r="AN169" s="618"/>
      <c r="AO169" s="561" t="str">
        <f>IF(AO168=" ","",INDEX($Z$121:$Z$165,AQ167))</f>
        <v/>
      </c>
      <c r="AP169" s="617"/>
      <c r="AQ169" s="618"/>
      <c r="AR169" s="561" t="str">
        <f>IF(AR168=" ","",INDEX($Z$121:$Z$165,AT167))</f>
        <v/>
      </c>
      <c r="AS169" s="617"/>
      <c r="AT169" s="618"/>
      <c r="AU169" s="561" t="str">
        <f>IF(AU168=" ","",INDEX($Z$121:$Z$165,AW167))</f>
        <v>ECBM ROUTES</v>
      </c>
      <c r="AV169" s="617"/>
      <c r="AW169" s="618"/>
      <c r="AX169" s="561" t="str">
        <f>IF(AX168=" ","",INDEX($Z$121:$Z$165,AZ167))</f>
        <v>ECBM ROUTES</v>
      </c>
      <c r="AY169" s="617"/>
      <c r="AZ169" s="618"/>
      <c r="BA169" s="310"/>
      <c r="BB169" s="310"/>
      <c r="BC169" s="310"/>
      <c r="BE169" s="310"/>
      <c r="BF169" s="310"/>
      <c r="BG169" s="310"/>
    </row>
    <row r="170" spans="13:59" x14ac:dyDescent="0.2">
      <c r="M170" s="781" t="str">
        <f>IF(AE171=" "," ",".")</f>
        <v>.</v>
      </c>
      <c r="W170" s="329"/>
      <c r="AE170" s="482"/>
      <c r="AF170" s="487" t="str">
        <f>B75</f>
        <v>NS</v>
      </c>
      <c r="AG170" s="488">
        <v>4</v>
      </c>
      <c r="AH170" s="489">
        <v>27</v>
      </c>
      <c r="AI170" s="487" t="str">
        <f>C75</f>
        <v>NS</v>
      </c>
      <c r="AJ170" s="488">
        <v>4</v>
      </c>
      <c r="AK170" s="489">
        <v>27</v>
      </c>
      <c r="AL170" s="487" t="str">
        <f>D75</f>
        <v>TRNG</v>
      </c>
      <c r="AM170" s="488">
        <v>4</v>
      </c>
      <c r="AN170" s="489">
        <v>27</v>
      </c>
      <c r="AO170" s="487" t="str">
        <f>E75</f>
        <v>TRNG</v>
      </c>
      <c r="AP170" s="488">
        <v>4</v>
      </c>
      <c r="AQ170" s="489">
        <v>27</v>
      </c>
      <c r="AR170" s="487" t="str">
        <f>F75</f>
        <v>TRNG</v>
      </c>
      <c r="AS170" s="488">
        <v>4</v>
      </c>
      <c r="AT170" s="489">
        <v>27</v>
      </c>
      <c r="AU170" s="487" t="str">
        <f>G75</f>
        <v>TRNG</v>
      </c>
      <c r="AV170" s="488">
        <v>4</v>
      </c>
      <c r="AW170" s="489">
        <v>27</v>
      </c>
      <c r="AX170" s="487" t="str">
        <f>H75</f>
        <v>TRNG</v>
      </c>
      <c r="AY170" s="488">
        <v>4</v>
      </c>
      <c r="AZ170" s="489">
        <v>27</v>
      </c>
      <c r="BA170" s="310"/>
      <c r="BB170" s="310"/>
      <c r="BC170" s="310"/>
      <c r="BD170" s="310"/>
      <c r="BE170" s="310"/>
      <c r="BF170" s="310"/>
      <c r="BG170" s="310"/>
    </row>
    <row r="171" spans="13:59" ht="15.75" x14ac:dyDescent="0.2">
      <c r="M171" s="781" t="str">
        <f>IF(AE171=" "," ",".")</f>
        <v>.</v>
      </c>
      <c r="W171" s="348"/>
      <c r="AE171" s="483" t="str">
        <f>'Master List'!C22</f>
        <v>Y. KWAN</v>
      </c>
      <c r="AF171" s="484" t="str">
        <f>IF(OR(AF170&gt;" ",INDEX($V$121:$V$141,AG170)=0)," ",INDEX($V$121:$V$141,AG170))</f>
        <v xml:space="preserve"> </v>
      </c>
      <c r="AG171" s="485"/>
      <c r="AH171" s="486"/>
      <c r="AI171" s="484" t="str">
        <f>IF(OR(AI170&gt;" ",INDEX($V$121:$V$141,AJ170)=0)," ",INDEX($V$121:$V$141,AJ170))</f>
        <v xml:space="preserve"> </v>
      </c>
      <c r="AJ171" s="485"/>
      <c r="AK171" s="486"/>
      <c r="AL171" s="484" t="str">
        <f>IF(OR(AL170&gt;" ",INDEX($V$121:$V$141,AM170)=0)," ",INDEX($V$121:$V$141,AM170))</f>
        <v xml:space="preserve"> </v>
      </c>
      <c r="AM171" s="485"/>
      <c r="AN171" s="486"/>
      <c r="AO171" s="484" t="str">
        <f>IF(OR(AO170&gt;" ",INDEX($V$121:$V$141,AP170)=0)," ",INDEX($V$121:$V$141,AP170))</f>
        <v xml:space="preserve"> </v>
      </c>
      <c r="AP171" s="485"/>
      <c r="AQ171" s="486"/>
      <c r="AR171" s="484" t="str">
        <f>IF(OR(AR170&gt;" ",INDEX($V$121:$V$141,AS170)=0)," ",INDEX($V$121:$V$141,AS170))</f>
        <v xml:space="preserve"> </v>
      </c>
      <c r="AS171" s="485"/>
      <c r="AT171" s="486"/>
      <c r="AU171" s="484" t="str">
        <f>IF(OR(AU170&gt;" ",INDEX($V$121:$V$141,AV170)=0)," ",INDEX($V$121:$V$141,AV170))</f>
        <v xml:space="preserve"> </v>
      </c>
      <c r="AV171" s="485"/>
      <c r="AW171" s="486"/>
      <c r="AX171" s="484" t="str">
        <f>IF(OR(AX170&gt;" ",INDEX($V$121:$V$141,AY170)=0)," ",INDEX($V$121:$V$141,AY170))</f>
        <v xml:space="preserve"> </v>
      </c>
      <c r="AY171" s="485"/>
      <c r="AZ171" s="486"/>
      <c r="BA171" s="310"/>
      <c r="BB171" s="310"/>
      <c r="BC171" s="310"/>
      <c r="BD171" s="310"/>
      <c r="BE171" s="310"/>
      <c r="BF171" s="310"/>
      <c r="BG171" s="310"/>
    </row>
    <row r="172" spans="13:59" ht="15.75" x14ac:dyDescent="0.2">
      <c r="M172" s="781" t="str">
        <f>IF(AE171=" "," ",".")</f>
        <v>.</v>
      </c>
      <c r="W172" s="329" t="s">
        <v>142</v>
      </c>
      <c r="AE172" s="481"/>
      <c r="AF172" s="561" t="str">
        <f>IF(AF171=" ","",INDEX($Z$121:$Z$165,AH170))</f>
        <v/>
      </c>
      <c r="AG172" s="617"/>
      <c r="AH172" s="618"/>
      <c r="AI172" s="561" t="str">
        <f>IF(AI171=" ","",INDEX($Z$121:$Z$165,AK170))</f>
        <v/>
      </c>
      <c r="AJ172" s="617"/>
      <c r="AK172" s="618"/>
      <c r="AL172" s="561" t="str">
        <f>IF(AL171=" ","",INDEX($Z$121:$Z$165,AN170))</f>
        <v/>
      </c>
      <c r="AM172" s="617"/>
      <c r="AN172" s="618"/>
      <c r="AO172" s="561" t="str">
        <f>IF(AO171=" ","",INDEX($Z$121:$Z$165,AQ170))</f>
        <v/>
      </c>
      <c r="AP172" s="617"/>
      <c r="AQ172" s="618"/>
      <c r="AR172" s="561" t="str">
        <f>IF(AR171=" ","",INDEX($Z$121:$Z$165,AT170))</f>
        <v/>
      </c>
      <c r="AS172" s="617"/>
      <c r="AT172" s="618"/>
      <c r="AU172" s="561" t="str">
        <f>IF(AU171=" ","",INDEX($Z$121:$Z$165,AW170))</f>
        <v/>
      </c>
      <c r="AV172" s="617"/>
      <c r="AW172" s="618"/>
      <c r="AX172" s="561" t="str">
        <f>IF(AX171=" ","",INDEX($Z$121:$Z$165,AZ170))</f>
        <v/>
      </c>
      <c r="AY172" s="617"/>
      <c r="AZ172" s="618"/>
      <c r="BA172" s="310"/>
      <c r="BB172" s="310"/>
      <c r="BC172" s="310"/>
      <c r="BD172" s="310"/>
      <c r="BE172" s="310"/>
      <c r="BF172" s="310"/>
      <c r="BG172" s="310"/>
    </row>
    <row r="173" spans="13:59" ht="15" customHeight="1" x14ac:dyDescent="0.2">
      <c r="M173" s="781" t="str">
        <f>IF(AE174=" "," ",".")</f>
        <v>.</v>
      </c>
      <c r="W173" s="329" t="s">
        <v>176</v>
      </c>
      <c r="AE173" s="482"/>
      <c r="AF173" s="487" t="str">
        <f>B79</f>
        <v xml:space="preserve"> </v>
      </c>
      <c r="AG173" s="488">
        <v>4</v>
      </c>
      <c r="AH173" s="489">
        <v>27</v>
      </c>
      <c r="AI173" s="487" t="str">
        <f>C79</f>
        <v xml:space="preserve"> </v>
      </c>
      <c r="AJ173" s="488">
        <v>4</v>
      </c>
      <c r="AK173" s="489">
        <v>27</v>
      </c>
      <c r="AL173" s="487" t="str">
        <f>D79</f>
        <v xml:space="preserve"> </v>
      </c>
      <c r="AM173" s="488">
        <v>4</v>
      </c>
      <c r="AN173" s="489">
        <v>27</v>
      </c>
      <c r="AO173" s="487" t="str">
        <f>E79</f>
        <v xml:space="preserve"> </v>
      </c>
      <c r="AP173" s="488">
        <v>1</v>
      </c>
      <c r="AQ173" s="489">
        <v>5</v>
      </c>
      <c r="AR173" s="487" t="str">
        <f>F79</f>
        <v>NS</v>
      </c>
      <c r="AS173" s="488">
        <v>4</v>
      </c>
      <c r="AT173" s="489">
        <v>27</v>
      </c>
      <c r="AU173" s="487" t="str">
        <f>G79</f>
        <v xml:space="preserve"> </v>
      </c>
      <c r="AV173" s="488">
        <v>1</v>
      </c>
      <c r="AW173" s="489">
        <v>5</v>
      </c>
      <c r="AX173" s="487" t="str">
        <f>H79</f>
        <v xml:space="preserve"> </v>
      </c>
      <c r="AY173" s="488">
        <v>1</v>
      </c>
      <c r="AZ173" s="489">
        <v>5</v>
      </c>
      <c r="BA173" s="310"/>
      <c r="BB173" s="310"/>
      <c r="BC173" s="310"/>
      <c r="BD173" s="310"/>
      <c r="BE173" s="310"/>
      <c r="BF173" s="310"/>
      <c r="BG173" s="310"/>
    </row>
    <row r="174" spans="13:59" ht="15.75" x14ac:dyDescent="0.2">
      <c r="M174" s="781" t="str">
        <f>IF(AE174=" "," ",".")</f>
        <v>.</v>
      </c>
      <c r="AE174" s="483" t="str">
        <f>'Master List'!C23</f>
        <v>R. AQUINO</v>
      </c>
      <c r="AF174" s="484" t="str">
        <f>IF(OR(AF173&gt;" ",INDEX($V$121:$V$141,AG173)=0)," ",INDEX($V$121:$V$141,AG173))</f>
        <v>DBCS</v>
      </c>
      <c r="AG174" s="485"/>
      <c r="AH174" s="486"/>
      <c r="AI174" s="484" t="str">
        <f>IF(OR(AI173&gt;" ",INDEX($V$121:$V$141,AJ173)=0)," ",INDEX($V$121:$V$141,AJ173))</f>
        <v>DBCS</v>
      </c>
      <c r="AJ174" s="485"/>
      <c r="AK174" s="486"/>
      <c r="AL174" s="484" t="str">
        <f>IF(OR(AL173&gt;" ",INDEX($V$121:$V$141,AM173)=0)," ",INDEX($V$121:$V$141,AM173))</f>
        <v>DBCS</v>
      </c>
      <c r="AM174" s="485"/>
      <c r="AN174" s="486"/>
      <c r="AO174" s="484" t="str">
        <f>IF(OR(AO173&gt;" ",INDEX($V$121:$V$141,AP173)=0)," ",INDEX($V$121:$V$141,AP173))</f>
        <v>AFCS</v>
      </c>
      <c r="AP174" s="485"/>
      <c r="AQ174" s="486"/>
      <c r="AR174" s="484" t="str">
        <f>IF(OR(AR173&gt;" ",INDEX($V$121:$V$141,AS173)=0)," ",INDEX($V$121:$V$141,AS173))</f>
        <v xml:space="preserve"> </v>
      </c>
      <c r="AS174" s="485"/>
      <c r="AT174" s="486"/>
      <c r="AU174" s="484" t="str">
        <f>IF(OR(AU173&gt;" ",INDEX($V$121:$V$141,AV173)=0)," ",INDEX($V$121:$V$141,AV173))</f>
        <v>AFCS</v>
      </c>
      <c r="AV174" s="485"/>
      <c r="AW174" s="486"/>
      <c r="AX174" s="484" t="str">
        <f>IF(OR(AX173&gt;" ",INDEX($V$121:$V$141,AY173)=0)," ",INDEX($V$121:$V$141,AY173))</f>
        <v>AFCS</v>
      </c>
      <c r="AY174" s="485"/>
      <c r="AZ174" s="486"/>
      <c r="BA174" s="310"/>
      <c r="BB174" s="310"/>
      <c r="BC174" s="310"/>
      <c r="BD174" s="310"/>
      <c r="BE174" s="310"/>
      <c r="BF174" s="310"/>
      <c r="BG174" s="310"/>
    </row>
    <row r="175" spans="13:59" ht="15.75" x14ac:dyDescent="0.2">
      <c r="M175" s="781" t="str">
        <f>IF(AE174=" "," ",".")</f>
        <v>.</v>
      </c>
      <c r="AE175" s="481"/>
      <c r="AF175" s="561" t="str">
        <f>IF(AF174=" ","",INDEX($Z$121:$Z$165,AH173))</f>
        <v>ECBM ROUTES</v>
      </c>
      <c r="AG175" s="617"/>
      <c r="AH175" s="618"/>
      <c r="AI175" s="561" t="str">
        <f>IF(AI174=" ","",INDEX($Z$121:$Z$165,AK173))</f>
        <v>ECBM ROUTES</v>
      </c>
      <c r="AJ175" s="617"/>
      <c r="AK175" s="618"/>
      <c r="AL175" s="561" t="str">
        <f>IF(AL174=" ","",INDEX($Z$121:$Z$165,AN173))</f>
        <v>ECBM ROUTES</v>
      </c>
      <c r="AM175" s="617"/>
      <c r="AN175" s="618"/>
      <c r="AO175" s="561" t="str">
        <f>IF(AO174=" ","",INDEX($Z$121:$Z$165,AQ173))</f>
        <v>BDS/IJP</v>
      </c>
      <c r="AP175" s="617"/>
      <c r="AQ175" s="618"/>
      <c r="AR175" s="561" t="str">
        <f>IF(AR174=" ","",INDEX($Z$121:$Z$165,AT173))</f>
        <v/>
      </c>
      <c r="AS175" s="617"/>
      <c r="AT175" s="618"/>
      <c r="AU175" s="561" t="str">
        <f>IF(AU174=" ","",INDEX($Z$121:$Z$165,AW173))</f>
        <v>BDS/IJP</v>
      </c>
      <c r="AV175" s="617"/>
      <c r="AW175" s="618"/>
      <c r="AX175" s="561" t="str">
        <f>IF(AX174=" ","",INDEX($Z$121:$Z$165,AZ173))</f>
        <v>BDS/IJP</v>
      </c>
      <c r="AY175" s="617"/>
      <c r="AZ175" s="618"/>
      <c r="BA175" s="310"/>
      <c r="BB175" s="310"/>
      <c r="BC175" s="310"/>
      <c r="BD175" s="310"/>
      <c r="BE175" s="310"/>
      <c r="BF175" s="310"/>
      <c r="BG175" s="310"/>
    </row>
    <row r="176" spans="13:59" x14ac:dyDescent="0.2">
      <c r="M176" s="781" t="str">
        <f>IF(AE177=" "," ",".")</f>
        <v>.</v>
      </c>
      <c r="AE176" s="482"/>
      <c r="AF176" s="487" t="str">
        <f>B83</f>
        <v xml:space="preserve"> </v>
      </c>
      <c r="AG176" s="488">
        <v>4</v>
      </c>
      <c r="AH176" s="489">
        <v>27</v>
      </c>
      <c r="AI176" s="487" t="str">
        <f>C83</f>
        <v xml:space="preserve"> </v>
      </c>
      <c r="AJ176" s="488">
        <v>4</v>
      </c>
      <c r="AK176" s="489">
        <v>27</v>
      </c>
      <c r="AL176" s="487" t="str">
        <f>D83</f>
        <v xml:space="preserve"> </v>
      </c>
      <c r="AM176" s="488">
        <v>4</v>
      </c>
      <c r="AN176" s="489">
        <v>27</v>
      </c>
      <c r="AO176" s="487" t="str">
        <f>E83</f>
        <v>NS</v>
      </c>
      <c r="AP176" s="488">
        <v>4</v>
      </c>
      <c r="AQ176" s="489">
        <v>27</v>
      </c>
      <c r="AR176" s="487" t="str">
        <f>F83</f>
        <v xml:space="preserve"> </v>
      </c>
      <c r="AS176" s="488">
        <v>4</v>
      </c>
      <c r="AT176" s="489">
        <v>27</v>
      </c>
      <c r="AU176" s="487" t="str">
        <f>G83</f>
        <v xml:space="preserve"> </v>
      </c>
      <c r="AV176" s="488">
        <v>4</v>
      </c>
      <c r="AW176" s="489">
        <v>27</v>
      </c>
      <c r="AX176" s="487" t="str">
        <f>H83</f>
        <v xml:space="preserve"> </v>
      </c>
      <c r="AY176" s="488">
        <v>4</v>
      </c>
      <c r="AZ176" s="489">
        <v>27</v>
      </c>
      <c r="BA176" s="310"/>
      <c r="BB176" s="310"/>
      <c r="BC176" s="310"/>
      <c r="BD176" s="310"/>
      <c r="BE176" s="310"/>
      <c r="BF176" s="310"/>
      <c r="BG176" s="310"/>
    </row>
    <row r="177" spans="13:59" ht="15.75" x14ac:dyDescent="0.2">
      <c r="M177" s="781" t="str">
        <f>IF(AE177=" "," ",".")</f>
        <v>.</v>
      </c>
      <c r="AE177" s="483" t="str">
        <f>'Master List'!C24</f>
        <v>D. CURRY</v>
      </c>
      <c r="AF177" s="484" t="str">
        <f>IF(OR(AF176&gt;" ",INDEX($V$121:$V$141,AG176)=0)," ",INDEX($V$121:$V$141,AG176))</f>
        <v>DBCS</v>
      </c>
      <c r="AG177" s="485"/>
      <c r="AH177" s="486"/>
      <c r="AI177" s="484" t="str">
        <f>IF(OR(AI176&gt;" ",INDEX($V$121:$V$141,AJ176)=0)," ",INDEX($V$121:$V$141,AJ176))</f>
        <v>DBCS</v>
      </c>
      <c r="AJ177" s="485"/>
      <c r="AK177" s="486"/>
      <c r="AL177" s="484" t="str">
        <f>IF(OR(AL176&gt;" ",INDEX($V$121:$V$141,AM176)=0)," ",INDEX($V$121:$V$141,AM176))</f>
        <v>DBCS</v>
      </c>
      <c r="AM177" s="485"/>
      <c r="AN177" s="486"/>
      <c r="AO177" s="484" t="str">
        <f>IF(OR(AO176&gt;" ",INDEX($V$121:$V$141,AP176)=0)," ",INDEX($V$121:$V$141,AP176))</f>
        <v xml:space="preserve"> </v>
      </c>
      <c r="AP177" s="485"/>
      <c r="AQ177" s="486"/>
      <c r="AR177" s="484" t="str">
        <f>IF(OR(AR176&gt;" ",INDEX($V$121:$V$141,AS176)=0)," ",INDEX($V$121:$V$141,AS176))</f>
        <v>DBCS</v>
      </c>
      <c r="AS177" s="485"/>
      <c r="AT177" s="486"/>
      <c r="AU177" s="484" t="str">
        <f>IF(OR(AU176&gt;" ",INDEX($V$121:$V$141,AV176)=0)," ",INDEX($V$121:$V$141,AV176))</f>
        <v>DBCS</v>
      </c>
      <c r="AV177" s="485"/>
      <c r="AW177" s="486"/>
      <c r="AX177" s="484" t="str">
        <f>IF(OR(AX176&gt;" ",INDEX($V$121:$V$141,AY176)=0)," ",INDEX($V$121:$V$141,AY176))</f>
        <v>DBCS</v>
      </c>
      <c r="AY177" s="485"/>
      <c r="AZ177" s="486"/>
      <c r="BA177" s="764"/>
      <c r="BB177" s="310"/>
      <c r="BC177" s="310"/>
      <c r="BD177" s="310"/>
      <c r="BE177" s="310"/>
      <c r="BF177" s="310"/>
      <c r="BG177" s="310"/>
    </row>
    <row r="178" spans="13:59" ht="15.75" x14ac:dyDescent="0.2">
      <c r="M178" s="781" t="str">
        <f>IF(AE177=" "," ",".")</f>
        <v>.</v>
      </c>
      <c r="AE178" s="481"/>
      <c r="AF178" s="706" t="str">
        <f>IF(AF177=" ","",INDEX($Z$121:$Z$165,AH176))</f>
        <v>ECBM ROUTES</v>
      </c>
      <c r="AG178" s="617"/>
      <c r="AH178" s="618"/>
      <c r="AI178" s="706" t="str">
        <f>IF(AI177=" ","",INDEX($Z$121:$Z$165,AK176))</f>
        <v>ECBM ROUTES</v>
      </c>
      <c r="AJ178" s="617"/>
      <c r="AK178" s="618"/>
      <c r="AL178" s="706" t="str">
        <f>IF(AL177=" ","",INDEX($Z$121:$Z$165,AN176))</f>
        <v>ECBM ROUTES</v>
      </c>
      <c r="AM178" s="617"/>
      <c r="AN178" s="618"/>
      <c r="AO178" s="706" t="str">
        <f>IF(AO177=" ","",INDEX($Z$121:$Z$165,AQ176))</f>
        <v/>
      </c>
      <c r="AP178" s="617"/>
      <c r="AQ178" s="618"/>
      <c r="AR178" s="706" t="str">
        <f>IF(AR177=" ","",INDEX($Z$121:$Z$165,AT176))</f>
        <v>ECBM ROUTES</v>
      </c>
      <c r="AS178" s="617"/>
      <c r="AT178" s="618"/>
      <c r="AU178" s="706" t="str">
        <f>IF(AU177=" ","",INDEX($Z$121:$Z$165,AW176))</f>
        <v>ECBM ROUTES</v>
      </c>
      <c r="AV178" s="617"/>
      <c r="AW178" s="618"/>
      <c r="AX178" s="706" t="str">
        <f>IF(AX177=" ","",INDEX($Z$121:$Z$165,AZ176))</f>
        <v>ECBM ROUTES</v>
      </c>
      <c r="AY178" s="617"/>
      <c r="AZ178" s="618"/>
      <c r="BA178" s="764"/>
      <c r="BB178" s="310"/>
      <c r="BC178" s="310"/>
      <c r="BD178" s="310"/>
      <c r="BE178" s="310"/>
      <c r="BF178" s="310"/>
      <c r="BG178" s="310"/>
    </row>
    <row r="179" spans="13:59" x14ac:dyDescent="0.2">
      <c r="M179" s="781" t="str">
        <f>IF(AE180=" "," ",".")</f>
        <v>.</v>
      </c>
      <c r="AE179" s="482"/>
      <c r="AF179" s="763" t="str">
        <f>B87</f>
        <v>*</v>
      </c>
      <c r="AG179" s="488">
        <v>10</v>
      </c>
      <c r="AH179" s="489">
        <v>42</v>
      </c>
      <c r="AI179" s="763" t="str">
        <f>C87</f>
        <v>*</v>
      </c>
      <c r="AJ179" s="488">
        <v>10</v>
      </c>
      <c r="AK179" s="489">
        <v>42</v>
      </c>
      <c r="AL179" s="763" t="str">
        <f>D87</f>
        <v>*</v>
      </c>
      <c r="AM179" s="488">
        <v>10</v>
      </c>
      <c r="AN179" s="489">
        <v>42</v>
      </c>
      <c r="AO179" s="763" t="str">
        <f>E87</f>
        <v>*</v>
      </c>
      <c r="AP179" s="488">
        <v>10</v>
      </c>
      <c r="AQ179" s="489">
        <v>42</v>
      </c>
      <c r="AR179" s="763" t="str">
        <f>F87</f>
        <v>NS</v>
      </c>
      <c r="AS179" s="488">
        <v>15</v>
      </c>
      <c r="AT179" s="489">
        <v>27</v>
      </c>
      <c r="AU179" s="763" t="str">
        <f>G87</f>
        <v>NS</v>
      </c>
      <c r="AV179" s="488">
        <v>15</v>
      </c>
      <c r="AW179" s="489">
        <v>27</v>
      </c>
      <c r="AX179" s="763" t="str">
        <f>H87</f>
        <v>*</v>
      </c>
      <c r="AY179" s="488">
        <v>10</v>
      </c>
      <c r="AZ179" s="489">
        <v>42</v>
      </c>
      <c r="BA179" s="764"/>
      <c r="BB179" s="310"/>
      <c r="BC179" s="310"/>
      <c r="BD179" s="310"/>
      <c r="BE179" s="310"/>
      <c r="BF179" s="310"/>
      <c r="BG179" s="310"/>
    </row>
    <row r="180" spans="13:59" ht="15.75" x14ac:dyDescent="0.2">
      <c r="M180" s="781" t="str">
        <f>IF(AE180=" "," ",".")</f>
        <v>.</v>
      </c>
      <c r="AE180" s="483" t="str">
        <f>'Master List'!C25</f>
        <v>A. BEECHING</v>
      </c>
      <c r="AF180" s="484" t="str">
        <f>IF(OR(AF179&gt;" ",INDEX($V$121:$V$141,AG179)=0)," ",INDEX($V$121:$V$141,AG179))</f>
        <v xml:space="preserve"> </v>
      </c>
      <c r="AG180" s="485"/>
      <c r="AH180" s="486"/>
      <c r="AI180" s="484" t="str">
        <f>IF(OR(AI179&gt;" ",INDEX($V$121:$V$141,AJ179)=0)," ",INDEX($V$121:$V$141,AJ179))</f>
        <v xml:space="preserve"> </v>
      </c>
      <c r="AJ180" s="485"/>
      <c r="AK180" s="486"/>
      <c r="AL180" s="484" t="str">
        <f>IF(OR(AL179&gt;" ",INDEX($V$121:$V$141,AM179)=0)," ",INDEX($V$121:$V$141,AM179))</f>
        <v xml:space="preserve"> </v>
      </c>
      <c r="AM180" s="485"/>
      <c r="AN180" s="486"/>
      <c r="AO180" s="484" t="str">
        <f>IF(OR(AO179&gt;" ",INDEX($V$121:$V$141,AP179)=0)," ",INDEX($V$121:$V$141,AP179))</f>
        <v xml:space="preserve"> </v>
      </c>
      <c r="AP180" s="485"/>
      <c r="AQ180" s="486"/>
      <c r="AR180" s="484" t="str">
        <f>IF(OR(AR179&gt;" ",INDEX($V$121:$V$141,AS179)=0)," ",INDEX($V$121:$V$141,AS179))</f>
        <v xml:space="preserve"> </v>
      </c>
      <c r="AS180" s="485"/>
      <c r="AT180" s="486"/>
      <c r="AU180" s="484" t="str">
        <f>IF(OR(AU179&gt;" ",INDEX($V$121:$V$141,AV179)=0)," ",INDEX($V$121:$V$141,AV179))</f>
        <v xml:space="preserve"> </v>
      </c>
      <c r="AV180" s="485"/>
      <c r="AW180" s="486"/>
      <c r="AX180" s="484" t="str">
        <f>IF(OR(AX179&gt;" ",INDEX($V$121:$V$141,AY179)=0)," ",INDEX($V$121:$V$141,AY179))</f>
        <v xml:space="preserve"> </v>
      </c>
      <c r="AY180" s="485"/>
      <c r="AZ180" s="486"/>
      <c r="BA180" s="167"/>
    </row>
    <row r="181" spans="13:59" ht="15.75" customHeight="1" x14ac:dyDescent="0.2">
      <c r="M181" s="781" t="str">
        <f>IF(AE180=" "," ",".")</f>
        <v>.</v>
      </c>
      <c r="AE181" s="481"/>
      <c r="AF181" s="706" t="str">
        <f>IF(AF180=" ","",INDEX($Z$121:$Z$165,AH179))</f>
        <v/>
      </c>
      <c r="AG181" s="617"/>
      <c r="AH181" s="618"/>
      <c r="AI181" s="706" t="str">
        <f>IF(AI180=" ","",INDEX($Z$121:$Z$165,AK179))</f>
        <v/>
      </c>
      <c r="AJ181" s="617"/>
      <c r="AK181" s="618"/>
      <c r="AL181" s="706" t="str">
        <f>IF(AL180=" ","",INDEX($Z$121:$Z$165,AN179))</f>
        <v/>
      </c>
      <c r="AM181" s="617"/>
      <c r="AN181" s="618"/>
      <c r="AO181" s="706" t="str">
        <f>IF(AO180=" ","",INDEX($Z$121:$Z$165,AQ179))</f>
        <v/>
      </c>
      <c r="AP181" s="617"/>
      <c r="AQ181" s="618"/>
      <c r="AR181" s="706" t="str">
        <f>IF(AR180=" ","",INDEX($Z$121:$Z$165,AT179))</f>
        <v/>
      </c>
      <c r="AS181" s="617"/>
      <c r="AT181" s="618"/>
      <c r="AU181" s="706" t="str">
        <f>IF(AU180=" ","",INDEX($Z$121:$Z$165,AW179))</f>
        <v/>
      </c>
      <c r="AV181" s="617"/>
      <c r="AW181" s="618"/>
      <c r="AX181" s="706" t="str">
        <f>IF(AX180=" ","",INDEX($Z$121:$Z$165,AZ179))</f>
        <v/>
      </c>
      <c r="AY181" s="617"/>
      <c r="AZ181" s="618"/>
      <c r="BA181" s="167"/>
    </row>
    <row r="182" spans="13:59" ht="16.5" customHeight="1" x14ac:dyDescent="0.2">
      <c r="M182" s="8" t="str">
        <f>IF(AE183=" "," ",".")</f>
        <v>.</v>
      </c>
      <c r="AE182" s="482"/>
      <c r="AF182" s="763">
        <f>B91</f>
        <v>0</v>
      </c>
      <c r="AG182" s="488">
        <v>15</v>
      </c>
      <c r="AH182" s="489">
        <v>45</v>
      </c>
      <c r="AI182" s="763">
        <f>C91</f>
        <v>0</v>
      </c>
      <c r="AJ182" s="488">
        <v>15</v>
      </c>
      <c r="AK182" s="489">
        <v>45</v>
      </c>
      <c r="AL182" s="763">
        <f>D91</f>
        <v>0</v>
      </c>
      <c r="AM182" s="488">
        <v>15</v>
      </c>
      <c r="AN182" s="489">
        <v>45</v>
      </c>
      <c r="AO182" s="763">
        <f>E91</f>
        <v>0</v>
      </c>
      <c r="AP182" s="488">
        <v>15</v>
      </c>
      <c r="AQ182" s="489">
        <v>45</v>
      </c>
      <c r="AR182" s="763">
        <f>F91</f>
        <v>0</v>
      </c>
      <c r="AS182" s="488">
        <v>15</v>
      </c>
      <c r="AT182" s="489">
        <v>45</v>
      </c>
      <c r="AU182" s="763">
        <f>G91</f>
        <v>0</v>
      </c>
      <c r="AV182" s="488">
        <v>15</v>
      </c>
      <c r="AW182" s="489">
        <v>27</v>
      </c>
      <c r="AX182" s="763">
        <f>H91</f>
        <v>0</v>
      </c>
      <c r="AY182" s="488">
        <v>15</v>
      </c>
      <c r="AZ182" s="489">
        <v>27</v>
      </c>
      <c r="BA182" s="167"/>
    </row>
    <row r="183" spans="13:59" ht="16.5" customHeight="1" x14ac:dyDescent="0.2">
      <c r="M183" s="8" t="str">
        <f>IF(AE183=" "," ",".")</f>
        <v>.</v>
      </c>
      <c r="AE183" s="483">
        <f>'Master List'!C26</f>
        <v>0</v>
      </c>
      <c r="AF183" s="484" t="str">
        <f>IF(OR(AF182&gt;" ",INDEX($V$121:$V$141,AG182)=0)," ",INDEX($V$121:$V$141,AG182))</f>
        <v xml:space="preserve"> </v>
      </c>
      <c r="AG183" s="812"/>
      <c r="AH183" s="486"/>
      <c r="AI183" s="484" t="str">
        <f>IF(OR(AI182&gt;" ",INDEX($V$121:$V$141,AJ182)=0)," ",INDEX($V$121:$V$141,AJ182))</f>
        <v xml:space="preserve"> </v>
      </c>
      <c r="AJ183" s="485"/>
      <c r="AK183" s="486"/>
      <c r="AL183" s="484" t="str">
        <f>IF(OR(AL182&gt;" ",INDEX($V$121:$V$141,AM182)=0)," ",INDEX($V$121:$V$141,AM182))</f>
        <v xml:space="preserve"> </v>
      </c>
      <c r="AM183" s="485"/>
      <c r="AN183" s="486"/>
      <c r="AO183" s="484" t="str">
        <f>IF(OR(AO182&gt;" ",INDEX($V$121:$V$141,AP182)=0)," ",INDEX($V$121:$V$141,AP182))</f>
        <v xml:space="preserve"> </v>
      </c>
      <c r="AP183" s="485"/>
      <c r="AQ183" s="486"/>
      <c r="AR183" s="484" t="str">
        <f>IF(OR(AR182&gt;" ",INDEX($V$121:$V$141,AS182)=0)," ",INDEX($V$121:$V$141,AS182))</f>
        <v xml:space="preserve"> </v>
      </c>
      <c r="AS183" s="485"/>
      <c r="AT183" s="486"/>
      <c r="AU183" s="484" t="str">
        <f>IF(OR(AU182&gt;" ",INDEX($V$121:$V$141,AV182)=0)," ",INDEX($V$121:$V$141,AV182))</f>
        <v xml:space="preserve"> </v>
      </c>
      <c r="AV183" s="485"/>
      <c r="AW183" s="486"/>
      <c r="AX183" s="484" t="str">
        <f>IF(OR(AX182&gt;" ",INDEX($V$121:$V$141,AY182)=0)," ",INDEX($V$121:$V$141,AY182))</f>
        <v xml:space="preserve"> </v>
      </c>
      <c r="AY183" s="485"/>
      <c r="AZ183" s="486"/>
      <c r="BA183" s="167"/>
    </row>
    <row r="184" spans="13:59" ht="16.5" customHeight="1" x14ac:dyDescent="0.2">
      <c r="M184" s="8" t="str">
        <f>IF(AE183=" "," ",".")</f>
        <v>.</v>
      </c>
      <c r="AE184" s="481"/>
      <c r="AF184" s="706" t="str">
        <f>IF(AF183=" ","",INDEX($Z$121:$Z$165,AH182))</f>
        <v/>
      </c>
      <c r="AG184" s="617"/>
      <c r="AH184" s="618"/>
      <c r="AI184" s="706" t="str">
        <f>IF(AI183=" ","",INDEX($Z$121:$Z$165,AK182))</f>
        <v/>
      </c>
      <c r="AJ184" s="617"/>
      <c r="AK184" s="618"/>
      <c r="AL184" s="706" t="str">
        <f>IF(AL183=" ","",INDEX($Z$121:$Z$165,AN182))</f>
        <v/>
      </c>
      <c r="AM184" s="617"/>
      <c r="AN184" s="618"/>
      <c r="AO184" s="706" t="str">
        <f>IF(AO183=" ","",INDEX($Z$121:$Z$165,AQ182))</f>
        <v/>
      </c>
      <c r="AP184" s="617"/>
      <c r="AQ184" s="618"/>
      <c r="AR184" s="706" t="str">
        <f>IF(AR183=" ","",INDEX($Z$121:$Z$165,AT182))</f>
        <v/>
      </c>
      <c r="AS184" s="617"/>
      <c r="AT184" s="618"/>
      <c r="AU184" s="706" t="str">
        <f>IF(AU183=" ","",INDEX($Z$121:$Z$165,AW182))</f>
        <v/>
      </c>
      <c r="AV184" s="617"/>
      <c r="AW184" s="618"/>
      <c r="AX184" s="706" t="str">
        <f>IF(AX183=" ","",INDEX($Z$121:$Z$165,AZ182))</f>
        <v/>
      </c>
      <c r="AY184" s="617"/>
      <c r="AZ184" s="618"/>
      <c r="BA184" s="167"/>
    </row>
    <row r="185" spans="13:59" ht="16.5" customHeight="1" x14ac:dyDescent="0.2">
      <c r="M185" s="8" t="str">
        <f>IF(AE186=" "," ",".")</f>
        <v>.</v>
      </c>
      <c r="AB185" s="478"/>
      <c r="AC185" s="478"/>
      <c r="AD185" s="478"/>
      <c r="AE185" s="482"/>
      <c r="AF185" s="763">
        <f>B95</f>
        <v>0</v>
      </c>
      <c r="AG185" s="763">
        <v>15</v>
      </c>
      <c r="AH185" s="763">
        <v>45</v>
      </c>
      <c r="AI185" s="763">
        <f>C95</f>
        <v>0</v>
      </c>
      <c r="AJ185" s="763">
        <v>15</v>
      </c>
      <c r="AK185" s="763">
        <v>45</v>
      </c>
      <c r="AL185" s="763">
        <f>D95</f>
        <v>0</v>
      </c>
      <c r="AM185" s="488">
        <v>15</v>
      </c>
      <c r="AN185" s="489">
        <v>45</v>
      </c>
      <c r="AO185" s="763">
        <f>E95</f>
        <v>0</v>
      </c>
      <c r="AP185" s="488">
        <v>15</v>
      </c>
      <c r="AQ185" s="489">
        <v>45</v>
      </c>
      <c r="AR185" s="763">
        <f>F95</f>
        <v>0</v>
      </c>
      <c r="AS185" s="488">
        <v>15</v>
      </c>
      <c r="AT185" s="489">
        <v>27</v>
      </c>
      <c r="AU185" s="763">
        <f>G95</f>
        <v>0</v>
      </c>
      <c r="AV185" s="488">
        <v>15</v>
      </c>
      <c r="AW185" s="489">
        <v>27</v>
      </c>
      <c r="AX185" s="763">
        <f>H95</f>
        <v>0</v>
      </c>
      <c r="AY185" s="488">
        <v>15</v>
      </c>
      <c r="AZ185" s="489">
        <v>27</v>
      </c>
      <c r="BA185" s="580"/>
      <c r="BB185" s="580"/>
    </row>
    <row r="186" spans="13:59" ht="15.75" customHeight="1" x14ac:dyDescent="0.2">
      <c r="M186" s="8" t="str">
        <f>IF(AE186=" "," ",".")</f>
        <v>.</v>
      </c>
      <c r="AB186" s="478"/>
      <c r="AC186" s="478"/>
      <c r="AD186" s="478"/>
      <c r="AE186" s="483">
        <f>'Master List'!C27</f>
        <v>0</v>
      </c>
      <c r="AF186" s="484" t="str">
        <f>IF(OR(AF185&gt;" ",INDEX($V$121:$V$141,AG185)=0)," ",INDEX($V$121:$V$141,AG185))</f>
        <v xml:space="preserve"> </v>
      </c>
      <c r="AG186" s="485"/>
      <c r="AH186" s="486"/>
      <c r="AI186" s="484" t="str">
        <f>IF(OR(AI185&gt;" ",INDEX($V$121:$V$141,AJ185)=0)," ",INDEX($V$121:$V$141,AJ185))</f>
        <v xml:space="preserve"> </v>
      </c>
      <c r="AJ186" s="485"/>
      <c r="AK186" s="486"/>
      <c r="AL186" s="484" t="str">
        <f>IF(OR(AL185&gt;" ",INDEX($V$121:$V$141,AM185)=0)," ",INDEX($V$121:$V$141,AM185))</f>
        <v xml:space="preserve"> </v>
      </c>
      <c r="AM186" s="485"/>
      <c r="AN186" s="486"/>
      <c r="AO186" s="484" t="str">
        <f>IF(OR(AO185&gt;" ",INDEX($V$121:$V$141,AP185)=0)," ",INDEX($V$121:$V$141,AP185))</f>
        <v xml:space="preserve"> </v>
      </c>
      <c r="AP186" s="485"/>
      <c r="AQ186" s="486"/>
      <c r="AR186" s="484" t="str">
        <f>IF(OR(AR185&gt;" ",INDEX($V$121:$V$141,AS185)=0)," ",INDEX($V$121:$V$141,AS185))</f>
        <v xml:space="preserve"> </v>
      </c>
      <c r="AS186" s="485"/>
      <c r="AT186" s="486"/>
      <c r="AU186" s="484" t="str">
        <f>IF(OR(AU185&gt;" ",INDEX($V$121:$V$141,AV185)=0)," ",INDEX($V$121:$V$141,AV185))</f>
        <v xml:space="preserve"> </v>
      </c>
      <c r="AV186" s="485"/>
      <c r="AW186" s="486"/>
      <c r="AX186" s="484" t="str">
        <f>IF(OR(AX185&gt;" ",INDEX($V$121:$V$141,AY185)=0)," ",INDEX($V$121:$V$141,AY185))</f>
        <v xml:space="preserve"> </v>
      </c>
      <c r="AY186" s="485"/>
      <c r="AZ186" s="486"/>
      <c r="BA186" s="580"/>
      <c r="BB186" s="580"/>
    </row>
    <row r="187" spans="13:59" ht="16.5" customHeight="1" x14ac:dyDescent="0.2">
      <c r="M187" s="8" t="str">
        <f>IF(AE186=" "," ",".")</f>
        <v>.</v>
      </c>
      <c r="AB187" s="478"/>
      <c r="AC187" s="478"/>
      <c r="AD187" s="478"/>
      <c r="AE187" s="481"/>
      <c r="AF187" s="706" t="str">
        <f>IF(AF186=" ","",INDEX($Z$121:$Z$165,AH185))</f>
        <v/>
      </c>
      <c r="AG187" s="617"/>
      <c r="AH187" s="618"/>
      <c r="AI187" s="706" t="str">
        <f>IF(AI186=" ","",INDEX($Z$121:$Z$165,AK185))</f>
        <v/>
      </c>
      <c r="AJ187" s="617"/>
      <c r="AK187" s="618"/>
      <c r="AL187" s="706" t="str">
        <f>IF(AL186=" ","",INDEX($Z$121:$Z$165,AN185))</f>
        <v/>
      </c>
      <c r="AM187" s="617"/>
      <c r="AN187" s="618"/>
      <c r="AO187" s="706" t="str">
        <f>IF(AO186=" ","",INDEX($Z$121:$Z$165,AQ185))</f>
        <v/>
      </c>
      <c r="AP187" s="617"/>
      <c r="AQ187" s="618"/>
      <c r="AR187" s="706" t="str">
        <f>IF(AR186=" ","",INDEX($Z$121:$Z$165,AT185))</f>
        <v/>
      </c>
      <c r="AS187" s="617"/>
      <c r="AT187" s="618"/>
      <c r="AU187" s="706" t="str">
        <f>IF(AU186=" ","",INDEX($Z$121:$Z$165,AW185))</f>
        <v/>
      </c>
      <c r="AV187" s="617"/>
      <c r="AW187" s="618"/>
      <c r="AX187" s="706" t="str">
        <f>IF(AX186=" ","",INDEX($Z$121:$Z$165,AZ185))</f>
        <v/>
      </c>
      <c r="AY187" s="617"/>
      <c r="AZ187" s="618"/>
      <c r="BA187" s="580"/>
      <c r="BB187" s="580"/>
    </row>
    <row r="188" spans="13:59" ht="16.5" customHeight="1" x14ac:dyDescent="0.2">
      <c r="M188" s="8"/>
      <c r="AB188" s="478"/>
      <c r="AC188" s="478"/>
      <c r="AD188" s="478"/>
      <c r="AE188" s="482"/>
      <c r="AF188" s="763">
        <f>B99</f>
        <v>0</v>
      </c>
      <c r="AG188" s="763">
        <v>15</v>
      </c>
      <c r="AH188" s="763">
        <v>45</v>
      </c>
      <c r="AI188" s="763">
        <f>C98</f>
        <v>0</v>
      </c>
      <c r="AJ188" s="763">
        <v>15</v>
      </c>
      <c r="AK188" s="763">
        <v>45</v>
      </c>
      <c r="AL188" s="763">
        <f>B99</f>
        <v>0</v>
      </c>
      <c r="AM188" s="488">
        <v>15</v>
      </c>
      <c r="AN188" s="489">
        <v>45</v>
      </c>
      <c r="AO188" s="763">
        <f>E99</f>
        <v>0</v>
      </c>
      <c r="AP188" s="488">
        <v>15</v>
      </c>
      <c r="AQ188" s="489">
        <v>37</v>
      </c>
      <c r="AR188" s="763">
        <f>F98</f>
        <v>0</v>
      </c>
      <c r="AS188" s="488">
        <v>15</v>
      </c>
      <c r="AT188" s="489">
        <v>23</v>
      </c>
      <c r="AU188" s="763">
        <f>G98</f>
        <v>0</v>
      </c>
      <c r="AV188" s="488">
        <v>15</v>
      </c>
      <c r="AW188" s="489">
        <v>42</v>
      </c>
      <c r="AX188" s="763">
        <f>H98</f>
        <v>0</v>
      </c>
      <c r="AY188" s="488">
        <v>15</v>
      </c>
      <c r="AZ188" s="489">
        <v>42</v>
      </c>
      <c r="BA188" s="580"/>
      <c r="BB188" s="580"/>
    </row>
    <row r="189" spans="13:59" ht="16.5" customHeight="1" x14ac:dyDescent="0.2">
      <c r="M189" s="8"/>
      <c r="AB189" s="478"/>
      <c r="AC189" s="478"/>
      <c r="AD189" s="478"/>
      <c r="AE189" s="483">
        <f>'Master List'!C28</f>
        <v>0</v>
      </c>
      <c r="AF189" s="484" t="str">
        <f>IF(OR(AF188&gt;" ",INDEX($V$121:$V$141,AG188)=0)," ",INDEX($V$121:$V$141,AG188))</f>
        <v xml:space="preserve"> </v>
      </c>
      <c r="AG189" s="485"/>
      <c r="AH189" s="486"/>
      <c r="AI189" s="484" t="str">
        <f>IF(OR(AI188&gt;" ",INDEX($V$121:$V$141,AJ188)=0)," ",INDEX($V$121:$V$141,AJ188))</f>
        <v xml:space="preserve"> </v>
      </c>
      <c r="AJ189" s="485"/>
      <c r="AK189" s="486"/>
      <c r="AL189" s="484" t="str">
        <f>IF(OR(AL188&gt;" ",INDEX($V$121:$V$141,AM188)=0)," ",INDEX($V$121:$V$141,AM188))</f>
        <v xml:space="preserve"> </v>
      </c>
      <c r="AM189" s="485"/>
      <c r="AN189" s="486"/>
      <c r="AO189" s="484" t="str">
        <f>IF(OR(AO188&gt;" ",INDEX($V$121:$V$141,AP188)=0)," ",INDEX($V$121:$V$141,AP188))</f>
        <v xml:space="preserve"> </v>
      </c>
      <c r="AP189" s="485"/>
      <c r="AQ189" s="486"/>
      <c r="AR189" s="484" t="str">
        <f>IF(OR(AR188&gt;" ",INDEX($V$121:$V$141,AS188)=0)," ",INDEX($V$121:$V$141,AS188))</f>
        <v xml:space="preserve"> </v>
      </c>
      <c r="AS189" s="485"/>
      <c r="AT189" s="486"/>
      <c r="AU189" s="484" t="str">
        <f>IF(OR(AU188&gt;" ",INDEX($V$121:$V$141,AV188)=0)," ",INDEX($V$121:$V$141,AV188))</f>
        <v xml:space="preserve"> </v>
      </c>
      <c r="AV189" s="485"/>
      <c r="AW189" s="486"/>
      <c r="AX189" s="484" t="str">
        <f>IF(OR(AX188&gt;" ",INDEX($V$121:$V$141,AY188)=0)," ",INDEX($V$121:$V$141,AY188))</f>
        <v xml:space="preserve"> </v>
      </c>
      <c r="AY189" s="485"/>
      <c r="AZ189" s="486"/>
      <c r="BA189" s="580"/>
      <c r="BB189" s="580"/>
    </row>
    <row r="190" spans="13:59" ht="16.5" customHeight="1" x14ac:dyDescent="0.2">
      <c r="M190" s="8"/>
      <c r="AB190" s="478"/>
      <c r="AC190" s="478"/>
      <c r="AD190" s="478"/>
      <c r="AE190" s="804"/>
      <c r="AF190" s="800" t="str">
        <f>IF(AF189=" ","",INDEX($Z$121:$Z$165,AH188))</f>
        <v/>
      </c>
      <c r="AG190" s="617"/>
      <c r="AH190" s="618"/>
      <c r="AI190" s="800" t="str">
        <f>IF(AI189=" ","",INDEX($Z$121:$Z$165,AK188))</f>
        <v/>
      </c>
      <c r="AJ190" s="617"/>
      <c r="AK190" s="618"/>
      <c r="AL190" s="800" t="str">
        <f>IF(AL189=" ","",INDEX($Z$121:$Z$165,AN188))</f>
        <v/>
      </c>
      <c r="AM190" s="617"/>
      <c r="AN190" s="618"/>
      <c r="AO190" s="800" t="str">
        <f>IF(AO189=" ","",INDEX($Z$121:$Z$165,AQ188))</f>
        <v/>
      </c>
      <c r="AP190" s="617"/>
      <c r="AQ190" s="618"/>
      <c r="AR190" s="800" t="str">
        <f>IF(AR189=" ","",INDEX($Z$121:$Z$165,AT188))</f>
        <v/>
      </c>
      <c r="AS190" s="617"/>
      <c r="AT190" s="618"/>
      <c r="AU190" s="800" t="str">
        <f>IF(AU189=" ","",INDEX($Z$121:$Z$165,AW188))</f>
        <v/>
      </c>
      <c r="AV190" s="617"/>
      <c r="AW190" s="618"/>
      <c r="AX190" s="800" t="str">
        <f>IF(AX189=" ","",INDEX($Z$121:$Z$165,AZ188))</f>
        <v/>
      </c>
      <c r="AY190" s="617"/>
      <c r="AZ190" s="618"/>
      <c r="BA190" s="580"/>
      <c r="BB190" s="580"/>
    </row>
    <row r="191" spans="13:59" ht="0.75" hidden="1" customHeight="1" x14ac:dyDescent="0.2">
      <c r="M191" s="8" t="str">
        <f>IF(AE192=" "," ",".")</f>
        <v>.</v>
      </c>
      <c r="AB191" s="478"/>
      <c r="AC191" s="478"/>
      <c r="AD191" s="478"/>
      <c r="AE191" s="482"/>
      <c r="AF191" s="763">
        <f>B103</f>
        <v>0</v>
      </c>
      <c r="AG191" s="763">
        <v>4</v>
      </c>
      <c r="AH191" s="763">
        <v>27</v>
      </c>
      <c r="AI191" s="763" t="str">
        <f>C99</f>
        <v xml:space="preserve"> </v>
      </c>
      <c r="AJ191" s="763">
        <v>15</v>
      </c>
      <c r="AK191" s="763">
        <v>27</v>
      </c>
      <c r="AL191" s="763">
        <f>D99</f>
        <v>0</v>
      </c>
      <c r="AM191" s="488">
        <v>15</v>
      </c>
      <c r="AN191" s="489">
        <v>27</v>
      </c>
      <c r="AO191" s="763">
        <f>E99</f>
        <v>0</v>
      </c>
      <c r="AP191" s="488">
        <v>15</v>
      </c>
      <c r="AQ191" s="489">
        <v>37</v>
      </c>
      <c r="AR191" s="763" t="str">
        <f>F99</f>
        <v xml:space="preserve"> </v>
      </c>
      <c r="AS191" s="488">
        <v>15</v>
      </c>
      <c r="AT191" s="489">
        <v>27</v>
      </c>
      <c r="AU191" s="763" t="str">
        <f>G99</f>
        <v xml:space="preserve"> </v>
      </c>
      <c r="AV191" s="488">
        <v>15</v>
      </c>
      <c r="AW191" s="489">
        <v>27</v>
      </c>
      <c r="AX191" s="763">
        <f>H99</f>
        <v>0</v>
      </c>
      <c r="AY191" s="488">
        <v>15</v>
      </c>
      <c r="AZ191" s="489">
        <v>27</v>
      </c>
      <c r="BA191" s="580"/>
      <c r="BB191" s="580"/>
    </row>
    <row r="192" spans="13:59" ht="16.5" hidden="1" customHeight="1" x14ac:dyDescent="0.2">
      <c r="M192" s="8" t="str">
        <f>IF(AE192=" "," ",".")</f>
        <v>.</v>
      </c>
      <c r="AB192" s="478"/>
      <c r="AC192" s="478"/>
      <c r="AD192" s="478"/>
      <c r="AE192" s="483">
        <f>'Master List'!C29</f>
        <v>0</v>
      </c>
      <c r="AF192" s="484" t="str">
        <f>IF(OR(AF191&gt;" ",INDEX($V$121:$V$141,AG191)=0)," ",INDEX($V$121:$V$141,AG191))</f>
        <v>DBCS</v>
      </c>
      <c r="AG192" s="485"/>
      <c r="AH192" s="486"/>
      <c r="AI192" s="484" t="str">
        <f>IF(OR(AI191&gt;" ",INDEX($V$121:$V$141,AJ191)=0)," ",INDEX($V$121:$V$141,AJ191))</f>
        <v xml:space="preserve"> </v>
      </c>
      <c r="AJ192" s="485"/>
      <c r="AK192" s="486"/>
      <c r="AL192" s="484" t="str">
        <f>IF(OR(AL191&gt;" ",INDEX($V$121:$V$141,AM191)=0)," ",INDEX($V$121:$V$141,AM191))</f>
        <v xml:space="preserve"> </v>
      </c>
      <c r="AM192" s="485"/>
      <c r="AN192" s="486"/>
      <c r="AO192" s="484" t="str">
        <f>IF(OR(AO191&gt;" ",INDEX($V$121:$V$141,AP191)=0)," ",INDEX($V$121:$V$141,AP191))</f>
        <v xml:space="preserve"> </v>
      </c>
      <c r="AP192" s="485"/>
      <c r="AQ192" s="486"/>
      <c r="AR192" s="484" t="str">
        <f>IF(OR(AR191&gt;" ",INDEX($V$121:$V$141,AS191)=0)," ",INDEX($V$121:$V$141,AS191))</f>
        <v xml:space="preserve"> </v>
      </c>
      <c r="AS192" s="485"/>
      <c r="AT192" s="486"/>
      <c r="AU192" s="484" t="str">
        <f>IF(OR(AU191&gt;" ",INDEX($V$121:$V$141,AV191)=0)," ",INDEX($V$121:$V$141,AV191))</f>
        <v xml:space="preserve"> </v>
      </c>
      <c r="AV192" s="485"/>
      <c r="AW192" s="486"/>
      <c r="AX192" s="484" t="str">
        <f>IF(OR(AX191&gt;" ",INDEX($V$121:$V$141,AY191)=0)," ",INDEX($V$121:$V$141,AY191))</f>
        <v xml:space="preserve"> </v>
      </c>
      <c r="AY192" s="485"/>
      <c r="AZ192" s="486"/>
      <c r="BA192" s="580"/>
      <c r="BB192" s="580"/>
    </row>
    <row r="193" spans="13:54" ht="16.5" hidden="1" customHeight="1" x14ac:dyDescent="0.2">
      <c r="M193" s="8" t="str">
        <f>IF(AE192=" "," ",".")</f>
        <v>.</v>
      </c>
      <c r="AB193" s="478"/>
      <c r="AC193" s="478"/>
      <c r="AD193" s="478"/>
      <c r="AE193" s="481"/>
      <c r="AF193" s="706" t="str">
        <f>IF(AF192=" ","",INDEX($Z$121:$Z$165,AH191))</f>
        <v>ECBM ROUTES</v>
      </c>
      <c r="AG193" s="617"/>
      <c r="AH193" s="618"/>
      <c r="AI193" s="706" t="str">
        <f>IF(AI192=" ","",INDEX($Z$121:$Z$165,AK191))</f>
        <v/>
      </c>
      <c r="AJ193" s="617"/>
      <c r="AK193" s="618"/>
      <c r="AL193" s="706" t="str">
        <f>IF(AL192=" ","",INDEX($Z$121:$Z$165,AN191))</f>
        <v/>
      </c>
      <c r="AM193" s="617"/>
      <c r="AN193" s="618"/>
      <c r="AO193" s="706" t="str">
        <f>IF(AO192=" ","",INDEX($Z$121:$Z$165,AQ191))</f>
        <v/>
      </c>
      <c r="AP193" s="617"/>
      <c r="AQ193" s="618"/>
      <c r="AR193" s="706" t="str">
        <f>IF(AR192=" ","",INDEX($Z$121:$Z$165,AT191))</f>
        <v/>
      </c>
      <c r="AS193" s="617"/>
      <c r="AT193" s="618"/>
      <c r="AU193" s="706" t="str">
        <f>IF(AU192=" ","",INDEX($Z$121:$Z$165,AW191))</f>
        <v/>
      </c>
      <c r="AV193" s="617"/>
      <c r="AW193" s="618"/>
      <c r="AX193" s="706" t="str">
        <f>IF(AX192=" ","",INDEX($Z$121:$Z$165,AZ191))</f>
        <v/>
      </c>
      <c r="AY193" s="617"/>
      <c r="AZ193" s="618"/>
      <c r="BA193" s="580"/>
      <c r="BB193" s="580"/>
    </row>
    <row r="194" spans="13:54" ht="16.5" hidden="1" customHeight="1" x14ac:dyDescent="0.2">
      <c r="M194" s="8" t="str">
        <f>IF(AE195=" "," ",".")</f>
        <v>.</v>
      </c>
      <c r="AB194" s="478"/>
      <c r="AC194" s="478"/>
      <c r="AD194" s="478"/>
      <c r="AE194" s="482"/>
      <c r="AF194" s="763">
        <f>B107</f>
        <v>0</v>
      </c>
      <c r="AG194" s="763">
        <v>4</v>
      </c>
      <c r="AH194" s="763">
        <v>27</v>
      </c>
      <c r="AI194" s="763">
        <f>C103</f>
        <v>0</v>
      </c>
      <c r="AJ194" s="763">
        <v>15</v>
      </c>
      <c r="AK194" s="763">
        <v>27</v>
      </c>
      <c r="AL194" s="763">
        <f>D103</f>
        <v>0</v>
      </c>
      <c r="AM194" s="488">
        <v>15</v>
      </c>
      <c r="AN194" s="489">
        <v>27</v>
      </c>
      <c r="AO194" s="763">
        <f>E103</f>
        <v>0</v>
      </c>
      <c r="AP194" s="488">
        <v>15</v>
      </c>
      <c r="AQ194" s="489">
        <v>37</v>
      </c>
      <c r="AR194" s="763">
        <f>F103</f>
        <v>0</v>
      </c>
      <c r="AS194" s="488">
        <v>15</v>
      </c>
      <c r="AT194" s="489">
        <v>27</v>
      </c>
      <c r="AU194" s="763">
        <f>G103</f>
        <v>0</v>
      </c>
      <c r="AV194" s="488">
        <v>15</v>
      </c>
      <c r="AW194" s="489">
        <v>27</v>
      </c>
      <c r="AX194" s="763">
        <f>H103</f>
        <v>0</v>
      </c>
      <c r="AY194" s="488">
        <v>15</v>
      </c>
      <c r="AZ194" s="489">
        <v>27</v>
      </c>
      <c r="BA194" s="580"/>
      <c r="BB194" s="580"/>
    </row>
    <row r="195" spans="13:54" ht="16.5" hidden="1" customHeight="1" x14ac:dyDescent="0.2">
      <c r="M195" s="8" t="str">
        <f>IF(AE195=" "," ",".")</f>
        <v>.</v>
      </c>
      <c r="AB195" s="478"/>
      <c r="AC195" s="478"/>
      <c r="AD195" s="478"/>
      <c r="AE195" s="483">
        <f>'Master List'!C30</f>
        <v>0</v>
      </c>
      <c r="AF195" s="484" t="str">
        <f>IF(OR(AF194&gt;" ",INDEX($V$121:$V$141,AG194)=0)," ",INDEX($V$121:$V$141,AG194))</f>
        <v>DBCS</v>
      </c>
      <c r="AG195" s="485"/>
      <c r="AH195" s="486"/>
      <c r="AI195" s="484" t="str">
        <f>IF(OR(AI194&gt;" ",INDEX($V$121:$V$141,AJ194)=0)," ",INDEX($V$121:$V$141,AJ194))</f>
        <v xml:space="preserve"> </v>
      </c>
      <c r="AJ195" s="485"/>
      <c r="AK195" s="486"/>
      <c r="AL195" s="484" t="str">
        <f>IF(OR(AL194&gt;" ",INDEX($V$121:$V$141,AM194)=0)," ",INDEX($V$121:$V$141,AM194))</f>
        <v xml:space="preserve"> </v>
      </c>
      <c r="AM195" s="485"/>
      <c r="AN195" s="486"/>
      <c r="AO195" s="484" t="str">
        <f>IF(OR(AO194&gt;" ",INDEX($V$121:$V$141,AP194)=0)," ",INDEX($V$121:$V$141,AP194))</f>
        <v xml:space="preserve"> </v>
      </c>
      <c r="AP195" s="485"/>
      <c r="AQ195" s="486"/>
      <c r="AR195" s="484" t="str">
        <f>IF(OR(AR194&gt;" ",INDEX($V$121:$V$141,AS194)=0)," ",INDEX($V$121:$V$141,AS194))</f>
        <v xml:space="preserve"> </v>
      </c>
      <c r="AS195" s="485"/>
      <c r="AT195" s="486"/>
      <c r="AU195" s="484" t="str">
        <f>IF(OR(AU194&gt;" ",INDEX($V$121:$V$141,AV194)=0)," ",INDEX($V$121:$V$141,AV194))</f>
        <v xml:space="preserve"> </v>
      </c>
      <c r="AV195" s="485"/>
      <c r="AW195" s="486"/>
      <c r="AX195" s="484" t="str">
        <f>IF(OR(AX194&gt;" ",INDEX($V$121:$V$141,AY194)=0)," ",INDEX($V$121:$V$141,AY194))</f>
        <v xml:space="preserve"> </v>
      </c>
      <c r="AY195" s="485"/>
      <c r="AZ195" s="486"/>
      <c r="BA195" s="580"/>
      <c r="BB195" s="580"/>
    </row>
    <row r="196" spans="13:54" ht="16.5" hidden="1" customHeight="1" x14ac:dyDescent="0.2">
      <c r="M196" s="8" t="str">
        <f>IF(AE195=" "," ",".")</f>
        <v>.</v>
      </c>
      <c r="AB196" s="478"/>
      <c r="AC196" s="478"/>
      <c r="AD196" s="478"/>
      <c r="AE196" s="481"/>
      <c r="AF196" s="706" t="str">
        <f>IF(AF195=" ","",INDEX($Z$121:$Z$165,AH194))</f>
        <v>ECBM ROUTES</v>
      </c>
      <c r="AG196" s="617"/>
      <c r="AH196" s="618"/>
      <c r="AI196" s="706" t="str">
        <f>IF(AI195=" ","",INDEX($Z$121:$Z$165,AK194))</f>
        <v/>
      </c>
      <c r="AJ196" s="617"/>
      <c r="AK196" s="618"/>
      <c r="AL196" s="706" t="str">
        <f>IF(AL195=" ","",INDEX($Z$121:$Z$165,AN194))</f>
        <v/>
      </c>
      <c r="AM196" s="617"/>
      <c r="AN196" s="618"/>
      <c r="AO196" s="706" t="str">
        <f>IF(AO195=" ","",INDEX($Z$121:$Z$165,AQ194))</f>
        <v/>
      </c>
      <c r="AP196" s="617"/>
      <c r="AQ196" s="618"/>
      <c r="AR196" s="706" t="str">
        <f>IF(AR195=" ","",INDEX($Z$121:$Z$165,AT194))</f>
        <v/>
      </c>
      <c r="AS196" s="617"/>
      <c r="AT196" s="618"/>
      <c r="AU196" s="706" t="str">
        <f>IF(AU195=" ","",INDEX($Z$121:$Z$165,AW194))</f>
        <v/>
      </c>
      <c r="AV196" s="617"/>
      <c r="AW196" s="618"/>
      <c r="AX196" s="706" t="str">
        <f>IF(AX195=" ","",INDEX($Z$121:$Z$165,AZ194))</f>
        <v/>
      </c>
      <c r="AY196" s="617"/>
      <c r="AZ196" s="618"/>
      <c r="BA196" s="580"/>
      <c r="BB196" s="580"/>
    </row>
    <row r="197" spans="13:54" ht="15.75" x14ac:dyDescent="0.2">
      <c r="M197" s="782"/>
      <c r="AB197" s="478"/>
      <c r="AC197" s="478"/>
      <c r="AD197" s="478"/>
      <c r="AE197" s="580"/>
      <c r="AF197" s="580"/>
      <c r="AG197" s="580"/>
      <c r="AH197" s="580"/>
      <c r="AI197" s="580"/>
      <c r="AJ197" s="580"/>
      <c r="AK197" s="580"/>
      <c r="AL197" s="580"/>
      <c r="AM197" s="580"/>
      <c r="AN197" s="580"/>
      <c r="AO197" s="765"/>
      <c r="AP197" s="765"/>
      <c r="AQ197" s="765"/>
      <c r="AR197" s="580"/>
      <c r="AS197" s="580"/>
      <c r="AT197" s="580"/>
      <c r="AU197" s="580"/>
      <c r="AV197" s="580"/>
      <c r="AW197" s="580"/>
      <c r="AX197" s="580"/>
      <c r="AY197" s="580"/>
      <c r="AZ197" s="580"/>
      <c r="BA197" s="580"/>
      <c r="BB197" s="580"/>
    </row>
    <row r="198" spans="13:54" ht="15.75" x14ac:dyDescent="0.2">
      <c r="AB198" s="478"/>
      <c r="AC198" s="478"/>
      <c r="AD198" s="478"/>
      <c r="AE198" s="580"/>
      <c r="AF198" s="580"/>
      <c r="AG198" s="580"/>
      <c r="AH198" s="580"/>
      <c r="AI198" s="580"/>
      <c r="AJ198" s="580"/>
      <c r="AK198" s="580"/>
      <c r="AL198" s="580"/>
      <c r="AM198" s="580"/>
      <c r="AN198" s="580"/>
      <c r="AO198" s="580"/>
      <c r="AP198" s="580"/>
      <c r="AQ198" s="580"/>
      <c r="AR198" s="580"/>
      <c r="AS198" s="580"/>
      <c r="AT198" s="580"/>
      <c r="AU198" s="580"/>
      <c r="AV198" s="580"/>
      <c r="AW198" s="167"/>
      <c r="AX198" s="167"/>
      <c r="AY198" s="167"/>
      <c r="AZ198" s="167"/>
      <c r="BA198" s="167"/>
    </row>
    <row r="199" spans="13:54" ht="18" x14ac:dyDescent="0.25">
      <c r="AB199" s="478"/>
      <c r="AC199" s="478"/>
      <c r="AD199" s="478"/>
      <c r="AE199" s="580"/>
      <c r="AF199" s="580"/>
      <c r="AG199" s="383">
        <f>B109</f>
        <v>14</v>
      </c>
      <c r="AH199" s="383"/>
      <c r="AI199" s="383"/>
      <c r="AJ199" s="383">
        <f>C109</f>
        <v>14</v>
      </c>
      <c r="AK199" s="383"/>
      <c r="AL199" s="383"/>
      <c r="AM199" s="383">
        <f>D109</f>
        <v>14</v>
      </c>
      <c r="AN199" s="383"/>
      <c r="AO199" s="383"/>
      <c r="AP199" s="383">
        <f>E109</f>
        <v>12</v>
      </c>
      <c r="AQ199" s="383"/>
      <c r="AR199" s="383"/>
      <c r="AS199" s="383">
        <f>F109</f>
        <v>13</v>
      </c>
      <c r="AT199" s="383"/>
      <c r="AU199" s="383"/>
      <c r="AV199" s="383">
        <f>G109</f>
        <v>13</v>
      </c>
      <c r="AW199" s="383"/>
      <c r="AX199" s="383"/>
      <c r="AY199" s="383">
        <f>H109</f>
        <v>13</v>
      </c>
    </row>
    <row r="200" spans="13:54" ht="15.75" x14ac:dyDescent="0.2">
      <c r="AB200" s="478"/>
      <c r="AC200" s="478"/>
      <c r="AD200" s="478"/>
      <c r="AE200" s="580"/>
      <c r="AF200" s="580"/>
      <c r="AG200" s="580"/>
      <c r="AH200" s="580"/>
      <c r="AI200" s="580"/>
      <c r="AJ200" s="580"/>
      <c r="AK200" s="580"/>
      <c r="AL200" s="580"/>
      <c r="AM200" s="580"/>
      <c r="AN200" s="580"/>
      <c r="AO200" s="580"/>
      <c r="AP200" s="580"/>
      <c r="AQ200" s="580"/>
      <c r="AR200" s="580"/>
      <c r="AS200" s="580"/>
      <c r="AT200" s="580"/>
      <c r="AU200" s="580"/>
      <c r="AV200" s="580"/>
    </row>
    <row r="201" spans="13:54" ht="15.75" x14ac:dyDescent="0.2">
      <c r="AB201" s="478"/>
      <c r="AC201" s="478"/>
      <c r="AD201" s="478"/>
      <c r="AE201" s="580"/>
      <c r="AF201" s="580"/>
      <c r="AG201" s="580"/>
      <c r="AH201" s="580"/>
      <c r="AI201" s="580"/>
      <c r="AJ201" s="580"/>
      <c r="AK201" s="580"/>
      <c r="AL201" s="580"/>
      <c r="AM201" s="580"/>
      <c r="AN201" s="580"/>
      <c r="AO201" s="580"/>
      <c r="AP201" s="580"/>
      <c r="AQ201" s="580"/>
      <c r="AR201" s="580"/>
      <c r="AS201" s="580"/>
      <c r="AT201" s="580"/>
      <c r="AU201" s="580"/>
      <c r="AV201" s="580"/>
    </row>
    <row r="202" spans="13:54" ht="15.75" x14ac:dyDescent="0.2">
      <c r="AB202" s="478"/>
      <c r="AC202" s="478"/>
      <c r="AD202" s="478"/>
      <c r="AE202" s="580"/>
      <c r="AF202" s="580"/>
      <c r="AG202" s="580"/>
      <c r="AH202" s="580"/>
      <c r="AI202" s="580"/>
      <c r="AJ202" s="580"/>
      <c r="AK202" s="580"/>
      <c r="AL202" s="580"/>
      <c r="AM202" s="580"/>
      <c r="AN202" s="580"/>
      <c r="AO202" s="580"/>
      <c r="AP202" s="580"/>
      <c r="AQ202" s="580"/>
      <c r="AR202" s="580"/>
      <c r="AS202" s="580"/>
      <c r="AT202" s="580"/>
      <c r="AU202" s="580"/>
      <c r="AV202" s="580"/>
    </row>
    <row r="203" spans="13:54" ht="15.75" x14ac:dyDescent="0.2">
      <c r="AB203" s="478"/>
      <c r="AC203" s="478"/>
      <c r="AD203" s="478"/>
      <c r="AE203" s="580"/>
      <c r="AF203" s="580"/>
      <c r="AG203" s="580"/>
      <c r="AH203" s="580"/>
      <c r="AI203" s="580"/>
      <c r="AJ203" s="580"/>
      <c r="AK203" s="580"/>
      <c r="AL203" s="580"/>
      <c r="AM203" s="580"/>
      <c r="AN203" s="580"/>
      <c r="AO203" s="580"/>
      <c r="AP203" s="580"/>
      <c r="AQ203" s="580"/>
      <c r="AR203" s="580"/>
      <c r="AS203" s="580"/>
      <c r="AT203" s="580"/>
      <c r="AU203" s="580"/>
      <c r="AV203" s="580"/>
    </row>
    <row r="204" spans="13:54" ht="15.75" x14ac:dyDescent="0.2">
      <c r="AB204" s="478"/>
      <c r="AC204" s="478"/>
      <c r="AD204" s="478"/>
      <c r="AE204" s="580"/>
      <c r="AF204" s="580"/>
      <c r="AG204" s="580"/>
      <c r="AH204" s="580"/>
      <c r="AI204" s="580"/>
      <c r="AJ204" s="580"/>
      <c r="AK204" s="580"/>
      <c r="AL204" s="580"/>
      <c r="AM204" s="580"/>
      <c r="AN204" s="580"/>
      <c r="AO204" s="580"/>
      <c r="AP204" s="580"/>
      <c r="AQ204" s="580"/>
      <c r="AR204" s="580"/>
      <c r="AS204" s="580"/>
      <c r="AT204" s="580"/>
      <c r="AU204" s="580"/>
      <c r="AV204" s="580"/>
    </row>
    <row r="205" spans="13:54" ht="15.75" x14ac:dyDescent="0.2">
      <c r="AB205" s="478"/>
      <c r="AC205" s="478"/>
      <c r="AD205" s="478"/>
      <c r="AE205" s="580"/>
      <c r="AF205" s="580"/>
      <c r="AG205" s="580"/>
      <c r="AH205" s="580"/>
      <c r="AI205" s="580"/>
      <c r="AJ205" s="580"/>
      <c r="AK205" s="580"/>
      <c r="AL205" s="580"/>
      <c r="AM205" s="580"/>
      <c r="AN205" s="580"/>
      <c r="AO205" s="580"/>
      <c r="AP205" s="580"/>
      <c r="AQ205" s="580"/>
      <c r="AR205" s="580"/>
      <c r="AS205" s="580"/>
      <c r="AT205" s="580"/>
      <c r="AU205" s="580"/>
      <c r="AV205" s="580"/>
    </row>
    <row r="206" spans="13:54" ht="15.75" x14ac:dyDescent="0.2">
      <c r="AB206" s="478"/>
      <c r="AC206" s="478"/>
      <c r="AD206" s="478"/>
      <c r="AE206" s="580"/>
      <c r="AF206" s="580"/>
      <c r="AG206" s="580"/>
      <c r="AH206" s="580"/>
      <c r="AI206" s="580"/>
      <c r="AJ206" s="580"/>
      <c r="AK206" s="580"/>
      <c r="AL206" s="580"/>
      <c r="AM206" s="580"/>
      <c r="AN206" s="580"/>
      <c r="AO206" s="580"/>
      <c r="AP206" s="580"/>
      <c r="AQ206" s="580"/>
      <c r="AR206" s="580"/>
      <c r="AS206" s="580"/>
      <c r="AT206" s="580"/>
      <c r="AU206" s="580"/>
      <c r="AV206" s="580"/>
    </row>
    <row r="207" spans="13:54" ht="15.75" x14ac:dyDescent="0.2">
      <c r="AB207" s="478"/>
      <c r="AC207" s="478"/>
      <c r="AD207" s="478"/>
      <c r="AE207" s="580"/>
      <c r="AF207" s="580"/>
      <c r="AG207" s="580"/>
      <c r="AH207" s="580"/>
      <c r="AI207" s="580"/>
      <c r="AJ207" s="580"/>
      <c r="AK207" s="580"/>
      <c r="AL207" s="580"/>
      <c r="AM207" s="580"/>
      <c r="AN207" s="580"/>
      <c r="AO207" s="580"/>
      <c r="AP207" s="580"/>
      <c r="AQ207" s="580"/>
      <c r="AR207" s="580"/>
      <c r="AS207" s="580"/>
      <c r="AT207" s="580"/>
      <c r="AU207" s="580"/>
      <c r="AV207" s="580"/>
    </row>
    <row r="208" spans="13:54" ht="15.75" x14ac:dyDescent="0.2">
      <c r="AB208" s="478"/>
      <c r="AC208" s="478"/>
      <c r="AD208" s="478"/>
      <c r="AE208" s="580"/>
      <c r="AF208" s="580"/>
      <c r="AG208" s="580"/>
      <c r="AH208" s="580"/>
      <c r="AI208" s="580"/>
      <c r="AJ208" s="580"/>
      <c r="AK208" s="580"/>
      <c r="AL208" s="580"/>
      <c r="AM208" s="580"/>
      <c r="AN208" s="580"/>
      <c r="AO208" s="580"/>
      <c r="AP208" s="580"/>
      <c r="AQ208" s="580"/>
      <c r="AR208" s="580"/>
      <c r="AS208" s="580"/>
      <c r="AT208" s="580"/>
      <c r="AU208" s="580"/>
      <c r="AV208" s="580"/>
    </row>
    <row r="209" spans="28:48" ht="15.75" x14ac:dyDescent="0.2">
      <c r="AB209" s="478"/>
      <c r="AC209" s="478"/>
      <c r="AD209" s="478"/>
      <c r="AE209" s="580"/>
      <c r="AF209" s="580"/>
    </row>
    <row r="210" spans="28:48" ht="15.75" x14ac:dyDescent="0.2">
      <c r="AB210" s="478"/>
      <c r="AC210" s="478"/>
      <c r="AD210" s="478"/>
      <c r="AE210" s="580"/>
      <c r="AF210" s="580"/>
      <c r="AG210" s="580"/>
      <c r="AH210" s="580"/>
      <c r="AI210" s="580"/>
      <c r="AJ210" s="580"/>
      <c r="AK210" s="580"/>
      <c r="AL210" s="580"/>
      <c r="AM210" s="580"/>
      <c r="AN210" s="580"/>
      <c r="AO210" s="580"/>
      <c r="AP210" s="580"/>
      <c r="AQ210" s="580"/>
      <c r="AR210" s="580"/>
      <c r="AS210" s="580"/>
      <c r="AT210" s="580"/>
      <c r="AU210" s="580"/>
      <c r="AV210" s="580"/>
    </row>
    <row r="211" spans="28:48" ht="15.75" x14ac:dyDescent="0.2">
      <c r="AB211" s="478"/>
      <c r="AC211" s="478"/>
      <c r="AD211" s="478"/>
      <c r="AE211" s="580"/>
      <c r="AF211" s="580"/>
      <c r="AG211" s="580"/>
      <c r="AH211" s="580"/>
      <c r="AI211" s="580"/>
      <c r="AJ211" s="580"/>
      <c r="AK211" s="580"/>
      <c r="AL211" s="580"/>
      <c r="AM211" s="580"/>
      <c r="AN211" s="580"/>
      <c r="AO211" s="580"/>
      <c r="AP211" s="580"/>
      <c r="AQ211" s="580"/>
      <c r="AR211" s="580"/>
      <c r="AS211" s="580"/>
      <c r="AT211" s="580"/>
      <c r="AU211" s="580"/>
      <c r="AV211" s="580"/>
    </row>
    <row r="212" spans="28:48" ht="15.75" x14ac:dyDescent="0.2">
      <c r="AB212" s="478"/>
      <c r="AC212" s="478"/>
      <c r="AD212" s="478"/>
      <c r="AE212" s="580"/>
      <c r="AF212" s="580"/>
      <c r="AG212" s="580"/>
      <c r="AH212" s="580"/>
      <c r="AI212" s="580"/>
      <c r="AJ212" s="580"/>
      <c r="AK212" s="580"/>
      <c r="AL212" s="580"/>
      <c r="AM212" s="580"/>
      <c r="AN212" s="580"/>
      <c r="AO212" s="580"/>
      <c r="AP212" s="580"/>
      <c r="AQ212" s="580"/>
      <c r="AR212" s="580"/>
      <c r="AS212" s="580"/>
      <c r="AT212" s="580"/>
      <c r="AU212" s="580"/>
      <c r="AV212" s="580"/>
    </row>
    <row r="213" spans="28:48" ht="15.75" x14ac:dyDescent="0.2">
      <c r="AB213" s="478"/>
      <c r="AC213" s="478"/>
      <c r="AD213" s="478"/>
      <c r="AE213" s="580"/>
      <c r="AF213" s="580"/>
      <c r="AG213" s="580"/>
      <c r="AH213" s="580"/>
      <c r="AI213" s="580"/>
      <c r="AJ213" s="580"/>
      <c r="AK213" s="580"/>
      <c r="AL213" s="580"/>
      <c r="AM213" s="580"/>
      <c r="AN213" s="580"/>
      <c r="AO213" s="580"/>
      <c r="AP213" s="580"/>
      <c r="AQ213" s="580"/>
      <c r="AR213" s="580"/>
      <c r="AS213" s="580"/>
      <c r="AT213" s="580"/>
      <c r="AU213" s="580"/>
      <c r="AV213" s="580"/>
    </row>
    <row r="214" spans="28:48" ht="15.75" x14ac:dyDescent="0.2">
      <c r="AB214" s="478"/>
      <c r="AC214" s="478"/>
      <c r="AD214" s="478"/>
      <c r="AE214" s="580"/>
      <c r="AF214" s="580"/>
      <c r="AG214" s="580"/>
      <c r="AH214" s="580"/>
      <c r="AI214" s="580"/>
      <c r="AJ214" s="580"/>
      <c r="AK214" s="580"/>
      <c r="AL214" s="580"/>
      <c r="AM214" s="580"/>
      <c r="AN214" s="580"/>
      <c r="AO214" s="580"/>
      <c r="AP214" s="580"/>
      <c r="AQ214" s="580"/>
      <c r="AR214" s="580"/>
      <c r="AS214" s="580"/>
      <c r="AT214" s="580"/>
      <c r="AU214" s="580"/>
      <c r="AV214" s="580"/>
    </row>
    <row r="215" spans="28:48" ht="15.75" x14ac:dyDescent="0.2">
      <c r="AB215" s="478"/>
      <c r="AC215" s="478"/>
      <c r="AD215" s="478"/>
      <c r="AE215" s="580"/>
      <c r="AF215" s="580"/>
      <c r="AG215" s="580"/>
      <c r="AH215" s="580"/>
      <c r="AI215" s="580"/>
      <c r="AJ215" s="580"/>
      <c r="AK215" s="580"/>
      <c r="AL215" s="580"/>
      <c r="AM215" s="580"/>
      <c r="AN215" s="580"/>
      <c r="AO215" s="580"/>
      <c r="AP215" s="580"/>
      <c r="AQ215" s="580"/>
      <c r="AR215" s="580"/>
      <c r="AS215" s="580"/>
      <c r="AT215" s="580"/>
      <c r="AU215" s="580"/>
      <c r="AV215" s="580"/>
    </row>
    <row r="216" spans="28:48" ht="15.75" x14ac:dyDescent="0.2">
      <c r="AB216" s="478"/>
      <c r="AC216" s="478"/>
      <c r="AD216" s="478"/>
      <c r="AE216" s="580"/>
      <c r="AF216" s="580"/>
      <c r="AG216" s="580"/>
      <c r="AH216" s="580"/>
      <c r="AI216" s="580"/>
      <c r="AJ216" s="580"/>
      <c r="AK216" s="580"/>
      <c r="AL216" s="580"/>
      <c r="AM216" s="580"/>
      <c r="AN216" s="580"/>
      <c r="AO216" s="580"/>
      <c r="AP216" s="580"/>
      <c r="AQ216" s="580"/>
      <c r="AR216" s="580"/>
      <c r="AS216" s="580"/>
      <c r="AT216" s="580"/>
      <c r="AU216" s="580"/>
      <c r="AV216" s="580"/>
    </row>
    <row r="217" spans="28:48" ht="15.75" x14ac:dyDescent="0.2">
      <c r="AB217" s="478"/>
      <c r="AC217" s="478"/>
      <c r="AD217" s="478"/>
      <c r="AE217" s="580"/>
      <c r="AF217" s="580"/>
      <c r="AG217" s="580"/>
      <c r="AH217" s="580"/>
      <c r="AI217" s="580"/>
      <c r="AJ217" s="580"/>
      <c r="AK217" s="580"/>
      <c r="AL217" s="580"/>
      <c r="AM217" s="580"/>
      <c r="AN217" s="580"/>
      <c r="AO217" s="580"/>
      <c r="AP217" s="580"/>
      <c r="AQ217" s="580"/>
      <c r="AR217" s="580"/>
      <c r="AS217" s="580"/>
      <c r="AT217" s="580"/>
      <c r="AU217" s="580"/>
      <c r="AV217" s="580"/>
    </row>
    <row r="218" spans="28:48" ht="15.75" x14ac:dyDescent="0.2">
      <c r="AB218" s="478"/>
      <c r="AC218" s="478"/>
      <c r="AD218" s="478"/>
      <c r="AE218" s="580"/>
      <c r="AF218" s="580"/>
      <c r="AG218" s="580"/>
      <c r="AH218" s="580"/>
      <c r="AI218" s="580"/>
      <c r="AJ218" s="580"/>
      <c r="AK218" s="580"/>
      <c r="AL218" s="580"/>
      <c r="AM218" s="580"/>
      <c r="AN218" s="580"/>
      <c r="AO218" s="580"/>
      <c r="AP218" s="580"/>
      <c r="AQ218" s="580"/>
      <c r="AR218" s="580"/>
      <c r="AS218" s="580"/>
      <c r="AT218" s="580"/>
      <c r="AU218" s="580"/>
      <c r="AV218" s="580"/>
    </row>
    <row r="219" spans="28:48" ht="15.75" x14ac:dyDescent="0.2">
      <c r="AB219" s="478"/>
      <c r="AC219" s="478"/>
      <c r="AD219" s="478"/>
      <c r="AE219" s="580"/>
      <c r="AF219" s="580"/>
      <c r="AG219" s="580"/>
      <c r="AH219" s="580"/>
      <c r="AI219" s="580"/>
      <c r="AJ219" s="580"/>
      <c r="AK219" s="580"/>
      <c r="AL219" s="580"/>
      <c r="AM219" s="580"/>
      <c r="AN219" s="580"/>
      <c r="AO219" s="580"/>
      <c r="AP219" s="580"/>
      <c r="AQ219" s="580"/>
      <c r="AR219" s="580"/>
      <c r="AS219" s="580"/>
      <c r="AT219" s="580"/>
      <c r="AU219" s="580"/>
      <c r="AV219" s="580"/>
    </row>
    <row r="220" spans="28:48" ht="15.75" x14ac:dyDescent="0.2">
      <c r="AB220" s="478"/>
      <c r="AC220" s="478"/>
      <c r="AD220" s="478"/>
      <c r="AE220" s="580"/>
      <c r="AF220" s="580"/>
      <c r="AG220" s="580"/>
      <c r="AH220" s="580"/>
      <c r="AI220" s="580"/>
      <c r="AJ220" s="580"/>
      <c r="AK220" s="580"/>
      <c r="AL220" s="580"/>
      <c r="AM220" s="580"/>
      <c r="AN220" s="580"/>
      <c r="AO220" s="580"/>
      <c r="AP220" s="580"/>
      <c r="AQ220" s="580"/>
      <c r="AR220" s="580"/>
      <c r="AS220" s="580"/>
      <c r="AT220" s="580"/>
      <c r="AU220" s="580"/>
      <c r="AV220" s="580"/>
    </row>
    <row r="221" spans="28:48" ht="15.75" x14ac:dyDescent="0.2">
      <c r="AB221" s="478"/>
      <c r="AC221" s="478"/>
      <c r="AD221" s="478"/>
      <c r="AE221" s="580"/>
      <c r="AF221" s="580"/>
      <c r="AG221" s="580"/>
      <c r="AH221" s="580"/>
      <c r="AI221" s="580"/>
      <c r="AJ221" s="580"/>
      <c r="AK221" s="580"/>
      <c r="AL221" s="580"/>
      <c r="AM221" s="580"/>
      <c r="AN221" s="580"/>
      <c r="AO221" s="580"/>
      <c r="AP221" s="580"/>
      <c r="AQ221" s="580"/>
      <c r="AR221" s="580"/>
      <c r="AS221" s="580"/>
      <c r="AT221" s="580"/>
      <c r="AU221" s="580"/>
      <c r="AV221" s="580"/>
    </row>
    <row r="222" spans="28:48" ht="15.75" x14ac:dyDescent="0.2">
      <c r="AB222" s="478"/>
      <c r="AC222" s="478"/>
      <c r="AD222" s="478"/>
      <c r="AE222" s="580"/>
      <c r="AF222" s="580"/>
      <c r="AG222" s="580"/>
      <c r="AH222" s="580"/>
      <c r="AI222" s="580"/>
      <c r="AJ222" s="580"/>
      <c r="AK222" s="580"/>
      <c r="AL222" s="580"/>
      <c r="AM222" s="580"/>
      <c r="AN222" s="580"/>
      <c r="AO222" s="580"/>
      <c r="AP222" s="580"/>
      <c r="AQ222" s="580"/>
      <c r="AR222" s="580"/>
      <c r="AS222" s="580"/>
      <c r="AT222" s="580"/>
      <c r="AU222" s="580"/>
      <c r="AV222" s="580"/>
    </row>
    <row r="223" spans="28:48" ht="15.75" x14ac:dyDescent="0.2">
      <c r="AB223" s="478"/>
      <c r="AC223" s="478"/>
      <c r="AD223" s="478"/>
      <c r="AE223" s="580"/>
      <c r="AF223" s="580"/>
      <c r="AG223" s="580"/>
      <c r="AH223" s="580"/>
      <c r="AI223" s="580"/>
      <c r="AJ223" s="580"/>
      <c r="AK223" s="580"/>
      <c r="AL223" s="580"/>
      <c r="AM223" s="580"/>
      <c r="AN223" s="580"/>
      <c r="AO223" s="580"/>
      <c r="AP223" s="580"/>
      <c r="AQ223" s="580"/>
      <c r="AR223" s="580"/>
      <c r="AS223" s="580"/>
      <c r="AT223" s="580"/>
      <c r="AU223" s="580"/>
      <c r="AV223" s="580"/>
    </row>
    <row r="224" spans="28:48" ht="15.75" x14ac:dyDescent="0.2">
      <c r="AB224" s="478"/>
      <c r="AC224" s="478"/>
      <c r="AD224" s="478"/>
      <c r="AE224" s="580"/>
      <c r="AF224" s="580"/>
      <c r="AG224" s="580"/>
      <c r="AH224" s="580"/>
      <c r="AI224" s="580"/>
      <c r="AJ224" s="580"/>
      <c r="AK224" s="580"/>
      <c r="AL224" s="580"/>
      <c r="AM224" s="580"/>
      <c r="AN224" s="580"/>
      <c r="AO224" s="580"/>
      <c r="AP224" s="580"/>
      <c r="AQ224" s="580"/>
      <c r="AR224" s="580"/>
      <c r="AS224" s="580"/>
      <c r="AT224" s="580"/>
      <c r="AU224" s="580"/>
      <c r="AV224" s="580"/>
    </row>
    <row r="225" spans="28:57" ht="15.75" x14ac:dyDescent="0.2">
      <c r="AB225" s="478"/>
      <c r="AC225" s="478"/>
      <c r="AD225" s="478"/>
      <c r="AE225" s="580"/>
      <c r="AF225" s="580"/>
      <c r="AG225" s="580"/>
      <c r="AH225" s="580"/>
      <c r="AI225" s="580"/>
      <c r="AJ225" s="580"/>
      <c r="AK225" s="580"/>
      <c r="AL225" s="580"/>
      <c r="AM225" s="580"/>
      <c r="AN225" s="580"/>
      <c r="AO225" s="580"/>
      <c r="AP225" s="580"/>
      <c r="AQ225" s="580"/>
      <c r="AR225" s="580"/>
      <c r="AS225" s="580"/>
      <c r="AT225" s="580"/>
      <c r="AU225" s="580"/>
      <c r="AV225" s="580"/>
    </row>
    <row r="226" spans="28:57" ht="15.75" x14ac:dyDescent="0.2">
      <c r="AB226" s="478"/>
      <c r="AC226" s="478"/>
      <c r="AD226" s="478"/>
      <c r="AE226" s="580"/>
      <c r="AF226" s="580"/>
      <c r="AG226" s="580"/>
      <c r="AH226" s="580"/>
      <c r="AI226" s="580"/>
      <c r="AJ226" s="580"/>
      <c r="AK226" s="580"/>
      <c r="AL226" s="580"/>
      <c r="AM226" s="580"/>
      <c r="AN226" s="580"/>
      <c r="AO226" s="580"/>
      <c r="AP226" s="580"/>
      <c r="AQ226" s="580"/>
      <c r="AR226" s="580"/>
      <c r="AS226" s="580"/>
      <c r="AT226" s="580"/>
      <c r="AU226" s="580"/>
      <c r="AV226" s="580"/>
    </row>
    <row r="227" spans="28:57" ht="15.75" x14ac:dyDescent="0.2">
      <c r="AB227" s="478"/>
      <c r="AC227" s="478"/>
      <c r="AD227" s="478"/>
      <c r="AE227" s="580"/>
      <c r="AF227" s="580"/>
      <c r="AG227" s="580"/>
      <c r="AH227" s="580"/>
      <c r="AI227" s="580"/>
      <c r="AJ227" s="580"/>
      <c r="AK227" s="580"/>
      <c r="AL227" s="580"/>
      <c r="AM227" s="580"/>
      <c r="AN227" s="580"/>
      <c r="AO227" s="580"/>
      <c r="AP227" s="580"/>
      <c r="AQ227" s="580"/>
      <c r="AR227" s="580"/>
      <c r="AS227" s="580"/>
      <c r="AT227" s="580"/>
      <c r="AU227" s="580"/>
      <c r="AV227" s="580"/>
    </row>
    <row r="228" spans="28:57" ht="15.75" x14ac:dyDescent="0.2">
      <c r="AB228" s="478"/>
      <c r="AC228" s="478"/>
      <c r="AD228" s="478"/>
      <c r="AE228" s="580"/>
      <c r="AF228" s="580"/>
      <c r="AG228" s="580"/>
      <c r="AH228" s="580"/>
      <c r="AI228" s="580"/>
      <c r="AJ228" s="580"/>
      <c r="AK228" s="580"/>
      <c r="AL228" s="580"/>
      <c r="AM228" s="580"/>
      <c r="AN228" s="580"/>
      <c r="AO228" s="580"/>
      <c r="AP228" s="580"/>
      <c r="AQ228" s="580"/>
      <c r="AR228" s="580"/>
      <c r="AS228" s="580"/>
      <c r="AT228" s="580"/>
      <c r="AU228" s="580"/>
      <c r="AV228" s="580"/>
    </row>
    <row r="229" spans="28:57" ht="15.75" x14ac:dyDescent="0.2">
      <c r="AB229" s="478"/>
      <c r="AC229" s="478"/>
      <c r="AD229" s="478"/>
      <c r="AE229" s="580"/>
      <c r="AF229" s="580"/>
      <c r="AG229" s="580"/>
      <c r="AH229" s="580"/>
      <c r="AI229" s="580"/>
      <c r="AJ229" s="580"/>
      <c r="AK229" s="580"/>
      <c r="AL229" s="580"/>
      <c r="AM229" s="580"/>
      <c r="AN229" s="580"/>
      <c r="AO229" s="580"/>
      <c r="AP229" s="580"/>
      <c r="AQ229" s="580"/>
      <c r="AR229" s="580"/>
      <c r="AS229" s="580"/>
      <c r="AT229" s="580"/>
      <c r="AU229" s="580"/>
      <c r="AV229" s="580"/>
    </row>
    <row r="230" spans="28:57" ht="15.75" x14ac:dyDescent="0.2">
      <c r="AB230" s="478"/>
      <c r="AC230" s="478"/>
      <c r="AD230" s="478"/>
      <c r="AE230" s="580"/>
      <c r="AF230" s="580"/>
      <c r="AG230" s="580"/>
      <c r="AH230" s="580"/>
      <c r="AI230" s="580"/>
      <c r="AJ230" s="580"/>
      <c r="AK230" s="580"/>
      <c r="AL230" s="580"/>
      <c r="AM230" s="580"/>
      <c r="AN230" s="580"/>
      <c r="AO230" s="580"/>
      <c r="AP230" s="580"/>
      <c r="AQ230" s="580"/>
      <c r="AR230" s="580"/>
      <c r="AS230" s="580"/>
      <c r="AT230" s="580"/>
      <c r="AU230" s="580"/>
      <c r="AV230" s="580"/>
      <c r="AW230" s="580"/>
      <c r="AX230" s="580"/>
      <c r="AY230" s="580"/>
      <c r="AZ230" s="580"/>
      <c r="BA230" s="580"/>
      <c r="BB230" s="580"/>
      <c r="BC230" s="580"/>
      <c r="BD230" s="580"/>
      <c r="BE230" s="580"/>
    </row>
    <row r="231" spans="28:57" ht="15.75" x14ac:dyDescent="0.2">
      <c r="AB231" s="478"/>
      <c r="AC231" s="478"/>
      <c r="AD231" s="478"/>
      <c r="AE231" s="580"/>
      <c r="AF231" s="580"/>
      <c r="AG231" s="580"/>
      <c r="AH231" s="580"/>
      <c r="AI231" s="580"/>
      <c r="AJ231" s="580"/>
      <c r="AK231" s="580"/>
      <c r="AL231" s="580"/>
      <c r="AM231" s="580"/>
      <c r="AN231" s="580"/>
      <c r="AO231" s="580"/>
      <c r="AP231" s="580"/>
      <c r="AQ231" s="580"/>
      <c r="AR231" s="580"/>
      <c r="AS231" s="580"/>
      <c r="AT231" s="580"/>
      <c r="AU231" s="580"/>
      <c r="AV231" s="580"/>
      <c r="AW231" s="580"/>
      <c r="AX231" s="580"/>
      <c r="AY231" s="580"/>
      <c r="AZ231" s="580"/>
      <c r="BA231" s="580"/>
      <c r="BB231" s="580"/>
      <c r="BC231" s="580"/>
      <c r="BD231" s="580"/>
      <c r="BE231" s="580"/>
    </row>
    <row r="232" spans="28:57" x14ac:dyDescent="0.2">
      <c r="AI232" s="17"/>
      <c r="AL232" s="17"/>
      <c r="AO232" s="17"/>
      <c r="AR232" s="17"/>
      <c r="AU232" s="17"/>
    </row>
    <row r="233" spans="28:57" x14ac:dyDescent="0.2">
      <c r="AI233" s="17"/>
      <c r="AL233" s="17"/>
      <c r="AO233" s="17"/>
      <c r="AR233" s="17"/>
      <c r="AU233" s="17"/>
    </row>
    <row r="234" spans="28:57" x14ac:dyDescent="0.2">
      <c r="AI234" s="17"/>
      <c r="AL234" s="17"/>
      <c r="AO234" s="17"/>
      <c r="AR234" s="17"/>
      <c r="AU234" s="17"/>
    </row>
    <row r="235" spans="28:57" x14ac:dyDescent="0.2">
      <c r="AI235" s="17"/>
      <c r="AL235" s="17"/>
      <c r="AO235" s="17"/>
      <c r="AR235" s="17"/>
      <c r="AU235" s="17"/>
    </row>
    <row r="236" spans="28:57" x14ac:dyDescent="0.2">
      <c r="AI236" s="17"/>
      <c r="AL236" s="17"/>
      <c r="AO236" s="17"/>
      <c r="AR236" s="17"/>
      <c r="AU236" s="17"/>
    </row>
    <row r="237" spans="28:57" x14ac:dyDescent="0.2">
      <c r="AI237" s="17"/>
      <c r="AL237" s="17"/>
      <c r="AO237" s="17"/>
      <c r="AR237" s="17"/>
      <c r="AU237" s="17"/>
    </row>
    <row r="238" spans="28:57" x14ac:dyDescent="0.2">
      <c r="AI238" s="17"/>
      <c r="AL238" s="17"/>
      <c r="AO238" s="17"/>
      <c r="AR238" s="17"/>
      <c r="AU238" s="17"/>
    </row>
    <row r="239" spans="28:57" x14ac:dyDescent="0.2">
      <c r="AI239" s="17"/>
      <c r="AL239" s="17"/>
      <c r="AO239" s="17"/>
      <c r="AR239" s="17"/>
      <c r="AU239" s="17"/>
    </row>
    <row r="240" spans="28:57" x14ac:dyDescent="0.2">
      <c r="AI240" s="17"/>
      <c r="AL240" s="17"/>
      <c r="AO240" s="17"/>
      <c r="AR240" s="17"/>
      <c r="AU240" s="17"/>
    </row>
    <row r="241" spans="35:47" x14ac:dyDescent="0.2">
      <c r="AI241" s="17"/>
      <c r="AL241" s="17"/>
      <c r="AO241" s="17"/>
      <c r="AR241" s="17"/>
      <c r="AU241" s="17"/>
    </row>
    <row r="242" spans="35:47" x14ac:dyDescent="0.2">
      <c r="AI242" s="17"/>
      <c r="AL242" s="17"/>
      <c r="AO242" s="17"/>
      <c r="AR242" s="17"/>
      <c r="AU242" s="17"/>
    </row>
    <row r="243" spans="35:47" x14ac:dyDescent="0.2">
      <c r="AI243" s="17"/>
      <c r="AL243" s="17"/>
      <c r="AO243" s="17"/>
      <c r="AR243" s="17"/>
      <c r="AU243" s="17"/>
    </row>
    <row r="244" spans="35:47" x14ac:dyDescent="0.2">
      <c r="AI244" s="17"/>
      <c r="AL244" s="17"/>
      <c r="AO244" s="17"/>
      <c r="AR244" s="17"/>
      <c r="AU244" s="17"/>
    </row>
    <row r="245" spans="35:47" x14ac:dyDescent="0.2">
      <c r="AI245" s="17"/>
      <c r="AL245" s="17"/>
      <c r="AO245" s="17"/>
      <c r="AR245" s="17"/>
      <c r="AU245" s="17"/>
    </row>
    <row r="246" spans="35:47" x14ac:dyDescent="0.2">
      <c r="AI246" s="17"/>
      <c r="AL246" s="17"/>
      <c r="AO246" s="17"/>
      <c r="AR246" s="17"/>
      <c r="AU246" s="17"/>
    </row>
    <row r="247" spans="35:47" x14ac:dyDescent="0.2">
      <c r="AI247" s="17"/>
      <c r="AL247" s="17"/>
      <c r="AO247" s="17"/>
      <c r="AR247" s="17"/>
      <c r="AU247" s="17"/>
    </row>
    <row r="248" spans="35:47" x14ac:dyDescent="0.2">
      <c r="AI248" s="17"/>
      <c r="AL248" s="17"/>
      <c r="AO248" s="17"/>
      <c r="AR248" s="17"/>
      <c r="AU248" s="17"/>
    </row>
    <row r="249" spans="35:47" x14ac:dyDescent="0.2">
      <c r="AI249" s="17"/>
      <c r="AL249" s="17"/>
      <c r="AO249" s="17"/>
      <c r="AR249" s="17"/>
      <c r="AU249" s="17"/>
    </row>
    <row r="250" spans="35:47" x14ac:dyDescent="0.2">
      <c r="AI250" s="17"/>
      <c r="AL250" s="17"/>
      <c r="AO250" s="17"/>
      <c r="AR250" s="17"/>
      <c r="AU250" s="17"/>
    </row>
    <row r="251" spans="35:47" x14ac:dyDescent="0.2">
      <c r="AI251" s="17"/>
      <c r="AL251" s="17"/>
      <c r="AO251" s="17"/>
      <c r="AR251" s="17"/>
      <c r="AU251" s="17"/>
    </row>
    <row r="252" spans="35:47" x14ac:dyDescent="0.2">
      <c r="AI252" s="17"/>
      <c r="AL252" s="17"/>
      <c r="AO252" s="17"/>
      <c r="AR252" s="17"/>
      <c r="AU252" s="17"/>
    </row>
    <row r="253" spans="35:47" x14ac:dyDescent="0.2">
      <c r="AI253" s="17"/>
      <c r="AL253" s="17"/>
      <c r="AO253" s="17"/>
      <c r="AR253" s="17"/>
      <c r="AU253" s="17"/>
    </row>
    <row r="254" spans="35:47" x14ac:dyDescent="0.2">
      <c r="AI254" s="17"/>
      <c r="AL254" s="17"/>
      <c r="AO254" s="17"/>
      <c r="AR254" s="17"/>
      <c r="AU254" s="17"/>
    </row>
    <row r="255" spans="35:47" x14ac:dyDescent="0.2">
      <c r="AI255" s="17"/>
      <c r="AL255" s="17"/>
      <c r="AO255" s="17"/>
      <c r="AR255" s="17"/>
      <c r="AU255" s="17"/>
    </row>
    <row r="256" spans="35:47" x14ac:dyDescent="0.2">
      <c r="AI256" s="17"/>
      <c r="AL256" s="17"/>
      <c r="AO256" s="17"/>
      <c r="AR256" s="17"/>
      <c r="AU256" s="17"/>
    </row>
    <row r="257" spans="35:47" x14ac:dyDescent="0.2">
      <c r="AI257" s="17"/>
      <c r="AL257" s="17"/>
      <c r="AO257" s="17"/>
      <c r="AR257" s="17"/>
      <c r="AU257" s="17"/>
    </row>
    <row r="258" spans="35:47" x14ac:dyDescent="0.2">
      <c r="AI258" s="17"/>
      <c r="AL258" s="17"/>
      <c r="AO258" s="17"/>
      <c r="AR258" s="17"/>
      <c r="AU258" s="17"/>
    </row>
    <row r="259" spans="35:47" x14ac:dyDescent="0.2">
      <c r="AI259" s="17"/>
      <c r="AL259" s="17"/>
      <c r="AO259" s="17"/>
      <c r="AR259" s="17"/>
      <c r="AU259" s="17"/>
    </row>
    <row r="260" spans="35:47" x14ac:dyDescent="0.2">
      <c r="AI260" s="17"/>
      <c r="AL260" s="17"/>
      <c r="AO260" s="17"/>
      <c r="AR260" s="17"/>
      <c r="AU260" s="17"/>
    </row>
    <row r="261" spans="35:47" x14ac:dyDescent="0.2">
      <c r="AI261" s="17"/>
      <c r="AL261" s="17"/>
      <c r="AO261" s="17"/>
      <c r="AR261" s="17"/>
      <c r="AU261" s="17"/>
    </row>
    <row r="262" spans="35:47" x14ac:dyDescent="0.2">
      <c r="AI262" s="17"/>
      <c r="AL262" s="17"/>
      <c r="AO262" s="17"/>
      <c r="AR262" s="17"/>
      <c r="AU262" s="17"/>
    </row>
    <row r="263" spans="35:47" x14ac:dyDescent="0.2">
      <c r="AI263" s="17"/>
      <c r="AL263" s="17"/>
      <c r="AO263" s="17"/>
      <c r="AR263" s="17"/>
      <c r="AU263" s="17"/>
    </row>
    <row r="264" spans="35:47" x14ac:dyDescent="0.2">
      <c r="AI264" s="17"/>
      <c r="AL264" s="17"/>
      <c r="AO264" s="17"/>
      <c r="AR264" s="17"/>
      <c r="AU264" s="17"/>
    </row>
    <row r="265" spans="35:47" x14ac:dyDescent="0.2">
      <c r="AI265" s="17"/>
      <c r="AL265" s="17"/>
      <c r="AO265" s="17"/>
      <c r="AR265" s="17"/>
      <c r="AU265" s="17"/>
    </row>
    <row r="266" spans="35:47" x14ac:dyDescent="0.2">
      <c r="AI266" s="17"/>
      <c r="AL266" s="17"/>
      <c r="AO266" s="17"/>
      <c r="AR266" s="17"/>
      <c r="AU266" s="17"/>
    </row>
    <row r="267" spans="35:47" x14ac:dyDescent="0.2">
      <c r="AI267" s="17"/>
      <c r="AL267" s="17"/>
      <c r="AO267" s="17"/>
      <c r="AR267" s="17"/>
      <c r="AU267" s="17"/>
    </row>
    <row r="268" spans="35:47" x14ac:dyDescent="0.2">
      <c r="AI268" s="17"/>
      <c r="AL268" s="17"/>
      <c r="AO268" s="17"/>
      <c r="AR268" s="17"/>
      <c r="AU268" s="17"/>
    </row>
    <row r="269" spans="35:47" x14ac:dyDescent="0.2">
      <c r="AI269" s="17"/>
      <c r="AL269" s="17"/>
      <c r="AO269" s="17"/>
      <c r="AR269" s="17"/>
      <c r="AU269" s="17"/>
    </row>
    <row r="270" spans="35:47" x14ac:dyDescent="0.2">
      <c r="AI270" s="17"/>
      <c r="AL270" s="17"/>
      <c r="AO270" s="17"/>
      <c r="AR270" s="17"/>
      <c r="AU270" s="17"/>
    </row>
    <row r="271" spans="35:47" x14ac:dyDescent="0.2">
      <c r="AI271" s="17"/>
      <c r="AL271" s="17"/>
      <c r="AO271" s="17"/>
      <c r="AR271" s="17"/>
      <c r="AU271" s="17"/>
    </row>
    <row r="272" spans="35:47" x14ac:dyDescent="0.2">
      <c r="AI272" s="17"/>
      <c r="AL272" s="17"/>
      <c r="AO272" s="17"/>
      <c r="AR272" s="17"/>
      <c r="AU272" s="17"/>
    </row>
    <row r="273" spans="35:47" x14ac:dyDescent="0.2">
      <c r="AI273" s="17"/>
      <c r="AL273" s="17"/>
      <c r="AO273" s="17"/>
      <c r="AR273" s="17"/>
      <c r="AU273" s="17"/>
    </row>
    <row r="274" spans="35:47" x14ac:dyDescent="0.2">
      <c r="AI274" s="17"/>
      <c r="AL274" s="17"/>
      <c r="AO274" s="17"/>
      <c r="AR274" s="17"/>
      <c r="AU274" s="17"/>
    </row>
    <row r="275" spans="35:47" x14ac:dyDescent="0.2">
      <c r="AI275" s="17"/>
      <c r="AL275" s="17"/>
      <c r="AO275" s="17"/>
      <c r="AR275" s="17"/>
      <c r="AU275" s="17"/>
    </row>
    <row r="276" spans="35:47" x14ac:dyDescent="0.2">
      <c r="AI276" s="17"/>
      <c r="AL276" s="17"/>
      <c r="AO276" s="17"/>
      <c r="AR276" s="17"/>
      <c r="AU276" s="17"/>
    </row>
    <row r="277" spans="35:47" x14ac:dyDescent="0.2">
      <c r="AI277" s="17"/>
      <c r="AL277" s="17"/>
      <c r="AO277" s="17"/>
      <c r="AR277" s="17"/>
      <c r="AU277" s="17"/>
    </row>
    <row r="278" spans="35:47" x14ac:dyDescent="0.2">
      <c r="AI278" s="17"/>
      <c r="AL278" s="17"/>
      <c r="AO278" s="17"/>
      <c r="AR278" s="17"/>
      <c r="AU278" s="17"/>
    </row>
    <row r="279" spans="35:47" x14ac:dyDescent="0.2">
      <c r="AI279" s="17"/>
      <c r="AL279" s="17"/>
      <c r="AO279" s="17"/>
      <c r="AR279" s="17"/>
      <c r="AU279" s="17"/>
    </row>
    <row r="280" spans="35:47" x14ac:dyDescent="0.2">
      <c r="AI280" s="17"/>
      <c r="AL280" s="17"/>
      <c r="AO280" s="17"/>
      <c r="AR280" s="17"/>
      <c r="AU280" s="17"/>
    </row>
    <row r="281" spans="35:47" x14ac:dyDescent="0.2">
      <c r="AI281" s="17"/>
      <c r="AL281" s="17"/>
      <c r="AO281" s="17"/>
      <c r="AR281" s="17"/>
      <c r="AU281" s="17"/>
    </row>
    <row r="282" spans="35:47" x14ac:dyDescent="0.2">
      <c r="AI282" s="17"/>
      <c r="AL282" s="17"/>
      <c r="AO282" s="17"/>
      <c r="AR282" s="17"/>
      <c r="AU282" s="17"/>
    </row>
    <row r="283" spans="35:47" x14ac:dyDescent="0.2">
      <c r="AI283" s="17"/>
      <c r="AL283" s="17"/>
      <c r="AO283" s="17"/>
      <c r="AR283" s="17"/>
      <c r="AU283" s="17"/>
    </row>
    <row r="284" spans="35:47" x14ac:dyDescent="0.2">
      <c r="AI284" s="17"/>
      <c r="AL284" s="17"/>
      <c r="AO284" s="17"/>
      <c r="AR284" s="17"/>
      <c r="AU284" s="17"/>
    </row>
    <row r="285" spans="35:47" x14ac:dyDescent="0.2">
      <c r="AI285" s="17"/>
      <c r="AL285" s="17"/>
      <c r="AO285" s="17"/>
      <c r="AR285" s="17"/>
      <c r="AU285" s="17"/>
    </row>
    <row r="286" spans="35:47" x14ac:dyDescent="0.2">
      <c r="AI286" s="17"/>
      <c r="AL286" s="17"/>
      <c r="AO286" s="17"/>
      <c r="AR286" s="17"/>
      <c r="AU286" s="17"/>
    </row>
    <row r="287" spans="35:47" x14ac:dyDescent="0.2">
      <c r="AI287" s="17"/>
      <c r="AL287" s="17"/>
      <c r="AO287" s="17"/>
      <c r="AR287" s="17"/>
      <c r="AU287" s="17"/>
    </row>
    <row r="288" spans="35:47" x14ac:dyDescent="0.2">
      <c r="AI288" s="17"/>
      <c r="AL288" s="17"/>
      <c r="AO288" s="17"/>
      <c r="AR288" s="17"/>
      <c r="AU288" s="17"/>
    </row>
    <row r="289" spans="35:47" x14ac:dyDescent="0.2">
      <c r="AI289" s="17"/>
      <c r="AL289" s="17"/>
      <c r="AO289" s="17"/>
      <c r="AR289" s="17"/>
      <c r="AU289" s="17"/>
    </row>
    <row r="290" spans="35:47" x14ac:dyDescent="0.2">
      <c r="AI290" s="17"/>
      <c r="AL290" s="17"/>
      <c r="AO290" s="17"/>
      <c r="AR290" s="17"/>
      <c r="AU290" s="17"/>
    </row>
    <row r="291" spans="35:47" x14ac:dyDescent="0.2">
      <c r="AI291" s="17"/>
      <c r="AL291" s="17"/>
      <c r="AO291" s="17"/>
      <c r="AR291" s="17"/>
      <c r="AU291" s="17"/>
    </row>
    <row r="292" spans="35:47" x14ac:dyDescent="0.2">
      <c r="AI292" s="17"/>
      <c r="AL292" s="17"/>
      <c r="AO292" s="17"/>
      <c r="AR292" s="17"/>
      <c r="AU292" s="17"/>
    </row>
    <row r="293" spans="35:47" x14ac:dyDescent="0.2">
      <c r="AI293" s="17"/>
      <c r="AL293" s="17"/>
      <c r="AO293" s="17"/>
      <c r="AR293" s="17"/>
      <c r="AU293" s="17"/>
    </row>
    <row r="294" spans="35:47" x14ac:dyDescent="0.2">
      <c r="AI294" s="17"/>
      <c r="AL294" s="17"/>
      <c r="AO294" s="17"/>
      <c r="AR294" s="17"/>
      <c r="AU294" s="17"/>
    </row>
    <row r="295" spans="35:47" x14ac:dyDescent="0.2">
      <c r="AI295" s="17"/>
      <c r="AL295" s="17"/>
      <c r="AO295" s="17"/>
      <c r="AR295" s="17"/>
      <c r="AU295" s="17"/>
    </row>
    <row r="296" spans="35:47" x14ac:dyDescent="0.2">
      <c r="AI296" s="17"/>
      <c r="AL296" s="17"/>
      <c r="AO296" s="17"/>
      <c r="AR296" s="17"/>
      <c r="AU296" s="17"/>
    </row>
    <row r="297" spans="35:47" x14ac:dyDescent="0.2">
      <c r="AI297" s="17"/>
      <c r="AL297" s="17"/>
      <c r="AO297" s="17"/>
      <c r="AR297" s="17"/>
      <c r="AU297" s="17"/>
    </row>
    <row r="298" spans="35:47" x14ac:dyDescent="0.2">
      <c r="AI298" s="17"/>
      <c r="AL298" s="17"/>
      <c r="AO298" s="17"/>
      <c r="AR298" s="17"/>
      <c r="AU298" s="17"/>
    </row>
    <row r="299" spans="35:47" x14ac:dyDescent="0.2">
      <c r="AI299" s="17"/>
      <c r="AL299" s="17"/>
      <c r="AO299" s="17"/>
      <c r="AR299" s="17"/>
      <c r="AU299" s="17"/>
    </row>
    <row r="300" spans="35:47" x14ac:dyDescent="0.2">
      <c r="AI300" s="17"/>
      <c r="AL300" s="17"/>
      <c r="AO300" s="17"/>
      <c r="AR300" s="17"/>
      <c r="AU300" s="17"/>
    </row>
    <row r="301" spans="35:47" x14ac:dyDescent="0.2">
      <c r="AI301" s="17"/>
      <c r="AL301" s="17"/>
      <c r="AO301" s="17"/>
      <c r="AR301" s="17"/>
      <c r="AU301" s="17"/>
    </row>
    <row r="302" spans="35:47" x14ac:dyDescent="0.2">
      <c r="AI302" s="17"/>
      <c r="AL302" s="17"/>
      <c r="AO302" s="17"/>
      <c r="AR302" s="17"/>
      <c r="AU302" s="17"/>
    </row>
    <row r="303" spans="35:47" x14ac:dyDescent="0.2">
      <c r="AI303" s="17"/>
      <c r="AL303" s="17"/>
      <c r="AO303" s="17"/>
      <c r="AR303" s="17"/>
      <c r="AU303" s="17"/>
    </row>
    <row r="304" spans="35:47" x14ac:dyDescent="0.2">
      <c r="AI304" s="17"/>
      <c r="AL304" s="17"/>
      <c r="AO304" s="17"/>
      <c r="AR304" s="17"/>
      <c r="AU304" s="17"/>
    </row>
    <row r="305" spans="35:47" x14ac:dyDescent="0.2">
      <c r="AI305" s="17"/>
      <c r="AL305" s="17"/>
      <c r="AO305" s="17"/>
      <c r="AR305" s="17"/>
      <c r="AU305" s="17"/>
    </row>
    <row r="306" spans="35:47" x14ac:dyDescent="0.2">
      <c r="AI306" s="17"/>
      <c r="AL306" s="17"/>
      <c r="AO306" s="17"/>
      <c r="AR306" s="17"/>
      <c r="AU306" s="17"/>
    </row>
    <row r="307" spans="35:47" x14ac:dyDescent="0.2">
      <c r="AI307" s="17"/>
      <c r="AL307" s="17"/>
      <c r="AO307" s="17"/>
      <c r="AR307" s="17"/>
      <c r="AU307" s="17"/>
    </row>
    <row r="308" spans="35:47" x14ac:dyDescent="0.2">
      <c r="AI308" s="17"/>
      <c r="AL308" s="17"/>
      <c r="AO308" s="17"/>
      <c r="AR308" s="17"/>
      <c r="AU308" s="17"/>
    </row>
    <row r="309" spans="35:47" x14ac:dyDescent="0.2">
      <c r="AI309" s="17"/>
      <c r="AL309" s="17"/>
      <c r="AO309" s="17"/>
      <c r="AR309" s="17"/>
      <c r="AU309" s="17"/>
    </row>
    <row r="310" spans="35:47" x14ac:dyDescent="0.2">
      <c r="AI310" s="17"/>
      <c r="AL310" s="17"/>
      <c r="AO310" s="17"/>
      <c r="AR310" s="17"/>
      <c r="AU310" s="17"/>
    </row>
    <row r="311" spans="35:47" x14ac:dyDescent="0.2">
      <c r="AI311" s="17"/>
      <c r="AL311" s="17"/>
      <c r="AO311" s="17"/>
      <c r="AR311" s="17"/>
      <c r="AU311" s="17"/>
    </row>
    <row r="312" spans="35:47" x14ac:dyDescent="0.2">
      <c r="AI312" s="17"/>
      <c r="AL312" s="17"/>
      <c r="AO312" s="17"/>
      <c r="AR312" s="17"/>
      <c r="AU312" s="17"/>
    </row>
    <row r="313" spans="35:47" x14ac:dyDescent="0.2">
      <c r="AI313" s="17"/>
      <c r="AL313" s="17"/>
      <c r="AO313" s="17"/>
      <c r="AR313" s="17"/>
      <c r="AU313" s="17"/>
    </row>
    <row r="314" spans="35:47" x14ac:dyDescent="0.2">
      <c r="AI314" s="17"/>
      <c r="AL314" s="17"/>
      <c r="AO314" s="17"/>
      <c r="AR314" s="17"/>
      <c r="AU314" s="17"/>
    </row>
    <row r="315" spans="35:47" x14ac:dyDescent="0.2">
      <c r="AI315" s="17"/>
      <c r="AL315" s="17"/>
      <c r="AO315" s="17"/>
      <c r="AR315" s="17"/>
      <c r="AU315" s="17"/>
    </row>
    <row r="316" spans="35:47" x14ac:dyDescent="0.2">
      <c r="AI316" s="17"/>
      <c r="AL316" s="17"/>
      <c r="AO316" s="17"/>
      <c r="AR316" s="17"/>
      <c r="AU316" s="17"/>
    </row>
    <row r="317" spans="35:47" x14ac:dyDescent="0.2">
      <c r="AI317" s="17"/>
      <c r="AL317" s="17"/>
      <c r="AO317" s="17"/>
      <c r="AR317" s="17"/>
      <c r="AU317" s="17"/>
    </row>
    <row r="318" spans="35:47" x14ac:dyDescent="0.2">
      <c r="AI318" s="17"/>
      <c r="AL318" s="17"/>
      <c r="AO318" s="17"/>
      <c r="AR318" s="17"/>
      <c r="AU318" s="17"/>
    </row>
    <row r="319" spans="35:47" x14ac:dyDescent="0.2">
      <c r="AI319" s="17"/>
      <c r="AL319" s="17"/>
      <c r="AO319" s="17"/>
      <c r="AR319" s="17"/>
      <c r="AU319" s="17"/>
    </row>
    <row r="320" spans="35:47" x14ac:dyDescent="0.2">
      <c r="AI320" s="17"/>
      <c r="AL320" s="17"/>
      <c r="AO320" s="17"/>
      <c r="AR320" s="17"/>
      <c r="AU320" s="17"/>
    </row>
    <row r="321" spans="35:47" x14ac:dyDescent="0.2">
      <c r="AI321" s="17"/>
      <c r="AL321" s="17"/>
      <c r="AO321" s="17"/>
      <c r="AR321" s="17"/>
      <c r="AU321" s="17"/>
    </row>
    <row r="322" spans="35:47" x14ac:dyDescent="0.2">
      <c r="AI322" s="17"/>
      <c r="AL322" s="17"/>
      <c r="AO322" s="17"/>
      <c r="AR322" s="17"/>
      <c r="AU322" s="17"/>
    </row>
    <row r="323" spans="35:47" x14ac:dyDescent="0.2">
      <c r="AI323" s="17"/>
      <c r="AL323" s="17"/>
      <c r="AO323" s="17"/>
      <c r="AR323" s="17"/>
      <c r="AU323" s="17"/>
    </row>
    <row r="324" spans="35:47" x14ac:dyDescent="0.2">
      <c r="AI324" s="17"/>
      <c r="AL324" s="17"/>
      <c r="AO324" s="17"/>
      <c r="AR324" s="17"/>
      <c r="AU324" s="17"/>
    </row>
    <row r="325" spans="35:47" x14ac:dyDescent="0.2">
      <c r="AI325" s="17"/>
      <c r="AL325" s="17"/>
      <c r="AO325" s="17"/>
      <c r="AR325" s="17"/>
      <c r="AU325" s="17"/>
    </row>
    <row r="326" spans="35:47" x14ac:dyDescent="0.2">
      <c r="AI326" s="17"/>
      <c r="AL326" s="17"/>
      <c r="AO326" s="17"/>
      <c r="AR326" s="17"/>
      <c r="AU326" s="17"/>
    </row>
    <row r="327" spans="35:47" x14ac:dyDescent="0.2">
      <c r="AI327" s="17"/>
      <c r="AL327" s="17"/>
      <c r="AO327" s="17"/>
      <c r="AR327" s="17"/>
      <c r="AU327" s="17"/>
    </row>
    <row r="328" spans="35:47" x14ac:dyDescent="0.2">
      <c r="AI328" s="17"/>
      <c r="AL328" s="17"/>
      <c r="AO328" s="17"/>
      <c r="AR328" s="17"/>
      <c r="AU328" s="17"/>
    </row>
    <row r="329" spans="35:47" x14ac:dyDescent="0.2">
      <c r="AI329" s="17"/>
      <c r="AL329" s="17"/>
      <c r="AO329" s="17"/>
      <c r="AR329" s="17"/>
      <c r="AU329" s="17"/>
    </row>
    <row r="330" spans="35:47" x14ac:dyDescent="0.2">
      <c r="AI330" s="17"/>
      <c r="AL330" s="17"/>
      <c r="AO330" s="17"/>
      <c r="AR330" s="17"/>
      <c r="AU330" s="17"/>
    </row>
    <row r="331" spans="35:47" x14ac:dyDescent="0.2">
      <c r="AI331" s="17"/>
      <c r="AL331" s="17"/>
      <c r="AO331" s="17"/>
      <c r="AR331" s="17"/>
      <c r="AU331" s="17"/>
    </row>
    <row r="332" spans="35:47" x14ac:dyDescent="0.2">
      <c r="AI332" s="17"/>
      <c r="AL332" s="17"/>
      <c r="AO332" s="17"/>
      <c r="AR332" s="17"/>
      <c r="AU332" s="17"/>
    </row>
    <row r="333" spans="35:47" x14ac:dyDescent="0.2">
      <c r="AI333" s="17"/>
      <c r="AL333" s="17"/>
      <c r="AO333" s="17"/>
      <c r="AR333" s="17"/>
      <c r="AU333" s="17"/>
    </row>
    <row r="334" spans="35:47" x14ac:dyDescent="0.2">
      <c r="AI334" s="17"/>
      <c r="AL334" s="17"/>
      <c r="AO334" s="17"/>
      <c r="AR334" s="17"/>
      <c r="AU334" s="17"/>
    </row>
    <row r="335" spans="35:47" x14ac:dyDescent="0.2">
      <c r="AI335" s="17"/>
      <c r="AL335" s="17"/>
      <c r="AO335" s="17"/>
      <c r="AR335" s="17"/>
      <c r="AU335" s="17"/>
    </row>
    <row r="336" spans="35:47" x14ac:dyDescent="0.2">
      <c r="AI336" s="17"/>
      <c r="AL336" s="17"/>
      <c r="AO336" s="17"/>
      <c r="AR336" s="17"/>
      <c r="AU336" s="17"/>
    </row>
    <row r="337" spans="35:47" x14ac:dyDescent="0.2">
      <c r="AI337" s="17"/>
      <c r="AL337" s="17"/>
      <c r="AO337" s="17"/>
      <c r="AR337" s="17"/>
      <c r="AU337" s="17"/>
    </row>
    <row r="338" spans="35:47" x14ac:dyDescent="0.2">
      <c r="AI338" s="17"/>
      <c r="AL338" s="17"/>
      <c r="AO338" s="17"/>
      <c r="AR338" s="17"/>
      <c r="AU338" s="17"/>
    </row>
    <row r="339" spans="35:47" x14ac:dyDescent="0.2">
      <c r="AI339" s="17"/>
      <c r="AL339" s="17"/>
      <c r="AO339" s="17"/>
      <c r="AR339" s="17"/>
      <c r="AU339" s="17"/>
    </row>
    <row r="340" spans="35:47" x14ac:dyDescent="0.2">
      <c r="AI340" s="17"/>
      <c r="AL340" s="17"/>
      <c r="AO340" s="17"/>
      <c r="AR340" s="17"/>
      <c r="AU340" s="17"/>
    </row>
    <row r="341" spans="35:47" x14ac:dyDescent="0.2">
      <c r="AI341" s="17"/>
      <c r="AL341" s="17"/>
      <c r="AO341" s="17"/>
      <c r="AR341" s="17"/>
      <c r="AU341" s="17"/>
    </row>
    <row r="342" spans="35:47" x14ac:dyDescent="0.2">
      <c r="AI342" s="17"/>
      <c r="AL342" s="17"/>
      <c r="AO342" s="17"/>
      <c r="AR342" s="17"/>
      <c r="AU342" s="17"/>
    </row>
    <row r="343" spans="35:47" x14ac:dyDescent="0.2">
      <c r="AI343" s="17"/>
      <c r="AL343" s="17"/>
      <c r="AO343" s="17"/>
      <c r="AR343" s="17"/>
      <c r="AU343" s="17"/>
    </row>
    <row r="344" spans="35:47" x14ac:dyDescent="0.2">
      <c r="AI344" s="17"/>
      <c r="AL344" s="17"/>
      <c r="AO344" s="17"/>
      <c r="AR344" s="17"/>
      <c r="AU344" s="17"/>
    </row>
    <row r="345" spans="35:47" x14ac:dyDescent="0.2">
      <c r="AI345" s="17"/>
      <c r="AL345" s="17"/>
      <c r="AO345" s="17"/>
      <c r="AR345" s="17"/>
      <c r="AU345" s="17"/>
    </row>
    <row r="346" spans="35:47" x14ac:dyDescent="0.2">
      <c r="AI346" s="17"/>
      <c r="AL346" s="17"/>
      <c r="AO346" s="17"/>
      <c r="AR346" s="17"/>
      <c r="AU346" s="17"/>
    </row>
    <row r="347" spans="35:47" x14ac:dyDescent="0.2">
      <c r="AI347" s="17"/>
      <c r="AL347" s="17"/>
      <c r="AO347" s="17"/>
      <c r="AR347" s="17"/>
      <c r="AU347" s="17"/>
    </row>
    <row r="348" spans="35:47" x14ac:dyDescent="0.2">
      <c r="AI348" s="17"/>
      <c r="AL348" s="17"/>
      <c r="AO348" s="17"/>
      <c r="AR348" s="17"/>
      <c r="AU348" s="17"/>
    </row>
    <row r="349" spans="35:47" x14ac:dyDescent="0.2">
      <c r="AI349" s="17"/>
      <c r="AL349" s="17"/>
      <c r="AO349" s="17"/>
      <c r="AR349" s="17"/>
      <c r="AU349" s="17"/>
    </row>
    <row r="350" spans="35:47" x14ac:dyDescent="0.2">
      <c r="AI350" s="17"/>
      <c r="AL350" s="17"/>
      <c r="AO350" s="17"/>
      <c r="AR350" s="17"/>
      <c r="AU350" s="17"/>
    </row>
    <row r="351" spans="35:47" x14ac:dyDescent="0.2">
      <c r="AI351" s="17"/>
      <c r="AL351" s="17"/>
      <c r="AO351" s="17"/>
      <c r="AR351" s="17"/>
      <c r="AU351" s="17"/>
    </row>
    <row r="352" spans="35:47" x14ac:dyDescent="0.2">
      <c r="AI352" s="17"/>
      <c r="AL352" s="17"/>
      <c r="AO352" s="17"/>
      <c r="AR352" s="17"/>
      <c r="AU352" s="17"/>
    </row>
    <row r="353" spans="35:47" x14ac:dyDescent="0.2">
      <c r="AI353" s="17"/>
      <c r="AL353" s="17"/>
      <c r="AO353" s="17"/>
      <c r="AR353" s="17"/>
      <c r="AU353" s="17"/>
    </row>
    <row r="354" spans="35:47" x14ac:dyDescent="0.2">
      <c r="AI354" s="17"/>
      <c r="AL354" s="17"/>
      <c r="AO354" s="17"/>
      <c r="AR354" s="17"/>
      <c r="AU354" s="17"/>
    </row>
    <row r="355" spans="35:47" x14ac:dyDescent="0.2">
      <c r="AI355" s="17"/>
      <c r="AL355" s="17"/>
      <c r="AO355" s="17"/>
      <c r="AR355" s="17"/>
      <c r="AU355" s="17"/>
    </row>
    <row r="356" spans="35:47" x14ac:dyDescent="0.2">
      <c r="AI356" s="17"/>
      <c r="AL356" s="17"/>
      <c r="AO356" s="17"/>
      <c r="AR356" s="17"/>
      <c r="AU356" s="17"/>
    </row>
    <row r="357" spans="35:47" x14ac:dyDescent="0.2">
      <c r="AI357" s="17"/>
      <c r="AL357" s="17"/>
      <c r="AO357" s="17"/>
      <c r="AR357" s="17"/>
      <c r="AU357" s="17"/>
    </row>
    <row r="358" spans="35:47" x14ac:dyDescent="0.2">
      <c r="AI358" s="17"/>
      <c r="AL358" s="17"/>
      <c r="AO358" s="17"/>
      <c r="AR358" s="17"/>
      <c r="AU358" s="17"/>
    </row>
    <row r="359" spans="35:47" x14ac:dyDescent="0.2">
      <c r="AI359" s="17"/>
      <c r="AL359" s="17"/>
      <c r="AO359" s="17"/>
      <c r="AR359" s="17"/>
      <c r="AU359" s="17"/>
    </row>
    <row r="360" spans="35:47" x14ac:dyDescent="0.2">
      <c r="AI360" s="17"/>
      <c r="AL360" s="17"/>
      <c r="AO360" s="17"/>
      <c r="AR360" s="17"/>
      <c r="AU360" s="17"/>
    </row>
    <row r="361" spans="35:47" x14ac:dyDescent="0.2">
      <c r="AI361" s="17"/>
      <c r="AL361" s="17"/>
      <c r="AO361" s="17"/>
      <c r="AR361" s="17"/>
      <c r="AU361" s="17"/>
    </row>
    <row r="362" spans="35:47" x14ac:dyDescent="0.2">
      <c r="AI362" s="17"/>
      <c r="AL362" s="17"/>
      <c r="AO362" s="17"/>
      <c r="AR362" s="17"/>
      <c r="AU362" s="17"/>
    </row>
    <row r="363" spans="35:47" x14ac:dyDescent="0.2">
      <c r="AI363" s="17"/>
      <c r="AL363" s="17"/>
      <c r="AO363" s="17"/>
      <c r="AR363" s="17"/>
      <c r="AU363" s="17"/>
    </row>
    <row r="364" spans="35:47" x14ac:dyDescent="0.2">
      <c r="AI364" s="17"/>
      <c r="AL364" s="17"/>
      <c r="AO364" s="17"/>
      <c r="AR364" s="17"/>
      <c r="AU364" s="17"/>
    </row>
    <row r="365" spans="35:47" x14ac:dyDescent="0.2">
      <c r="AI365" s="17"/>
      <c r="AL365" s="17"/>
      <c r="AO365" s="17"/>
      <c r="AR365" s="17"/>
      <c r="AU365" s="17"/>
    </row>
    <row r="366" spans="35:47" x14ac:dyDescent="0.2">
      <c r="AI366" s="17"/>
      <c r="AL366" s="17"/>
      <c r="AO366" s="17"/>
      <c r="AR366" s="17"/>
      <c r="AU366" s="17"/>
    </row>
    <row r="367" spans="35:47" x14ac:dyDescent="0.2">
      <c r="AI367" s="17"/>
      <c r="AL367" s="17"/>
      <c r="AO367" s="17"/>
      <c r="AR367" s="17"/>
      <c r="AU367" s="17"/>
    </row>
    <row r="368" spans="35:47" x14ac:dyDescent="0.2">
      <c r="AI368" s="17"/>
      <c r="AL368" s="17"/>
      <c r="AO368" s="17"/>
      <c r="AR368" s="17"/>
      <c r="AU368" s="17"/>
    </row>
    <row r="369" spans="35:47" x14ac:dyDescent="0.2">
      <c r="AI369" s="17"/>
      <c r="AL369" s="17"/>
      <c r="AO369" s="17"/>
      <c r="AR369" s="17"/>
      <c r="AU369" s="17"/>
    </row>
    <row r="370" spans="35:47" x14ac:dyDescent="0.2">
      <c r="AI370" s="17"/>
      <c r="AL370" s="17"/>
      <c r="AO370" s="17"/>
      <c r="AR370" s="17"/>
      <c r="AU370" s="17"/>
    </row>
    <row r="371" spans="35:47" x14ac:dyDescent="0.2">
      <c r="AI371" s="17"/>
      <c r="AL371" s="17"/>
      <c r="AO371" s="17"/>
      <c r="AR371" s="17"/>
      <c r="AU371" s="17"/>
    </row>
    <row r="372" spans="35:47" x14ac:dyDescent="0.2">
      <c r="AI372" s="17"/>
      <c r="AL372" s="17"/>
      <c r="AO372" s="17"/>
      <c r="AR372" s="17"/>
      <c r="AU372" s="17"/>
    </row>
    <row r="373" spans="35:47" x14ac:dyDescent="0.2">
      <c r="AI373" s="17"/>
      <c r="AL373" s="17"/>
      <c r="AO373" s="17"/>
      <c r="AR373" s="17"/>
      <c r="AU373" s="17"/>
    </row>
    <row r="374" spans="35:47" x14ac:dyDescent="0.2">
      <c r="AI374" s="17"/>
      <c r="AL374" s="17"/>
      <c r="AO374" s="17"/>
      <c r="AR374" s="17"/>
      <c r="AU374" s="17"/>
    </row>
    <row r="375" spans="35:47" x14ac:dyDescent="0.2">
      <c r="AI375" s="17"/>
      <c r="AL375" s="17"/>
      <c r="AO375" s="17"/>
      <c r="AR375" s="17"/>
      <c r="AU375" s="17"/>
    </row>
    <row r="376" spans="35:47" x14ac:dyDescent="0.2">
      <c r="AI376" s="17"/>
      <c r="AL376" s="17"/>
      <c r="AO376" s="17"/>
      <c r="AR376" s="17"/>
      <c r="AU376" s="17"/>
    </row>
    <row r="377" spans="35:47" x14ac:dyDescent="0.2">
      <c r="AI377" s="17"/>
      <c r="AL377" s="17"/>
      <c r="AO377" s="17"/>
      <c r="AR377" s="17"/>
      <c r="AU377" s="17"/>
    </row>
    <row r="378" spans="35:47" x14ac:dyDescent="0.2">
      <c r="AI378" s="17"/>
      <c r="AL378" s="17"/>
      <c r="AO378" s="17"/>
      <c r="AR378" s="17"/>
      <c r="AU378" s="17"/>
    </row>
    <row r="379" spans="35:47" x14ac:dyDescent="0.2">
      <c r="AI379" s="17"/>
      <c r="AL379" s="17"/>
      <c r="AO379" s="17"/>
      <c r="AR379" s="17"/>
      <c r="AU379" s="17"/>
    </row>
    <row r="380" spans="35:47" x14ac:dyDescent="0.2">
      <c r="AI380" s="17"/>
      <c r="AL380" s="17"/>
      <c r="AO380" s="17"/>
      <c r="AR380" s="17"/>
      <c r="AU380" s="17"/>
    </row>
    <row r="381" spans="35:47" x14ac:dyDescent="0.2">
      <c r="AI381" s="17"/>
      <c r="AL381" s="17"/>
      <c r="AO381" s="17"/>
      <c r="AR381" s="17"/>
      <c r="AU381" s="17"/>
    </row>
    <row r="382" spans="35:47" x14ac:dyDescent="0.2">
      <c r="AI382" s="17"/>
      <c r="AL382" s="17"/>
      <c r="AO382" s="17"/>
      <c r="AR382" s="17"/>
      <c r="AU382" s="17"/>
    </row>
    <row r="383" spans="35:47" x14ac:dyDescent="0.2">
      <c r="AI383" s="17"/>
      <c r="AL383" s="17"/>
      <c r="AO383" s="17"/>
      <c r="AR383" s="17"/>
      <c r="AU383" s="17"/>
    </row>
    <row r="384" spans="35:47" x14ac:dyDescent="0.2">
      <c r="AI384" s="17"/>
      <c r="AL384" s="17"/>
      <c r="AO384" s="17"/>
      <c r="AR384" s="17"/>
      <c r="AU384" s="17"/>
    </row>
    <row r="385" spans="35:47" x14ac:dyDescent="0.2">
      <c r="AI385" s="17"/>
      <c r="AL385" s="17"/>
      <c r="AO385" s="17"/>
      <c r="AR385" s="17"/>
      <c r="AU385" s="17"/>
    </row>
    <row r="386" spans="35:47" x14ac:dyDescent="0.2">
      <c r="AI386" s="17"/>
      <c r="AL386" s="17"/>
      <c r="AO386" s="17"/>
      <c r="AR386" s="17"/>
      <c r="AU386" s="17"/>
    </row>
    <row r="387" spans="35:47" x14ac:dyDescent="0.2">
      <c r="AI387" s="17"/>
      <c r="AL387" s="17"/>
      <c r="AO387" s="17"/>
      <c r="AR387" s="17"/>
      <c r="AU387" s="17"/>
    </row>
    <row r="388" spans="35:47" x14ac:dyDescent="0.2">
      <c r="AI388" s="17"/>
      <c r="AL388" s="17"/>
      <c r="AO388" s="17"/>
      <c r="AR388" s="17"/>
      <c r="AU388" s="17"/>
    </row>
    <row r="389" spans="35:47" x14ac:dyDescent="0.2">
      <c r="AI389" s="17"/>
      <c r="AL389" s="17"/>
      <c r="AO389" s="17"/>
      <c r="AR389" s="17"/>
      <c r="AU389" s="17"/>
    </row>
    <row r="390" spans="35:47" x14ac:dyDescent="0.2">
      <c r="AI390" s="17"/>
      <c r="AL390" s="17"/>
      <c r="AO390" s="17"/>
      <c r="AR390" s="17"/>
      <c r="AU390" s="17"/>
    </row>
    <row r="391" spans="35:47" x14ac:dyDescent="0.2">
      <c r="AI391" s="17"/>
      <c r="AL391" s="17"/>
      <c r="AO391" s="17"/>
      <c r="AR391" s="17"/>
      <c r="AU391" s="17"/>
    </row>
    <row r="392" spans="35:47" x14ac:dyDescent="0.2">
      <c r="AI392" s="17"/>
      <c r="AL392" s="17"/>
      <c r="AO392" s="17"/>
      <c r="AR392" s="17"/>
      <c r="AU392" s="17"/>
    </row>
    <row r="393" spans="35:47" x14ac:dyDescent="0.2">
      <c r="AI393" s="17"/>
      <c r="AL393" s="17"/>
      <c r="AO393" s="17"/>
      <c r="AR393" s="17"/>
      <c r="AU393" s="17"/>
    </row>
    <row r="394" spans="35:47" x14ac:dyDescent="0.2">
      <c r="AI394" s="17"/>
      <c r="AL394" s="17"/>
      <c r="AO394" s="17"/>
      <c r="AR394" s="17"/>
      <c r="AU394" s="17"/>
    </row>
    <row r="395" spans="35:47" x14ac:dyDescent="0.2">
      <c r="AI395" s="17"/>
      <c r="AL395" s="17"/>
      <c r="AO395" s="17"/>
      <c r="AR395" s="17"/>
      <c r="AU395" s="17"/>
    </row>
    <row r="396" spans="35:47" x14ac:dyDescent="0.2">
      <c r="AI396" s="17"/>
      <c r="AL396" s="17"/>
      <c r="AO396" s="17"/>
      <c r="AR396" s="17"/>
      <c r="AU396" s="17"/>
    </row>
    <row r="397" spans="35:47" x14ac:dyDescent="0.2">
      <c r="AI397" s="17"/>
      <c r="AL397" s="17"/>
      <c r="AO397" s="17"/>
      <c r="AR397" s="17"/>
      <c r="AU397" s="17"/>
    </row>
    <row r="398" spans="35:47" x14ac:dyDescent="0.2">
      <c r="AI398" s="17"/>
      <c r="AL398" s="17"/>
      <c r="AO398" s="17"/>
      <c r="AR398" s="17"/>
      <c r="AU398" s="17"/>
    </row>
    <row r="399" spans="35:47" x14ac:dyDescent="0.2">
      <c r="AI399" s="17"/>
      <c r="AL399" s="17"/>
      <c r="AO399" s="17"/>
      <c r="AR399" s="17"/>
      <c r="AU399" s="17"/>
    </row>
    <row r="400" spans="35:47" x14ac:dyDescent="0.2">
      <c r="AI400" s="17"/>
      <c r="AL400" s="17"/>
      <c r="AO400" s="17"/>
      <c r="AR400" s="17"/>
      <c r="AU400" s="17"/>
    </row>
    <row r="401" spans="35:47" x14ac:dyDescent="0.2">
      <c r="AI401" s="17"/>
      <c r="AL401" s="17"/>
      <c r="AO401" s="17"/>
      <c r="AR401" s="17"/>
      <c r="AU401" s="17"/>
    </row>
    <row r="402" spans="35:47" x14ac:dyDescent="0.2">
      <c r="AI402" s="17"/>
      <c r="AL402" s="17"/>
      <c r="AO402" s="17"/>
      <c r="AR402" s="17"/>
      <c r="AU402" s="17"/>
    </row>
    <row r="403" spans="35:47" x14ac:dyDescent="0.2">
      <c r="AI403" s="17"/>
      <c r="AL403" s="17"/>
      <c r="AO403" s="17"/>
      <c r="AR403" s="17"/>
      <c r="AU403" s="17"/>
    </row>
    <row r="404" spans="35:47" x14ac:dyDescent="0.2">
      <c r="AI404" s="17"/>
      <c r="AL404" s="17"/>
      <c r="AO404" s="17"/>
      <c r="AR404" s="17"/>
      <c r="AU404" s="17"/>
    </row>
    <row r="405" spans="35:47" x14ac:dyDescent="0.2">
      <c r="AI405" s="17"/>
      <c r="AL405" s="17"/>
      <c r="AO405" s="17"/>
      <c r="AR405" s="17"/>
      <c r="AU405" s="17"/>
    </row>
    <row r="406" spans="35:47" x14ac:dyDescent="0.2">
      <c r="AI406" s="17"/>
      <c r="AL406" s="17"/>
      <c r="AO406" s="17"/>
      <c r="AR406" s="17"/>
      <c r="AU406" s="17"/>
    </row>
    <row r="407" spans="35:47" x14ac:dyDescent="0.2">
      <c r="AI407" s="17"/>
      <c r="AL407" s="17"/>
      <c r="AO407" s="17"/>
      <c r="AR407" s="17"/>
      <c r="AU407" s="17"/>
    </row>
    <row r="408" spans="35:47" x14ac:dyDescent="0.2">
      <c r="AI408" s="17"/>
      <c r="AL408" s="17"/>
      <c r="AO408" s="17"/>
      <c r="AR408" s="17"/>
      <c r="AU408" s="17"/>
    </row>
    <row r="409" spans="35:47" x14ac:dyDescent="0.2">
      <c r="AI409" s="17"/>
      <c r="AL409" s="17"/>
      <c r="AO409" s="17"/>
      <c r="AR409" s="17"/>
      <c r="AU409" s="17"/>
    </row>
    <row r="410" spans="35:47" x14ac:dyDescent="0.2">
      <c r="AI410" s="17"/>
      <c r="AL410" s="17"/>
      <c r="AO410" s="17"/>
      <c r="AR410" s="17"/>
      <c r="AU410" s="17"/>
    </row>
    <row r="411" spans="35:47" x14ac:dyDescent="0.2">
      <c r="AI411" s="17"/>
      <c r="AL411" s="17"/>
      <c r="AO411" s="17"/>
      <c r="AR411" s="17"/>
      <c r="AU411" s="17"/>
    </row>
    <row r="412" spans="35:47" x14ac:dyDescent="0.2">
      <c r="AI412" s="17"/>
      <c r="AL412" s="17"/>
      <c r="AO412" s="17"/>
      <c r="AR412" s="17"/>
      <c r="AU412" s="17"/>
    </row>
    <row r="413" spans="35:47" x14ac:dyDescent="0.2">
      <c r="AI413" s="17"/>
      <c r="AL413" s="17"/>
      <c r="AO413" s="17"/>
      <c r="AR413" s="17"/>
      <c r="AU413" s="17"/>
    </row>
    <row r="414" spans="35:47" x14ac:dyDescent="0.2">
      <c r="AI414" s="17"/>
      <c r="AL414" s="17"/>
      <c r="AO414" s="17"/>
      <c r="AR414" s="17"/>
      <c r="AU414" s="17"/>
    </row>
    <row r="415" spans="35:47" x14ac:dyDescent="0.2">
      <c r="AI415" s="17"/>
      <c r="AL415" s="17"/>
      <c r="AO415" s="17"/>
      <c r="AR415" s="17"/>
      <c r="AU415" s="17"/>
    </row>
    <row r="416" spans="35:47" x14ac:dyDescent="0.2">
      <c r="AI416" s="17"/>
      <c r="AL416" s="17"/>
      <c r="AO416" s="17"/>
      <c r="AR416" s="17"/>
      <c r="AU416" s="17"/>
    </row>
    <row r="417" spans="35:47" x14ac:dyDescent="0.2">
      <c r="AI417" s="17"/>
      <c r="AL417" s="17"/>
      <c r="AO417" s="17"/>
      <c r="AR417" s="17"/>
      <c r="AU417" s="17"/>
    </row>
    <row r="418" spans="35:47" x14ac:dyDescent="0.2">
      <c r="AI418" s="17"/>
      <c r="AL418" s="17"/>
      <c r="AO418" s="17"/>
      <c r="AR418" s="17"/>
      <c r="AU418" s="17"/>
    </row>
    <row r="419" spans="35:47" x14ac:dyDescent="0.2">
      <c r="AI419" s="17"/>
      <c r="AL419" s="17"/>
      <c r="AO419" s="17"/>
      <c r="AR419" s="17"/>
      <c r="AU419" s="17"/>
    </row>
    <row r="420" spans="35:47" x14ac:dyDescent="0.2">
      <c r="AI420" s="17"/>
      <c r="AL420" s="17"/>
      <c r="AO420" s="17"/>
      <c r="AR420" s="17"/>
      <c r="AU420" s="17"/>
    </row>
    <row r="421" spans="35:47" x14ac:dyDescent="0.2">
      <c r="AI421" s="17"/>
      <c r="AL421" s="17"/>
      <c r="AO421" s="17"/>
      <c r="AR421" s="17"/>
      <c r="AU421" s="17"/>
    </row>
    <row r="422" spans="35:47" x14ac:dyDescent="0.2">
      <c r="AI422" s="17"/>
      <c r="AL422" s="17"/>
      <c r="AO422" s="17"/>
      <c r="AR422" s="17"/>
      <c r="AU422" s="17"/>
    </row>
    <row r="423" spans="35:47" x14ac:dyDescent="0.2">
      <c r="AI423" s="17"/>
      <c r="AL423" s="17"/>
      <c r="AO423" s="17"/>
      <c r="AR423" s="17"/>
      <c r="AU423" s="17"/>
    </row>
    <row r="424" spans="35:47" x14ac:dyDescent="0.2">
      <c r="AI424" s="17"/>
      <c r="AL424" s="17"/>
      <c r="AO424" s="17"/>
      <c r="AR424" s="17"/>
      <c r="AU424" s="17"/>
    </row>
    <row r="425" spans="35:47" x14ac:dyDescent="0.2">
      <c r="AI425" s="17"/>
      <c r="AL425" s="17"/>
      <c r="AO425" s="17"/>
      <c r="AR425" s="17"/>
      <c r="AU425" s="17"/>
    </row>
    <row r="426" spans="35:47" x14ac:dyDescent="0.2">
      <c r="AI426" s="17"/>
      <c r="AL426" s="17"/>
      <c r="AO426" s="17"/>
      <c r="AR426" s="17"/>
      <c r="AU426" s="17"/>
    </row>
    <row r="427" spans="35:47" x14ac:dyDescent="0.2">
      <c r="AI427" s="17"/>
      <c r="AL427" s="17"/>
      <c r="AO427" s="17"/>
      <c r="AR427" s="17"/>
      <c r="AU427" s="17"/>
    </row>
    <row r="428" spans="35:47" x14ac:dyDescent="0.2">
      <c r="AI428" s="17"/>
      <c r="AL428" s="17"/>
      <c r="AO428" s="17"/>
      <c r="AR428" s="17"/>
      <c r="AU428" s="17"/>
    </row>
    <row r="429" spans="35:47" x14ac:dyDescent="0.2">
      <c r="AI429" s="17"/>
      <c r="AL429" s="17"/>
      <c r="AO429" s="17"/>
      <c r="AR429" s="17"/>
      <c r="AU429" s="17"/>
    </row>
    <row r="430" spans="35:47" x14ac:dyDescent="0.2">
      <c r="AI430" s="17"/>
      <c r="AL430" s="17"/>
      <c r="AO430" s="17"/>
      <c r="AR430" s="17"/>
      <c r="AU430" s="17"/>
    </row>
    <row r="431" spans="35:47" x14ac:dyDescent="0.2">
      <c r="AI431" s="17"/>
      <c r="AL431" s="17"/>
      <c r="AO431" s="17"/>
      <c r="AR431" s="17"/>
      <c r="AU431" s="17"/>
    </row>
    <row r="432" spans="35:47" x14ac:dyDescent="0.2">
      <c r="AI432" s="17"/>
      <c r="AL432" s="17"/>
      <c r="AO432" s="17"/>
      <c r="AR432" s="17"/>
      <c r="AU432" s="17"/>
    </row>
    <row r="433" spans="35:47" x14ac:dyDescent="0.2">
      <c r="AI433" s="17"/>
      <c r="AL433" s="17"/>
      <c r="AO433" s="17"/>
      <c r="AR433" s="17"/>
      <c r="AU433" s="17"/>
    </row>
    <row r="434" spans="35:47" x14ac:dyDescent="0.2">
      <c r="AI434" s="17"/>
      <c r="AL434" s="17"/>
      <c r="AO434" s="17"/>
      <c r="AR434" s="17"/>
      <c r="AU434" s="17"/>
    </row>
    <row r="435" spans="35:47" x14ac:dyDescent="0.2">
      <c r="AI435" s="17"/>
      <c r="AL435" s="17"/>
      <c r="AO435" s="17"/>
      <c r="AR435" s="17"/>
      <c r="AU435" s="17"/>
    </row>
    <row r="436" spans="35:47" x14ac:dyDescent="0.2">
      <c r="AI436" s="17"/>
      <c r="AL436" s="17"/>
      <c r="AO436" s="17"/>
      <c r="AR436" s="17"/>
      <c r="AU436" s="17"/>
    </row>
    <row r="437" spans="35:47" x14ac:dyDescent="0.2">
      <c r="AI437" s="17"/>
      <c r="AL437" s="17"/>
      <c r="AO437" s="17"/>
      <c r="AR437" s="17"/>
      <c r="AU437" s="17"/>
    </row>
    <row r="438" spans="35:47" x14ac:dyDescent="0.2">
      <c r="AI438" s="17"/>
      <c r="AL438" s="17"/>
      <c r="AO438" s="17"/>
      <c r="AR438" s="17"/>
      <c r="AU438" s="17"/>
    </row>
    <row r="439" spans="35:47" x14ac:dyDescent="0.2">
      <c r="AI439" s="17"/>
      <c r="AL439" s="17"/>
      <c r="AO439" s="17"/>
      <c r="AR439" s="17"/>
      <c r="AU439" s="17"/>
    </row>
    <row r="440" spans="35:47" x14ac:dyDescent="0.2">
      <c r="AI440" s="17"/>
      <c r="AL440" s="17"/>
      <c r="AO440" s="17"/>
      <c r="AR440" s="17"/>
      <c r="AU440" s="17"/>
    </row>
    <row r="441" spans="35:47" x14ac:dyDescent="0.2">
      <c r="AI441" s="17"/>
      <c r="AL441" s="17"/>
      <c r="AO441" s="17"/>
      <c r="AR441" s="17"/>
      <c r="AU441" s="17"/>
    </row>
    <row r="442" spans="35:47" x14ac:dyDescent="0.2">
      <c r="AI442" s="17"/>
      <c r="AL442" s="17"/>
      <c r="AO442" s="17"/>
      <c r="AR442" s="17"/>
      <c r="AU442" s="17"/>
    </row>
    <row r="443" spans="35:47" x14ac:dyDescent="0.2">
      <c r="AI443" s="17"/>
      <c r="AL443" s="17"/>
      <c r="AO443" s="17"/>
      <c r="AR443" s="17"/>
      <c r="AU443" s="17"/>
    </row>
    <row r="444" spans="35:47" x14ac:dyDescent="0.2">
      <c r="AI444" s="17"/>
      <c r="AL444" s="17"/>
      <c r="AO444" s="17"/>
      <c r="AR444" s="17"/>
      <c r="AU444" s="17"/>
    </row>
    <row r="445" spans="35:47" x14ac:dyDescent="0.2">
      <c r="AI445" s="17"/>
      <c r="AL445" s="17"/>
      <c r="AO445" s="17"/>
      <c r="AR445" s="17"/>
      <c r="AU445" s="17"/>
    </row>
    <row r="446" spans="35:47" x14ac:dyDescent="0.2">
      <c r="AI446" s="17"/>
      <c r="AL446" s="17"/>
      <c r="AO446" s="17"/>
      <c r="AR446" s="17"/>
      <c r="AU446" s="17"/>
    </row>
    <row r="447" spans="35:47" x14ac:dyDescent="0.2">
      <c r="AI447" s="17"/>
      <c r="AL447" s="17"/>
      <c r="AO447" s="17"/>
      <c r="AR447" s="17"/>
      <c r="AU447" s="17"/>
    </row>
    <row r="448" spans="35:47" x14ac:dyDescent="0.2">
      <c r="AI448" s="17"/>
      <c r="AL448" s="17"/>
      <c r="AO448" s="17"/>
      <c r="AR448" s="17"/>
      <c r="AU448" s="17"/>
    </row>
    <row r="449" spans="35:47" x14ac:dyDescent="0.2">
      <c r="AI449" s="17"/>
      <c r="AL449" s="17"/>
      <c r="AO449" s="17"/>
      <c r="AR449" s="17"/>
      <c r="AU449" s="17"/>
    </row>
    <row r="450" spans="35:47" x14ac:dyDescent="0.2">
      <c r="AI450" s="17"/>
      <c r="AL450" s="17"/>
      <c r="AO450" s="17"/>
      <c r="AR450" s="17"/>
      <c r="AU450" s="17"/>
    </row>
    <row r="451" spans="35:47" x14ac:dyDescent="0.2">
      <c r="AI451" s="17"/>
      <c r="AL451" s="17"/>
      <c r="AO451" s="17"/>
      <c r="AR451" s="17"/>
      <c r="AU451" s="17"/>
    </row>
    <row r="452" spans="35:47" x14ac:dyDescent="0.2">
      <c r="AI452" s="17"/>
      <c r="AL452" s="17"/>
      <c r="AO452" s="17"/>
      <c r="AR452" s="17"/>
      <c r="AU452" s="17"/>
    </row>
    <row r="453" spans="35:47" x14ac:dyDescent="0.2">
      <c r="AI453" s="17"/>
      <c r="AL453" s="17"/>
      <c r="AO453" s="17"/>
      <c r="AR453" s="17"/>
      <c r="AU453" s="17"/>
    </row>
    <row r="454" spans="35:47" x14ac:dyDescent="0.2">
      <c r="AI454" s="17"/>
      <c r="AL454" s="17"/>
      <c r="AO454" s="17"/>
      <c r="AR454" s="17"/>
      <c r="AU454" s="17"/>
    </row>
    <row r="455" spans="35:47" x14ac:dyDescent="0.2">
      <c r="AI455" s="17"/>
      <c r="AL455" s="17"/>
      <c r="AO455" s="17"/>
      <c r="AR455" s="17"/>
      <c r="AU455" s="17"/>
    </row>
    <row r="456" spans="35:47" x14ac:dyDescent="0.2">
      <c r="AI456" s="17"/>
      <c r="AL456" s="17"/>
      <c r="AO456" s="17"/>
      <c r="AR456" s="17"/>
      <c r="AU456" s="17"/>
    </row>
    <row r="457" spans="35:47" x14ac:dyDescent="0.2">
      <c r="AI457" s="17"/>
      <c r="AL457" s="17"/>
      <c r="AO457" s="17"/>
      <c r="AR457" s="17"/>
      <c r="AU457" s="17"/>
    </row>
    <row r="458" spans="35:47" x14ac:dyDescent="0.2">
      <c r="AI458" s="17"/>
      <c r="AL458" s="17"/>
      <c r="AO458" s="17"/>
      <c r="AR458" s="17"/>
      <c r="AU458" s="17"/>
    </row>
    <row r="459" spans="35:47" x14ac:dyDescent="0.2">
      <c r="AI459" s="17"/>
      <c r="AL459" s="17"/>
      <c r="AO459" s="17"/>
      <c r="AR459" s="17"/>
      <c r="AU459" s="17"/>
    </row>
    <row r="460" spans="35:47" x14ac:dyDescent="0.2">
      <c r="AI460" s="17"/>
      <c r="AL460" s="17"/>
      <c r="AO460" s="17"/>
      <c r="AR460" s="17"/>
      <c r="AU460" s="17"/>
    </row>
    <row r="461" spans="35:47" x14ac:dyDescent="0.2">
      <c r="AI461" s="17"/>
      <c r="AL461" s="17"/>
      <c r="AO461" s="17"/>
      <c r="AR461" s="17"/>
      <c r="AU461" s="17"/>
    </row>
    <row r="462" spans="35:47" x14ac:dyDescent="0.2">
      <c r="AI462" s="17"/>
      <c r="AL462" s="17"/>
      <c r="AO462" s="17"/>
      <c r="AR462" s="17"/>
      <c r="AU462" s="17"/>
    </row>
    <row r="463" spans="35:47" x14ac:dyDescent="0.2">
      <c r="AI463" s="17"/>
      <c r="AL463" s="17"/>
      <c r="AO463" s="17"/>
      <c r="AR463" s="17"/>
      <c r="AU463" s="17"/>
    </row>
    <row r="464" spans="35:47" x14ac:dyDescent="0.2">
      <c r="AI464" s="17"/>
      <c r="AL464" s="17"/>
      <c r="AO464" s="17"/>
      <c r="AR464" s="17"/>
      <c r="AU464" s="17"/>
    </row>
    <row r="465" spans="35:47" x14ac:dyDescent="0.2">
      <c r="AI465" s="17"/>
      <c r="AL465" s="17"/>
      <c r="AO465" s="17"/>
      <c r="AR465" s="17"/>
      <c r="AU465" s="17"/>
    </row>
    <row r="466" spans="35:47" x14ac:dyDescent="0.2">
      <c r="AI466" s="17"/>
      <c r="AL466" s="17"/>
      <c r="AO466" s="17"/>
      <c r="AR466" s="17"/>
      <c r="AU466" s="17"/>
    </row>
    <row r="467" spans="35:47" x14ac:dyDescent="0.2">
      <c r="AI467" s="17"/>
      <c r="AL467" s="17"/>
      <c r="AO467" s="17"/>
      <c r="AR467" s="17"/>
      <c r="AU467" s="17"/>
    </row>
    <row r="468" spans="35:47" x14ac:dyDescent="0.2">
      <c r="AI468" s="17"/>
      <c r="AL468" s="17"/>
      <c r="AO468" s="17"/>
      <c r="AR468" s="17"/>
      <c r="AU468" s="17"/>
    </row>
    <row r="469" spans="35:47" x14ac:dyDescent="0.2">
      <c r="AI469" s="17"/>
      <c r="AL469" s="17"/>
      <c r="AO469" s="17"/>
      <c r="AR469" s="17"/>
      <c r="AU469" s="17"/>
    </row>
    <row r="470" spans="35:47" x14ac:dyDescent="0.2">
      <c r="AI470" s="17"/>
      <c r="AL470" s="17"/>
      <c r="AO470" s="17"/>
      <c r="AR470" s="17"/>
      <c r="AU470" s="17"/>
    </row>
    <row r="471" spans="35:47" x14ac:dyDescent="0.2">
      <c r="AI471" s="17"/>
      <c r="AL471" s="17"/>
      <c r="AO471" s="17"/>
      <c r="AR471" s="17"/>
      <c r="AU471" s="17"/>
    </row>
    <row r="472" spans="35:47" x14ac:dyDescent="0.2">
      <c r="AI472" s="17"/>
      <c r="AL472" s="17"/>
      <c r="AO472" s="17"/>
      <c r="AR472" s="17"/>
      <c r="AU472" s="17"/>
    </row>
    <row r="473" spans="35:47" x14ac:dyDescent="0.2">
      <c r="AI473" s="17"/>
      <c r="AL473" s="17"/>
      <c r="AO473" s="17"/>
      <c r="AR473" s="17"/>
      <c r="AU473" s="17"/>
    </row>
    <row r="474" spans="35:47" x14ac:dyDescent="0.2">
      <c r="AI474" s="17"/>
      <c r="AL474" s="17"/>
      <c r="AO474" s="17"/>
      <c r="AR474" s="17"/>
      <c r="AU474" s="17"/>
    </row>
    <row r="475" spans="35:47" x14ac:dyDescent="0.2">
      <c r="AI475" s="17"/>
      <c r="AL475" s="17"/>
      <c r="AO475" s="17"/>
      <c r="AR475" s="17"/>
      <c r="AU475" s="17"/>
    </row>
    <row r="476" spans="35:47" x14ac:dyDescent="0.2">
      <c r="AI476" s="17"/>
      <c r="AL476" s="17"/>
      <c r="AO476" s="17"/>
      <c r="AR476" s="17"/>
      <c r="AU476" s="17"/>
    </row>
    <row r="477" spans="35:47" x14ac:dyDescent="0.2">
      <c r="AI477" s="17"/>
      <c r="AL477" s="17"/>
      <c r="AO477" s="17"/>
      <c r="AR477" s="17"/>
      <c r="AU477" s="17"/>
    </row>
    <row r="478" spans="35:47" x14ac:dyDescent="0.2">
      <c r="AI478" s="17"/>
      <c r="AL478" s="17"/>
      <c r="AO478" s="17"/>
      <c r="AR478" s="17"/>
      <c r="AU478" s="17"/>
    </row>
    <row r="479" spans="35:47" x14ac:dyDescent="0.2">
      <c r="AI479" s="17"/>
      <c r="AL479" s="17"/>
      <c r="AO479" s="17"/>
      <c r="AR479" s="17"/>
      <c r="AU479" s="17"/>
    </row>
    <row r="480" spans="35:47" x14ac:dyDescent="0.2">
      <c r="AI480" s="17"/>
      <c r="AL480" s="17"/>
      <c r="AO480" s="17"/>
      <c r="AR480" s="17"/>
      <c r="AU480" s="17"/>
    </row>
    <row r="481" spans="35:47" x14ac:dyDescent="0.2">
      <c r="AI481" s="17"/>
      <c r="AL481" s="17"/>
      <c r="AO481" s="17"/>
      <c r="AR481" s="17"/>
      <c r="AU481" s="17"/>
    </row>
    <row r="482" spans="35:47" x14ac:dyDescent="0.2">
      <c r="AI482" s="17"/>
      <c r="AL482" s="17"/>
      <c r="AO482" s="17"/>
      <c r="AR482" s="17"/>
      <c r="AU482" s="17"/>
    </row>
    <row r="483" spans="35:47" x14ac:dyDescent="0.2">
      <c r="AI483" s="17"/>
      <c r="AL483" s="17"/>
      <c r="AO483" s="17"/>
      <c r="AR483" s="17"/>
      <c r="AU483" s="17"/>
    </row>
    <row r="484" spans="35:47" x14ac:dyDescent="0.2">
      <c r="AI484" s="17"/>
      <c r="AL484" s="17"/>
      <c r="AO484" s="17"/>
      <c r="AR484" s="17"/>
      <c r="AU484" s="17"/>
    </row>
    <row r="485" spans="35:47" x14ac:dyDescent="0.2">
      <c r="AI485" s="17"/>
      <c r="AL485" s="17"/>
      <c r="AO485" s="17"/>
      <c r="AR485" s="17"/>
      <c r="AU485" s="17"/>
    </row>
    <row r="486" spans="35:47" x14ac:dyDescent="0.2">
      <c r="AI486" s="17"/>
      <c r="AL486" s="17"/>
      <c r="AO486" s="17"/>
      <c r="AR486" s="17"/>
      <c r="AU486" s="17"/>
    </row>
    <row r="487" spans="35:47" x14ac:dyDescent="0.2">
      <c r="AI487" s="17"/>
      <c r="AL487" s="17"/>
      <c r="AO487" s="17"/>
      <c r="AR487" s="17"/>
      <c r="AU487" s="17"/>
    </row>
    <row r="488" spans="35:47" x14ac:dyDescent="0.2">
      <c r="AI488" s="17"/>
      <c r="AL488" s="17"/>
      <c r="AO488" s="17"/>
      <c r="AR488" s="17"/>
      <c r="AU488" s="17"/>
    </row>
    <row r="489" spans="35:47" x14ac:dyDescent="0.2">
      <c r="AI489" s="17"/>
      <c r="AL489" s="17"/>
      <c r="AO489" s="17"/>
      <c r="AR489" s="17"/>
      <c r="AU489" s="17"/>
    </row>
    <row r="490" spans="35:47" x14ac:dyDescent="0.2">
      <c r="AI490" s="17"/>
      <c r="AL490" s="17"/>
      <c r="AO490" s="17"/>
      <c r="AR490" s="17"/>
      <c r="AU490" s="17"/>
    </row>
    <row r="491" spans="35:47" x14ac:dyDescent="0.2">
      <c r="AI491" s="17"/>
      <c r="AL491" s="17"/>
      <c r="AO491" s="17"/>
      <c r="AR491" s="17"/>
      <c r="AU491" s="17"/>
    </row>
    <row r="492" spans="35:47" x14ac:dyDescent="0.2">
      <c r="AI492" s="17"/>
      <c r="AL492" s="17"/>
      <c r="AO492" s="17"/>
      <c r="AR492" s="17"/>
      <c r="AU492" s="17"/>
    </row>
    <row r="493" spans="35:47" x14ac:dyDescent="0.2">
      <c r="AI493" s="17"/>
      <c r="AL493" s="17"/>
      <c r="AO493" s="17"/>
      <c r="AR493" s="17"/>
      <c r="AU493" s="17"/>
    </row>
    <row r="494" spans="35:47" x14ac:dyDescent="0.2">
      <c r="AI494" s="17"/>
      <c r="AL494" s="17"/>
      <c r="AO494" s="17"/>
      <c r="AR494" s="17"/>
      <c r="AU494" s="17"/>
    </row>
    <row r="495" spans="35:47" x14ac:dyDescent="0.2">
      <c r="AI495" s="17"/>
      <c r="AL495" s="17"/>
      <c r="AO495" s="17"/>
      <c r="AR495" s="17"/>
      <c r="AU495" s="17"/>
    </row>
    <row r="496" spans="35:47" x14ac:dyDescent="0.2">
      <c r="AI496" s="17"/>
      <c r="AL496" s="17"/>
      <c r="AO496" s="17"/>
      <c r="AR496" s="17"/>
      <c r="AU496" s="17"/>
    </row>
    <row r="497" spans="35:47" x14ac:dyDescent="0.2">
      <c r="AI497" s="17"/>
      <c r="AL497" s="17"/>
      <c r="AO497" s="17"/>
      <c r="AR497" s="17"/>
      <c r="AU497" s="17"/>
    </row>
    <row r="498" spans="35:47" x14ac:dyDescent="0.2">
      <c r="AI498" s="17"/>
      <c r="AL498" s="17"/>
      <c r="AO498" s="17"/>
      <c r="AR498" s="17"/>
      <c r="AU498" s="17"/>
    </row>
    <row r="499" spans="35:47" x14ac:dyDescent="0.2">
      <c r="AI499" s="17"/>
      <c r="AL499" s="17"/>
      <c r="AO499" s="17"/>
      <c r="AR499" s="17"/>
      <c r="AU499" s="17"/>
    </row>
    <row r="500" spans="35:47" x14ac:dyDescent="0.2">
      <c r="AI500" s="17"/>
      <c r="AL500" s="17"/>
      <c r="AO500" s="17"/>
      <c r="AR500" s="17"/>
      <c r="AU500" s="17"/>
    </row>
    <row r="501" spans="35:47" x14ac:dyDescent="0.2">
      <c r="AI501" s="17"/>
      <c r="AL501" s="17"/>
      <c r="AO501" s="17"/>
      <c r="AR501" s="17"/>
      <c r="AU501" s="17"/>
    </row>
    <row r="502" spans="35:47" x14ac:dyDescent="0.2">
      <c r="AI502" s="17"/>
      <c r="AL502" s="17"/>
      <c r="AO502" s="17"/>
      <c r="AR502" s="17"/>
      <c r="AU502" s="17"/>
    </row>
    <row r="503" spans="35:47" x14ac:dyDescent="0.2">
      <c r="AI503" s="17"/>
      <c r="AL503" s="17"/>
      <c r="AO503" s="17"/>
      <c r="AR503" s="17"/>
      <c r="AU503" s="17"/>
    </row>
    <row r="504" spans="35:47" x14ac:dyDescent="0.2">
      <c r="AI504" s="17"/>
      <c r="AL504" s="17"/>
      <c r="AO504" s="17"/>
      <c r="AR504" s="17"/>
      <c r="AU504" s="17"/>
    </row>
    <row r="505" spans="35:47" x14ac:dyDescent="0.2">
      <c r="AI505" s="17"/>
      <c r="AL505" s="17"/>
      <c r="AO505" s="17"/>
      <c r="AR505" s="17"/>
      <c r="AU505" s="17"/>
    </row>
    <row r="506" spans="35:47" x14ac:dyDescent="0.2">
      <c r="AI506" s="17"/>
      <c r="AL506" s="17"/>
      <c r="AO506" s="17"/>
      <c r="AR506" s="17"/>
      <c r="AU506" s="17"/>
    </row>
    <row r="507" spans="35:47" x14ac:dyDescent="0.2">
      <c r="AI507" s="17"/>
      <c r="AL507" s="17"/>
      <c r="AO507" s="17"/>
      <c r="AR507" s="17"/>
      <c r="AU507" s="17"/>
    </row>
    <row r="508" spans="35:47" x14ac:dyDescent="0.2">
      <c r="AI508" s="17"/>
      <c r="AL508" s="17"/>
      <c r="AO508" s="17"/>
      <c r="AR508" s="17"/>
      <c r="AU508" s="17"/>
    </row>
    <row r="509" spans="35:47" x14ac:dyDescent="0.2">
      <c r="AI509" s="17"/>
      <c r="AL509" s="17"/>
      <c r="AO509" s="17"/>
      <c r="AR509" s="17"/>
      <c r="AU509" s="17"/>
    </row>
    <row r="510" spans="35:47" x14ac:dyDescent="0.2">
      <c r="AI510" s="17"/>
      <c r="AL510" s="17"/>
      <c r="AO510" s="17"/>
      <c r="AR510" s="17"/>
      <c r="AU510" s="17"/>
    </row>
    <row r="511" spans="35:47" x14ac:dyDescent="0.2">
      <c r="AI511" s="17"/>
      <c r="AL511" s="17"/>
      <c r="AO511" s="17"/>
      <c r="AR511" s="17"/>
      <c r="AU511" s="17"/>
    </row>
    <row r="512" spans="35:47" x14ac:dyDescent="0.2">
      <c r="AI512" s="17"/>
      <c r="AL512" s="17"/>
      <c r="AO512" s="17"/>
      <c r="AR512" s="17"/>
      <c r="AU512" s="17"/>
    </row>
    <row r="513" spans="35:47" x14ac:dyDescent="0.2">
      <c r="AI513" s="17"/>
      <c r="AL513" s="17"/>
      <c r="AO513" s="17"/>
      <c r="AR513" s="17"/>
      <c r="AU513" s="17"/>
    </row>
    <row r="514" spans="35:47" x14ac:dyDescent="0.2">
      <c r="AI514" s="17"/>
      <c r="AL514" s="17"/>
      <c r="AO514" s="17"/>
      <c r="AR514" s="17"/>
      <c r="AU514" s="17"/>
    </row>
    <row r="515" spans="35:47" x14ac:dyDescent="0.2">
      <c r="AI515" s="17"/>
      <c r="AL515" s="17"/>
      <c r="AO515" s="17"/>
      <c r="AR515" s="17"/>
      <c r="AU515" s="17"/>
    </row>
    <row r="516" spans="35:47" x14ac:dyDescent="0.2">
      <c r="AI516" s="17"/>
      <c r="AL516" s="17"/>
      <c r="AO516" s="17"/>
      <c r="AR516" s="17"/>
      <c r="AU516" s="17"/>
    </row>
    <row r="517" spans="35:47" x14ac:dyDescent="0.2">
      <c r="AI517" s="17"/>
      <c r="AL517" s="17"/>
      <c r="AO517" s="17"/>
      <c r="AR517" s="17"/>
      <c r="AU517" s="17"/>
    </row>
    <row r="518" spans="35:47" x14ac:dyDescent="0.2">
      <c r="AI518" s="17"/>
      <c r="AL518" s="17"/>
      <c r="AO518" s="17"/>
      <c r="AR518" s="17"/>
      <c r="AU518" s="17"/>
    </row>
    <row r="519" spans="35:47" x14ac:dyDescent="0.2">
      <c r="AI519" s="17"/>
      <c r="AL519" s="17"/>
      <c r="AO519" s="17"/>
      <c r="AR519" s="17"/>
      <c r="AU519" s="17"/>
    </row>
    <row r="520" spans="35:47" x14ac:dyDescent="0.2">
      <c r="AI520" s="17"/>
      <c r="AL520" s="17"/>
      <c r="AO520" s="17"/>
      <c r="AR520" s="17"/>
      <c r="AU520" s="17"/>
    </row>
    <row r="521" spans="35:47" x14ac:dyDescent="0.2">
      <c r="AI521" s="17"/>
      <c r="AL521" s="17"/>
      <c r="AO521" s="17"/>
      <c r="AR521" s="17"/>
      <c r="AU521" s="17"/>
    </row>
    <row r="522" spans="35:47" x14ac:dyDescent="0.2">
      <c r="AI522" s="17"/>
      <c r="AL522" s="17"/>
      <c r="AO522" s="17"/>
      <c r="AR522" s="17"/>
      <c r="AU522" s="17"/>
    </row>
    <row r="523" spans="35:47" x14ac:dyDescent="0.2">
      <c r="AI523" s="17"/>
      <c r="AL523" s="17"/>
      <c r="AO523" s="17"/>
      <c r="AR523" s="17"/>
      <c r="AU523" s="17"/>
    </row>
    <row r="524" spans="35:47" x14ac:dyDescent="0.2">
      <c r="AI524" s="17"/>
      <c r="AL524" s="17"/>
      <c r="AO524" s="17"/>
      <c r="AR524" s="17"/>
      <c r="AU524" s="17"/>
    </row>
    <row r="525" spans="35:47" x14ac:dyDescent="0.2">
      <c r="AI525" s="17"/>
      <c r="AL525" s="17"/>
      <c r="AO525" s="17"/>
      <c r="AR525" s="17"/>
      <c r="AU525" s="17"/>
    </row>
    <row r="526" spans="35:47" x14ac:dyDescent="0.2">
      <c r="AI526" s="17"/>
      <c r="AL526" s="17"/>
      <c r="AO526" s="17"/>
      <c r="AR526" s="17"/>
      <c r="AU526" s="17"/>
    </row>
    <row r="527" spans="35:47" x14ac:dyDescent="0.2">
      <c r="AI527" s="17"/>
      <c r="AL527" s="17"/>
      <c r="AO527" s="17"/>
      <c r="AR527" s="17"/>
      <c r="AU527" s="17"/>
    </row>
    <row r="528" spans="35:47" x14ac:dyDescent="0.2">
      <c r="AI528" s="17"/>
      <c r="AL528" s="17"/>
      <c r="AO528" s="17"/>
      <c r="AR528" s="17"/>
      <c r="AU528" s="17"/>
    </row>
    <row r="529" spans="35:47" x14ac:dyDescent="0.2">
      <c r="AI529" s="17"/>
      <c r="AL529" s="17"/>
      <c r="AO529" s="17"/>
      <c r="AR529" s="17"/>
      <c r="AU529" s="17"/>
    </row>
    <row r="530" spans="35:47" x14ac:dyDescent="0.2">
      <c r="AI530" s="17"/>
      <c r="AL530" s="17"/>
      <c r="AO530" s="17"/>
      <c r="AR530" s="17"/>
      <c r="AU530" s="17"/>
    </row>
    <row r="531" spans="35:47" x14ac:dyDescent="0.2">
      <c r="AI531" s="17"/>
      <c r="AL531" s="17"/>
      <c r="AO531" s="17"/>
      <c r="AR531" s="17"/>
      <c r="AU531" s="17"/>
    </row>
    <row r="532" spans="35:47" x14ac:dyDescent="0.2">
      <c r="AI532" s="17"/>
      <c r="AL532" s="17"/>
      <c r="AO532" s="17"/>
      <c r="AR532" s="17"/>
      <c r="AU532" s="17"/>
    </row>
    <row r="533" spans="35:47" x14ac:dyDescent="0.2">
      <c r="AI533" s="17"/>
      <c r="AL533" s="17"/>
      <c r="AO533" s="17"/>
      <c r="AR533" s="17"/>
      <c r="AU533" s="17"/>
    </row>
    <row r="534" spans="35:47" x14ac:dyDescent="0.2">
      <c r="AI534" s="17"/>
      <c r="AL534" s="17"/>
      <c r="AO534" s="17"/>
      <c r="AR534" s="17"/>
      <c r="AU534" s="17"/>
    </row>
    <row r="535" spans="35:47" x14ac:dyDescent="0.2">
      <c r="AI535" s="17"/>
      <c r="AL535" s="17"/>
      <c r="AO535" s="17"/>
      <c r="AR535" s="17"/>
      <c r="AU535" s="17"/>
    </row>
    <row r="536" spans="35:47" x14ac:dyDescent="0.2">
      <c r="AI536" s="17"/>
      <c r="AL536" s="17"/>
      <c r="AO536" s="17"/>
      <c r="AR536" s="17"/>
      <c r="AU536" s="17"/>
    </row>
    <row r="537" spans="35:47" x14ac:dyDescent="0.2">
      <c r="AI537" s="17"/>
      <c r="AL537" s="17"/>
      <c r="AO537" s="17"/>
      <c r="AR537" s="17"/>
      <c r="AU537" s="17"/>
    </row>
    <row r="538" spans="35:47" x14ac:dyDescent="0.2">
      <c r="AI538" s="17"/>
      <c r="AL538" s="17"/>
      <c r="AO538" s="17"/>
      <c r="AR538" s="17"/>
      <c r="AU538" s="17"/>
    </row>
    <row r="539" spans="35:47" x14ac:dyDescent="0.2">
      <c r="AI539" s="17"/>
      <c r="AL539" s="17"/>
      <c r="AO539" s="17"/>
      <c r="AR539" s="17"/>
      <c r="AU539" s="17"/>
    </row>
    <row r="540" spans="35:47" x14ac:dyDescent="0.2">
      <c r="AI540" s="17"/>
      <c r="AL540" s="17"/>
      <c r="AO540" s="17"/>
      <c r="AR540" s="17"/>
      <c r="AU540" s="17"/>
    </row>
    <row r="541" spans="35:47" x14ac:dyDescent="0.2">
      <c r="AI541" s="17"/>
      <c r="AL541" s="17"/>
      <c r="AO541" s="17"/>
      <c r="AR541" s="17"/>
      <c r="AU541" s="17"/>
    </row>
    <row r="542" spans="35:47" x14ac:dyDescent="0.2">
      <c r="AI542" s="17"/>
      <c r="AL542" s="17"/>
      <c r="AO542" s="17"/>
      <c r="AR542" s="17"/>
      <c r="AU542" s="17"/>
    </row>
    <row r="543" spans="35:47" x14ac:dyDescent="0.2">
      <c r="AI543" s="17"/>
      <c r="AL543" s="17"/>
      <c r="AO543" s="17"/>
      <c r="AR543" s="17"/>
      <c r="AU543" s="17"/>
    </row>
    <row r="544" spans="35:47" x14ac:dyDescent="0.2">
      <c r="AI544" s="17"/>
      <c r="AL544" s="17"/>
      <c r="AO544" s="17"/>
      <c r="AR544" s="17"/>
      <c r="AU544" s="17"/>
    </row>
    <row r="545" spans="35:47" x14ac:dyDescent="0.2">
      <c r="AI545" s="17"/>
      <c r="AL545" s="17"/>
      <c r="AO545" s="17"/>
      <c r="AR545" s="17"/>
      <c r="AU545" s="17"/>
    </row>
    <row r="546" spans="35:47" x14ac:dyDescent="0.2">
      <c r="AI546" s="17"/>
      <c r="AL546" s="17"/>
      <c r="AO546" s="17"/>
      <c r="AR546" s="17"/>
      <c r="AU546" s="17"/>
    </row>
    <row r="547" spans="35:47" x14ac:dyDescent="0.2">
      <c r="AI547" s="17"/>
      <c r="AL547" s="17"/>
      <c r="AO547" s="17"/>
      <c r="AR547" s="17"/>
      <c r="AU547" s="17"/>
    </row>
    <row r="548" spans="35:47" x14ac:dyDescent="0.2">
      <c r="AI548" s="17"/>
      <c r="AL548" s="17"/>
      <c r="AO548" s="17"/>
      <c r="AR548" s="17"/>
      <c r="AU548" s="17"/>
    </row>
    <row r="549" spans="35:47" x14ac:dyDescent="0.2">
      <c r="AI549" s="17"/>
      <c r="AL549" s="17"/>
      <c r="AO549" s="17"/>
      <c r="AR549" s="17"/>
      <c r="AU549" s="17"/>
    </row>
    <row r="550" spans="35:47" x14ac:dyDescent="0.2">
      <c r="AI550" s="17"/>
      <c r="AL550" s="17"/>
      <c r="AO550" s="17"/>
      <c r="AR550" s="17"/>
      <c r="AU550" s="17"/>
    </row>
    <row r="551" spans="35:47" x14ac:dyDescent="0.2">
      <c r="AI551" s="17"/>
      <c r="AL551" s="17"/>
      <c r="AO551" s="17"/>
      <c r="AR551" s="17"/>
      <c r="AU551" s="17"/>
    </row>
    <row r="552" spans="35:47" x14ac:dyDescent="0.2">
      <c r="AI552" s="17"/>
      <c r="AL552" s="17"/>
      <c r="AO552" s="17"/>
      <c r="AR552" s="17"/>
      <c r="AU552" s="17"/>
    </row>
    <row r="553" spans="35:47" x14ac:dyDescent="0.2">
      <c r="AI553" s="17"/>
      <c r="AL553" s="17"/>
      <c r="AO553" s="17"/>
      <c r="AR553" s="17"/>
      <c r="AU553" s="17"/>
    </row>
    <row r="554" spans="35:47" x14ac:dyDescent="0.2">
      <c r="AI554" s="17"/>
      <c r="AL554" s="17"/>
      <c r="AO554" s="17"/>
      <c r="AR554" s="17"/>
      <c r="AU554" s="17"/>
    </row>
    <row r="555" spans="35:47" x14ac:dyDescent="0.2">
      <c r="AI555" s="17"/>
      <c r="AL555" s="17"/>
      <c r="AO555" s="17"/>
      <c r="AR555" s="17"/>
      <c r="AU555" s="17"/>
    </row>
    <row r="556" spans="35:47" x14ac:dyDescent="0.2">
      <c r="AI556" s="17"/>
      <c r="AL556" s="17"/>
      <c r="AO556" s="17"/>
      <c r="AR556" s="17"/>
      <c r="AU556" s="17"/>
    </row>
    <row r="557" spans="35:47" x14ac:dyDescent="0.2">
      <c r="AI557" s="17"/>
      <c r="AL557" s="17"/>
      <c r="AO557" s="17"/>
      <c r="AR557" s="17"/>
      <c r="AU557" s="17"/>
    </row>
    <row r="558" spans="35:47" x14ac:dyDescent="0.2">
      <c r="AI558" s="17"/>
      <c r="AL558" s="17"/>
      <c r="AO558" s="17"/>
      <c r="AR558" s="17"/>
      <c r="AU558" s="17"/>
    </row>
    <row r="559" spans="35:47" x14ac:dyDescent="0.2">
      <c r="AI559" s="17"/>
      <c r="AL559" s="17"/>
      <c r="AO559" s="17"/>
      <c r="AR559" s="17"/>
      <c r="AU559" s="17"/>
    </row>
    <row r="560" spans="35:47" x14ac:dyDescent="0.2">
      <c r="AI560" s="17"/>
      <c r="AL560" s="17"/>
      <c r="AO560" s="17"/>
      <c r="AR560" s="17"/>
      <c r="AU560" s="17"/>
    </row>
    <row r="561" spans="35:47" x14ac:dyDescent="0.2">
      <c r="AI561" s="17"/>
      <c r="AL561" s="17"/>
      <c r="AO561" s="17"/>
      <c r="AR561" s="17"/>
      <c r="AU561" s="17"/>
    </row>
    <row r="562" spans="35:47" x14ac:dyDescent="0.2">
      <c r="AI562" s="17"/>
      <c r="AL562" s="17"/>
      <c r="AO562" s="17"/>
      <c r="AR562" s="17"/>
      <c r="AU562" s="17"/>
    </row>
    <row r="563" spans="35:47" x14ac:dyDescent="0.2">
      <c r="AI563" s="17"/>
      <c r="AL563" s="17"/>
      <c r="AO563" s="17"/>
      <c r="AR563" s="17"/>
      <c r="AU563" s="17"/>
    </row>
    <row r="564" spans="35:47" x14ac:dyDescent="0.2">
      <c r="AI564" s="17"/>
      <c r="AL564" s="17"/>
      <c r="AO564" s="17"/>
      <c r="AR564" s="17"/>
      <c r="AU564" s="17"/>
    </row>
    <row r="565" spans="35:47" x14ac:dyDescent="0.2">
      <c r="AI565" s="17"/>
      <c r="AL565" s="17"/>
      <c r="AO565" s="17"/>
      <c r="AR565" s="17"/>
      <c r="AU565" s="17"/>
    </row>
    <row r="566" spans="35:47" x14ac:dyDescent="0.2">
      <c r="AI566" s="17"/>
      <c r="AL566" s="17"/>
      <c r="AO566" s="17"/>
      <c r="AR566" s="17"/>
      <c r="AU566" s="17"/>
    </row>
    <row r="567" spans="35:47" x14ac:dyDescent="0.2">
      <c r="AI567" s="17"/>
      <c r="AL567" s="17"/>
      <c r="AO567" s="17"/>
      <c r="AR567" s="17"/>
      <c r="AU567" s="17"/>
    </row>
    <row r="568" spans="35:47" x14ac:dyDescent="0.2">
      <c r="AI568" s="17"/>
      <c r="AL568" s="17"/>
      <c r="AO568" s="17"/>
      <c r="AR568" s="17"/>
      <c r="AU568" s="17"/>
    </row>
    <row r="569" spans="35:47" x14ac:dyDescent="0.2">
      <c r="AI569" s="17"/>
      <c r="AL569" s="17"/>
      <c r="AO569" s="17"/>
      <c r="AR569" s="17"/>
      <c r="AU569" s="17"/>
    </row>
    <row r="570" spans="35:47" x14ac:dyDescent="0.2">
      <c r="AI570" s="17"/>
      <c r="AL570" s="17"/>
      <c r="AO570" s="17"/>
      <c r="AR570" s="17"/>
      <c r="AU570" s="17"/>
    </row>
    <row r="571" spans="35:47" x14ac:dyDescent="0.2">
      <c r="AI571" s="17"/>
      <c r="AL571" s="17"/>
      <c r="AO571" s="17"/>
      <c r="AR571" s="17"/>
      <c r="AU571" s="17"/>
    </row>
    <row r="572" spans="35:47" x14ac:dyDescent="0.2">
      <c r="AI572" s="17"/>
      <c r="AL572" s="17"/>
      <c r="AO572" s="17"/>
      <c r="AR572" s="17"/>
      <c r="AU572" s="17"/>
    </row>
    <row r="573" spans="35:47" x14ac:dyDescent="0.2">
      <c r="AI573" s="17"/>
      <c r="AL573" s="17"/>
      <c r="AO573" s="17"/>
      <c r="AR573" s="17"/>
      <c r="AU573" s="17"/>
    </row>
    <row r="574" spans="35:47" x14ac:dyDescent="0.2">
      <c r="AI574" s="17"/>
      <c r="AL574" s="17"/>
      <c r="AO574" s="17"/>
      <c r="AR574" s="17"/>
      <c r="AU574" s="17"/>
    </row>
    <row r="575" spans="35:47" x14ac:dyDescent="0.2">
      <c r="AI575" s="17"/>
      <c r="AL575" s="17"/>
      <c r="AO575" s="17"/>
      <c r="AR575" s="17"/>
      <c r="AU575" s="17"/>
    </row>
    <row r="576" spans="35:47" x14ac:dyDescent="0.2">
      <c r="AI576" s="17"/>
      <c r="AL576" s="17"/>
      <c r="AO576" s="17"/>
      <c r="AR576" s="17"/>
      <c r="AU576" s="17"/>
    </row>
    <row r="577" spans="35:47" x14ac:dyDescent="0.2">
      <c r="AI577" s="17"/>
      <c r="AL577" s="17"/>
      <c r="AO577" s="17"/>
      <c r="AR577" s="17"/>
      <c r="AU577" s="17"/>
    </row>
    <row r="578" spans="35:47" x14ac:dyDescent="0.2">
      <c r="AI578" s="17"/>
      <c r="AL578" s="17"/>
      <c r="AO578" s="17"/>
      <c r="AR578" s="17"/>
      <c r="AU578" s="17"/>
    </row>
    <row r="579" spans="35:47" x14ac:dyDescent="0.2">
      <c r="AI579" s="17"/>
      <c r="AL579" s="17"/>
      <c r="AO579" s="17"/>
      <c r="AR579" s="17"/>
      <c r="AU579" s="17"/>
    </row>
    <row r="580" spans="35:47" x14ac:dyDescent="0.2">
      <c r="AI580" s="17"/>
      <c r="AL580" s="17"/>
      <c r="AO580" s="17"/>
      <c r="AR580" s="17"/>
      <c r="AU580" s="17"/>
    </row>
    <row r="581" spans="35:47" x14ac:dyDescent="0.2">
      <c r="AI581" s="17"/>
      <c r="AL581" s="17"/>
      <c r="AO581" s="17"/>
      <c r="AR581" s="17"/>
      <c r="AU581" s="17"/>
    </row>
    <row r="582" spans="35:47" x14ac:dyDescent="0.2">
      <c r="AI582" s="17"/>
      <c r="AL582" s="17"/>
      <c r="AO582" s="17"/>
      <c r="AR582" s="17"/>
      <c r="AU582" s="17"/>
    </row>
    <row r="583" spans="35:47" x14ac:dyDescent="0.2">
      <c r="AI583" s="17"/>
      <c r="AL583" s="17"/>
      <c r="AO583" s="17"/>
      <c r="AR583" s="17"/>
      <c r="AU583" s="17"/>
    </row>
    <row r="584" spans="35:47" x14ac:dyDescent="0.2">
      <c r="AI584" s="17"/>
      <c r="AL584" s="17"/>
      <c r="AO584" s="17"/>
      <c r="AR584" s="17"/>
      <c r="AU584" s="17"/>
    </row>
    <row r="585" spans="35:47" x14ac:dyDescent="0.2">
      <c r="AI585" s="17"/>
      <c r="AL585" s="17"/>
      <c r="AO585" s="17"/>
      <c r="AR585" s="17"/>
      <c r="AU585" s="17"/>
    </row>
    <row r="586" spans="35:47" x14ac:dyDescent="0.2">
      <c r="AI586" s="17"/>
      <c r="AL586" s="17"/>
      <c r="AO586" s="17"/>
      <c r="AR586" s="17"/>
      <c r="AU586" s="17"/>
    </row>
    <row r="587" spans="35:47" x14ac:dyDescent="0.2">
      <c r="AI587" s="17"/>
      <c r="AL587" s="17"/>
      <c r="AO587" s="17"/>
      <c r="AR587" s="17"/>
      <c r="AU587" s="17"/>
    </row>
    <row r="588" spans="35:47" x14ac:dyDescent="0.2">
      <c r="AI588" s="17"/>
      <c r="AL588" s="17"/>
      <c r="AO588" s="17"/>
      <c r="AR588" s="17"/>
      <c r="AU588" s="17"/>
    </row>
    <row r="589" spans="35:47" x14ac:dyDescent="0.2">
      <c r="AI589" s="17"/>
      <c r="AL589" s="17"/>
      <c r="AO589" s="17"/>
      <c r="AR589" s="17"/>
      <c r="AU589" s="17"/>
    </row>
    <row r="590" spans="35:47" x14ac:dyDescent="0.2">
      <c r="AI590" s="17"/>
      <c r="AL590" s="17"/>
      <c r="AO590" s="17"/>
      <c r="AR590" s="17"/>
      <c r="AU590" s="17"/>
    </row>
    <row r="591" spans="35:47" x14ac:dyDescent="0.2">
      <c r="AI591" s="17"/>
      <c r="AL591" s="17"/>
      <c r="AO591" s="17"/>
      <c r="AR591" s="17"/>
      <c r="AU591" s="17"/>
    </row>
    <row r="592" spans="35:47" x14ac:dyDescent="0.2">
      <c r="AI592" s="17"/>
      <c r="AL592" s="17"/>
      <c r="AO592" s="17"/>
      <c r="AR592" s="17"/>
      <c r="AU592" s="17"/>
    </row>
    <row r="593" spans="35:47" x14ac:dyDescent="0.2">
      <c r="AI593" s="17"/>
      <c r="AL593" s="17"/>
      <c r="AO593" s="17"/>
      <c r="AR593" s="17"/>
      <c r="AU593" s="17"/>
    </row>
    <row r="594" spans="35:47" x14ac:dyDescent="0.2">
      <c r="AI594" s="17"/>
      <c r="AL594" s="17"/>
      <c r="AO594" s="17"/>
      <c r="AR594" s="17"/>
      <c r="AU594" s="17"/>
    </row>
    <row r="595" spans="35:47" x14ac:dyDescent="0.2">
      <c r="AI595" s="17"/>
      <c r="AL595" s="17"/>
      <c r="AO595" s="17"/>
      <c r="AR595" s="17"/>
      <c r="AU595" s="17"/>
    </row>
    <row r="596" spans="35:47" x14ac:dyDescent="0.2">
      <c r="AI596" s="17"/>
      <c r="AL596" s="17"/>
      <c r="AO596" s="17"/>
      <c r="AR596" s="17"/>
      <c r="AU596" s="17"/>
    </row>
    <row r="597" spans="35:47" x14ac:dyDescent="0.2">
      <c r="AI597" s="17"/>
      <c r="AL597" s="17"/>
      <c r="AO597" s="17"/>
      <c r="AR597" s="17"/>
      <c r="AU597" s="17"/>
    </row>
    <row r="598" spans="35:47" x14ac:dyDescent="0.2">
      <c r="AI598" s="17"/>
      <c r="AL598" s="17"/>
      <c r="AO598" s="17"/>
      <c r="AR598" s="17"/>
      <c r="AU598" s="17"/>
    </row>
    <row r="599" spans="35:47" x14ac:dyDescent="0.2">
      <c r="AI599" s="17"/>
      <c r="AL599" s="17"/>
      <c r="AO599" s="17"/>
      <c r="AR599" s="17"/>
      <c r="AU599" s="17"/>
    </row>
    <row r="600" spans="35:47" x14ac:dyDescent="0.2">
      <c r="AI600" s="17"/>
      <c r="AL600" s="17"/>
      <c r="AO600" s="17"/>
      <c r="AR600" s="17"/>
      <c r="AU600" s="17"/>
    </row>
    <row r="601" spans="35:47" x14ac:dyDescent="0.2">
      <c r="AI601" s="17"/>
      <c r="AL601" s="17"/>
      <c r="AO601" s="17"/>
      <c r="AR601" s="17"/>
      <c r="AU601" s="17"/>
    </row>
    <row r="602" spans="35:47" x14ac:dyDescent="0.2">
      <c r="AI602" s="17"/>
      <c r="AL602" s="17"/>
      <c r="AO602" s="17"/>
      <c r="AR602" s="17"/>
      <c r="AU602" s="17"/>
    </row>
    <row r="603" spans="35:47" x14ac:dyDescent="0.2">
      <c r="AI603" s="17"/>
      <c r="AL603" s="17"/>
      <c r="AO603" s="17"/>
      <c r="AR603" s="17"/>
      <c r="AU603" s="17"/>
    </row>
    <row r="604" spans="35:47" x14ac:dyDescent="0.2">
      <c r="AI604" s="17"/>
      <c r="AL604" s="17"/>
      <c r="AO604" s="17"/>
      <c r="AR604" s="17"/>
      <c r="AU604" s="17"/>
    </row>
    <row r="605" spans="35:47" x14ac:dyDescent="0.2">
      <c r="AI605" s="17"/>
      <c r="AL605" s="17"/>
      <c r="AO605" s="17"/>
      <c r="AR605" s="17"/>
      <c r="AU605" s="17"/>
    </row>
    <row r="606" spans="35:47" x14ac:dyDescent="0.2">
      <c r="AI606" s="17"/>
      <c r="AL606" s="17"/>
      <c r="AO606" s="17"/>
      <c r="AR606" s="17"/>
      <c r="AU606" s="17"/>
    </row>
    <row r="607" spans="35:47" x14ac:dyDescent="0.2">
      <c r="AI607" s="17"/>
      <c r="AL607" s="17"/>
      <c r="AO607" s="17"/>
      <c r="AR607" s="17"/>
      <c r="AU607" s="17"/>
    </row>
    <row r="608" spans="35:47" x14ac:dyDescent="0.2">
      <c r="AI608" s="17"/>
      <c r="AL608" s="17"/>
      <c r="AO608" s="17"/>
      <c r="AR608" s="17"/>
      <c r="AU608" s="17"/>
    </row>
    <row r="609" spans="35:47" x14ac:dyDescent="0.2">
      <c r="AI609" s="17"/>
      <c r="AL609" s="17"/>
      <c r="AO609" s="17"/>
      <c r="AR609" s="17"/>
      <c r="AU609" s="17"/>
    </row>
    <row r="610" spans="35:47" x14ac:dyDescent="0.2">
      <c r="AI610" s="17"/>
      <c r="AL610" s="17"/>
      <c r="AO610" s="17"/>
      <c r="AR610" s="17"/>
      <c r="AU610" s="17"/>
    </row>
    <row r="611" spans="35:47" x14ac:dyDescent="0.2">
      <c r="AI611" s="17"/>
      <c r="AL611" s="17"/>
      <c r="AO611" s="17"/>
      <c r="AR611" s="17"/>
      <c r="AU611" s="17"/>
    </row>
    <row r="612" spans="35:47" x14ac:dyDescent="0.2">
      <c r="AI612" s="17"/>
      <c r="AL612" s="17"/>
      <c r="AO612" s="17"/>
      <c r="AR612" s="17"/>
      <c r="AU612" s="17"/>
    </row>
    <row r="613" spans="35:47" x14ac:dyDescent="0.2">
      <c r="AI613" s="17"/>
      <c r="AL613" s="17"/>
      <c r="AO613" s="17"/>
      <c r="AR613" s="17"/>
      <c r="AU613" s="17"/>
    </row>
    <row r="614" spans="35:47" x14ac:dyDescent="0.2">
      <c r="AI614" s="17"/>
      <c r="AL614" s="17"/>
      <c r="AO614" s="17"/>
      <c r="AR614" s="17"/>
      <c r="AU614" s="17"/>
    </row>
    <row r="615" spans="35:47" x14ac:dyDescent="0.2">
      <c r="AI615" s="17"/>
      <c r="AL615" s="17"/>
      <c r="AO615" s="17"/>
      <c r="AR615" s="17"/>
      <c r="AU615" s="17"/>
    </row>
    <row r="616" spans="35:47" x14ac:dyDescent="0.2">
      <c r="AI616" s="17"/>
      <c r="AL616" s="17"/>
      <c r="AO616" s="17"/>
      <c r="AR616" s="17"/>
      <c r="AU616" s="17"/>
    </row>
    <row r="617" spans="35:47" x14ac:dyDescent="0.2">
      <c r="AI617" s="17"/>
      <c r="AL617" s="17"/>
      <c r="AO617" s="17"/>
      <c r="AR617" s="17"/>
      <c r="AU617" s="17"/>
    </row>
    <row r="618" spans="35:47" x14ac:dyDescent="0.2">
      <c r="AI618" s="17"/>
      <c r="AL618" s="17"/>
      <c r="AO618" s="17"/>
      <c r="AR618" s="17"/>
      <c r="AU618" s="17"/>
    </row>
    <row r="619" spans="35:47" x14ac:dyDescent="0.2">
      <c r="AI619" s="17"/>
      <c r="AL619" s="17"/>
      <c r="AO619" s="17"/>
      <c r="AR619" s="17"/>
      <c r="AU619" s="17"/>
    </row>
    <row r="620" spans="35:47" x14ac:dyDescent="0.2">
      <c r="AI620" s="17"/>
      <c r="AL620" s="17"/>
      <c r="AO620" s="17"/>
      <c r="AR620" s="17"/>
      <c r="AU620" s="17"/>
    </row>
    <row r="621" spans="35:47" x14ac:dyDescent="0.2">
      <c r="AI621" s="17"/>
      <c r="AL621" s="17"/>
      <c r="AO621" s="17"/>
      <c r="AR621" s="17"/>
      <c r="AU621" s="17"/>
    </row>
    <row r="622" spans="35:47" x14ac:dyDescent="0.2">
      <c r="AI622" s="17"/>
      <c r="AL622" s="17"/>
      <c r="AO622" s="17"/>
      <c r="AR622" s="17"/>
      <c r="AU622" s="17"/>
    </row>
    <row r="623" spans="35:47" x14ac:dyDescent="0.2">
      <c r="AI623" s="17"/>
      <c r="AL623" s="17"/>
      <c r="AO623" s="17"/>
      <c r="AR623" s="17"/>
      <c r="AU623" s="17"/>
    </row>
    <row r="624" spans="35:47" x14ac:dyDescent="0.2">
      <c r="AI624" s="17"/>
      <c r="AL624" s="17"/>
      <c r="AO624" s="17"/>
      <c r="AR624" s="17"/>
      <c r="AU624" s="17"/>
    </row>
    <row r="625" spans="35:47" x14ac:dyDescent="0.2">
      <c r="AI625" s="17"/>
      <c r="AL625" s="17"/>
      <c r="AO625" s="17"/>
      <c r="AR625" s="17"/>
      <c r="AU625" s="17"/>
    </row>
    <row r="626" spans="35:47" x14ac:dyDescent="0.2">
      <c r="AI626" s="17"/>
      <c r="AL626" s="17"/>
      <c r="AO626" s="17"/>
      <c r="AR626" s="17"/>
      <c r="AU626" s="17"/>
    </row>
    <row r="627" spans="35:47" x14ac:dyDescent="0.2">
      <c r="AI627" s="17"/>
      <c r="AL627" s="17"/>
      <c r="AO627" s="17"/>
      <c r="AR627" s="17"/>
      <c r="AU627" s="17"/>
    </row>
    <row r="628" spans="35:47" x14ac:dyDescent="0.2">
      <c r="AI628" s="17"/>
      <c r="AL628" s="17"/>
      <c r="AO628" s="17"/>
      <c r="AR628" s="17"/>
      <c r="AU628" s="17"/>
    </row>
    <row r="629" spans="35:47" x14ac:dyDescent="0.2">
      <c r="AI629" s="17"/>
      <c r="AL629" s="17"/>
      <c r="AO629" s="17"/>
      <c r="AR629" s="17"/>
      <c r="AU629" s="17"/>
    </row>
    <row r="630" spans="35:47" x14ac:dyDescent="0.2">
      <c r="AI630" s="17"/>
      <c r="AL630" s="17"/>
      <c r="AO630" s="17"/>
      <c r="AR630" s="17"/>
      <c r="AU630" s="17"/>
    </row>
    <row r="631" spans="35:47" x14ac:dyDescent="0.2">
      <c r="AI631" s="17"/>
      <c r="AL631" s="17"/>
      <c r="AO631" s="17"/>
      <c r="AR631" s="17"/>
      <c r="AU631" s="17"/>
    </row>
    <row r="632" spans="35:47" x14ac:dyDescent="0.2">
      <c r="AI632" s="17"/>
      <c r="AL632" s="17"/>
      <c r="AO632" s="17"/>
      <c r="AR632" s="17"/>
      <c r="AU632" s="17"/>
    </row>
    <row r="633" spans="35:47" x14ac:dyDescent="0.2">
      <c r="AI633" s="17"/>
      <c r="AL633" s="17"/>
      <c r="AO633" s="17"/>
      <c r="AR633" s="17"/>
      <c r="AU633" s="17"/>
    </row>
    <row r="634" spans="35:47" x14ac:dyDescent="0.2">
      <c r="AI634" s="17"/>
      <c r="AL634" s="17"/>
      <c r="AO634" s="17"/>
      <c r="AR634" s="17"/>
      <c r="AU634" s="17"/>
    </row>
    <row r="635" spans="35:47" x14ac:dyDescent="0.2">
      <c r="AI635" s="17"/>
      <c r="AL635" s="17"/>
      <c r="AO635" s="17"/>
      <c r="AR635" s="17"/>
      <c r="AU635" s="17"/>
    </row>
    <row r="636" spans="35:47" x14ac:dyDescent="0.2">
      <c r="AI636" s="17"/>
      <c r="AL636" s="17"/>
      <c r="AO636" s="17"/>
      <c r="AR636" s="17"/>
      <c r="AU636" s="17"/>
    </row>
    <row r="637" spans="35:47" x14ac:dyDescent="0.2">
      <c r="AI637" s="17"/>
      <c r="AL637" s="17"/>
      <c r="AO637" s="17"/>
      <c r="AR637" s="17"/>
      <c r="AU637" s="17"/>
    </row>
    <row r="638" spans="35:47" x14ac:dyDescent="0.2">
      <c r="AI638" s="17"/>
      <c r="AL638" s="17"/>
      <c r="AO638" s="17"/>
      <c r="AR638" s="17"/>
      <c r="AU638" s="17"/>
    </row>
    <row r="639" spans="35:47" x14ac:dyDescent="0.2">
      <c r="AI639" s="17"/>
      <c r="AL639" s="17"/>
      <c r="AO639" s="17"/>
      <c r="AR639" s="17"/>
      <c r="AU639" s="17"/>
    </row>
    <row r="640" spans="35:47" x14ac:dyDescent="0.2">
      <c r="AI640" s="17"/>
      <c r="AL640" s="17"/>
      <c r="AO640" s="17"/>
      <c r="AR640" s="17"/>
      <c r="AU640" s="17"/>
    </row>
    <row r="641" spans="35:47" x14ac:dyDescent="0.2">
      <c r="AI641" s="17"/>
      <c r="AL641" s="17"/>
      <c r="AO641" s="17"/>
      <c r="AR641" s="17"/>
      <c r="AU641" s="17"/>
    </row>
    <row r="642" spans="35:47" x14ac:dyDescent="0.2">
      <c r="AI642" s="17"/>
      <c r="AL642" s="17"/>
      <c r="AO642" s="17"/>
      <c r="AR642" s="17"/>
      <c r="AU642" s="17"/>
    </row>
    <row r="643" spans="35:47" x14ac:dyDescent="0.2">
      <c r="AI643" s="17"/>
      <c r="AL643" s="17"/>
      <c r="AO643" s="17"/>
      <c r="AR643" s="17"/>
      <c r="AU643" s="17"/>
    </row>
    <row r="644" spans="35:47" x14ac:dyDescent="0.2">
      <c r="AI644" s="17"/>
      <c r="AL644" s="17"/>
      <c r="AO644" s="17"/>
      <c r="AR644" s="17"/>
      <c r="AU644" s="17"/>
    </row>
    <row r="645" spans="35:47" x14ac:dyDescent="0.2">
      <c r="AI645" s="17"/>
      <c r="AL645" s="17"/>
      <c r="AO645" s="17"/>
      <c r="AR645" s="17"/>
      <c r="AU645" s="17"/>
    </row>
    <row r="646" spans="35:47" x14ac:dyDescent="0.2">
      <c r="AI646" s="17"/>
      <c r="AL646" s="17"/>
      <c r="AO646" s="17"/>
      <c r="AR646" s="17"/>
      <c r="AU646" s="17"/>
    </row>
    <row r="647" spans="35:47" x14ac:dyDescent="0.2">
      <c r="AI647" s="17"/>
      <c r="AL647" s="17"/>
      <c r="AO647" s="17"/>
      <c r="AR647" s="17"/>
      <c r="AU647" s="17"/>
    </row>
    <row r="648" spans="35:47" x14ac:dyDescent="0.2">
      <c r="AI648" s="17"/>
      <c r="AL648" s="17"/>
      <c r="AO648" s="17"/>
      <c r="AR648" s="17"/>
      <c r="AU648" s="17"/>
    </row>
    <row r="649" spans="35:47" x14ac:dyDescent="0.2">
      <c r="AI649" s="17"/>
      <c r="AL649" s="17"/>
      <c r="AO649" s="17"/>
      <c r="AR649" s="17"/>
      <c r="AU649" s="17"/>
    </row>
    <row r="650" spans="35:47" x14ac:dyDescent="0.2">
      <c r="AI650" s="17"/>
      <c r="AL650" s="17"/>
      <c r="AO650" s="17"/>
      <c r="AR650" s="17"/>
      <c r="AU650" s="17"/>
    </row>
    <row r="651" spans="35:47" x14ac:dyDescent="0.2">
      <c r="AI651" s="17"/>
      <c r="AL651" s="17"/>
      <c r="AO651" s="17"/>
      <c r="AR651" s="17"/>
      <c r="AU651" s="17"/>
    </row>
    <row r="652" spans="35:47" x14ac:dyDescent="0.2">
      <c r="AI652" s="17"/>
      <c r="AL652" s="17"/>
      <c r="AO652" s="17"/>
      <c r="AR652" s="17"/>
      <c r="AU652" s="17"/>
    </row>
    <row r="653" spans="35:47" x14ac:dyDescent="0.2">
      <c r="AI653" s="17"/>
      <c r="AL653" s="17"/>
      <c r="AO653" s="17"/>
      <c r="AR653" s="17"/>
      <c r="AU653" s="17"/>
    </row>
    <row r="654" spans="35:47" x14ac:dyDescent="0.2">
      <c r="AI654" s="17"/>
      <c r="AL654" s="17"/>
      <c r="AO654" s="17"/>
      <c r="AR654" s="17"/>
      <c r="AU654" s="17"/>
    </row>
    <row r="655" spans="35:47" x14ac:dyDescent="0.2">
      <c r="AI655" s="17"/>
      <c r="AL655" s="17"/>
      <c r="AO655" s="17"/>
      <c r="AR655" s="17"/>
      <c r="AU655" s="17"/>
    </row>
    <row r="656" spans="35:47" x14ac:dyDescent="0.2">
      <c r="AI656" s="17"/>
      <c r="AL656" s="17"/>
      <c r="AO656" s="17"/>
      <c r="AR656" s="17"/>
      <c r="AU656" s="17"/>
    </row>
    <row r="657" spans="35:47" x14ac:dyDescent="0.2">
      <c r="AI657" s="17"/>
      <c r="AL657" s="17"/>
      <c r="AO657" s="17"/>
      <c r="AR657" s="17"/>
      <c r="AU657" s="17"/>
    </row>
    <row r="658" spans="35:47" x14ac:dyDescent="0.2">
      <c r="AI658" s="17"/>
      <c r="AL658" s="17"/>
      <c r="AO658" s="17"/>
      <c r="AR658" s="17"/>
      <c r="AU658" s="17"/>
    </row>
    <row r="659" spans="35:47" x14ac:dyDescent="0.2">
      <c r="AI659" s="17"/>
      <c r="AL659" s="17"/>
      <c r="AO659" s="17"/>
      <c r="AR659" s="17"/>
      <c r="AU659" s="17"/>
    </row>
    <row r="660" spans="35:47" x14ac:dyDescent="0.2">
      <c r="AI660" s="17"/>
      <c r="AL660" s="17"/>
      <c r="AO660" s="17"/>
      <c r="AR660" s="17"/>
      <c r="AU660" s="17"/>
    </row>
    <row r="661" spans="35:47" x14ac:dyDescent="0.2">
      <c r="AI661" s="17"/>
      <c r="AL661" s="17"/>
      <c r="AO661" s="17"/>
      <c r="AR661" s="17"/>
      <c r="AU661" s="17"/>
    </row>
    <row r="662" spans="35:47" x14ac:dyDescent="0.2">
      <c r="AI662" s="17"/>
      <c r="AL662" s="17"/>
      <c r="AO662" s="17"/>
      <c r="AR662" s="17"/>
      <c r="AU662" s="17"/>
    </row>
    <row r="663" spans="35:47" x14ac:dyDescent="0.2">
      <c r="AI663" s="17"/>
      <c r="AL663" s="17"/>
      <c r="AO663" s="17"/>
      <c r="AR663" s="17"/>
      <c r="AU663" s="17"/>
    </row>
    <row r="664" spans="35:47" x14ac:dyDescent="0.2">
      <c r="AI664" s="17"/>
      <c r="AL664" s="17"/>
      <c r="AO664" s="17"/>
      <c r="AR664" s="17"/>
      <c r="AU664" s="17"/>
    </row>
    <row r="665" spans="35:47" x14ac:dyDescent="0.2">
      <c r="AI665" s="17"/>
      <c r="AL665" s="17"/>
      <c r="AO665" s="17"/>
      <c r="AR665" s="17"/>
      <c r="AU665" s="17"/>
    </row>
    <row r="666" spans="35:47" x14ac:dyDescent="0.2">
      <c r="AI666" s="17"/>
      <c r="AL666" s="17"/>
      <c r="AO666" s="17"/>
      <c r="AR666" s="17"/>
      <c r="AU666" s="17"/>
    </row>
    <row r="667" spans="35:47" x14ac:dyDescent="0.2">
      <c r="AI667" s="17"/>
      <c r="AL667" s="17"/>
      <c r="AO667" s="17"/>
      <c r="AR667" s="17"/>
      <c r="AU667" s="17"/>
    </row>
    <row r="668" spans="35:47" x14ac:dyDescent="0.2">
      <c r="AI668" s="17"/>
      <c r="AL668" s="17"/>
      <c r="AO668" s="17"/>
      <c r="AR668" s="17"/>
      <c r="AU668" s="17"/>
    </row>
    <row r="669" spans="35:47" x14ac:dyDescent="0.2">
      <c r="AI669" s="17"/>
      <c r="AL669" s="17"/>
      <c r="AO669" s="17"/>
      <c r="AR669" s="17"/>
      <c r="AU669" s="17"/>
    </row>
    <row r="670" spans="35:47" x14ac:dyDescent="0.2">
      <c r="AI670" s="17"/>
      <c r="AL670" s="17"/>
      <c r="AO670" s="17"/>
      <c r="AR670" s="17"/>
      <c r="AU670" s="17"/>
    </row>
    <row r="671" spans="35:47" x14ac:dyDescent="0.2">
      <c r="AI671" s="17"/>
      <c r="AL671" s="17"/>
      <c r="AO671" s="17"/>
      <c r="AR671" s="17"/>
      <c r="AU671" s="17"/>
    </row>
    <row r="672" spans="35:47" x14ac:dyDescent="0.2">
      <c r="AI672" s="17"/>
      <c r="AL672" s="17"/>
      <c r="AO672" s="17"/>
      <c r="AR672" s="17"/>
      <c r="AU672" s="17"/>
    </row>
    <row r="673" spans="35:47" x14ac:dyDescent="0.2">
      <c r="AI673" s="17"/>
      <c r="AL673" s="17"/>
      <c r="AO673" s="17"/>
      <c r="AR673" s="17"/>
      <c r="AU673" s="17"/>
    </row>
    <row r="674" spans="35:47" x14ac:dyDescent="0.2">
      <c r="AI674" s="17"/>
      <c r="AL674" s="17"/>
      <c r="AO674" s="17"/>
      <c r="AR674" s="17"/>
      <c r="AU674" s="17"/>
    </row>
    <row r="675" spans="35:47" x14ac:dyDescent="0.2">
      <c r="AI675" s="17"/>
      <c r="AL675" s="17"/>
      <c r="AO675" s="17"/>
      <c r="AR675" s="17"/>
      <c r="AU675" s="17"/>
    </row>
    <row r="676" spans="35:47" x14ac:dyDescent="0.2">
      <c r="AI676" s="17"/>
      <c r="AL676" s="17"/>
      <c r="AO676" s="17"/>
      <c r="AR676" s="17"/>
      <c r="AU676" s="17"/>
    </row>
    <row r="677" spans="35:47" x14ac:dyDescent="0.2">
      <c r="AI677" s="17"/>
      <c r="AL677" s="17"/>
      <c r="AO677" s="17"/>
      <c r="AR677" s="17"/>
      <c r="AU677" s="17"/>
    </row>
    <row r="678" spans="35:47" x14ac:dyDescent="0.2">
      <c r="AI678" s="17"/>
      <c r="AL678" s="17"/>
      <c r="AO678" s="17"/>
      <c r="AR678" s="17"/>
      <c r="AU678" s="17"/>
    </row>
    <row r="679" spans="35:47" x14ac:dyDescent="0.2">
      <c r="AI679" s="17"/>
      <c r="AL679" s="17"/>
      <c r="AO679" s="17"/>
      <c r="AR679" s="17"/>
      <c r="AU679" s="17"/>
    </row>
    <row r="680" spans="35:47" x14ac:dyDescent="0.2">
      <c r="AI680" s="17"/>
      <c r="AL680" s="17"/>
      <c r="AO680" s="17"/>
      <c r="AR680" s="17"/>
      <c r="AU680" s="17"/>
    </row>
    <row r="681" spans="35:47" x14ac:dyDescent="0.2">
      <c r="AI681" s="17"/>
      <c r="AL681" s="17"/>
      <c r="AO681" s="17"/>
      <c r="AR681" s="17"/>
      <c r="AU681" s="17"/>
    </row>
    <row r="682" spans="35:47" x14ac:dyDescent="0.2">
      <c r="AI682" s="17"/>
      <c r="AL682" s="17"/>
      <c r="AO682" s="17"/>
      <c r="AR682" s="17"/>
      <c r="AU682" s="17"/>
    </row>
    <row r="683" spans="35:47" x14ac:dyDescent="0.2">
      <c r="AI683" s="17"/>
      <c r="AL683" s="17"/>
      <c r="AO683" s="17"/>
      <c r="AR683" s="17"/>
      <c r="AU683" s="17"/>
    </row>
    <row r="684" spans="35:47" x14ac:dyDescent="0.2">
      <c r="AI684" s="17"/>
      <c r="AL684" s="17"/>
      <c r="AO684" s="17"/>
      <c r="AR684" s="17"/>
      <c r="AU684" s="17"/>
    </row>
    <row r="685" spans="35:47" x14ac:dyDescent="0.2">
      <c r="AI685" s="17"/>
      <c r="AL685" s="17"/>
      <c r="AO685" s="17"/>
      <c r="AR685" s="17"/>
      <c r="AU685" s="17"/>
    </row>
    <row r="686" spans="35:47" x14ac:dyDescent="0.2">
      <c r="AI686" s="17"/>
      <c r="AL686" s="17"/>
      <c r="AO686" s="17"/>
      <c r="AR686" s="17"/>
      <c r="AU686" s="17"/>
    </row>
    <row r="687" spans="35:47" x14ac:dyDescent="0.2">
      <c r="AI687" s="17"/>
      <c r="AL687" s="17"/>
      <c r="AO687" s="17"/>
      <c r="AR687" s="17"/>
      <c r="AU687" s="17"/>
    </row>
    <row r="688" spans="35:47" x14ac:dyDescent="0.2">
      <c r="AI688" s="17"/>
      <c r="AL688" s="17"/>
      <c r="AO688" s="17"/>
      <c r="AR688" s="17"/>
      <c r="AU688" s="17"/>
    </row>
    <row r="689" spans="35:47" x14ac:dyDescent="0.2">
      <c r="AI689" s="17"/>
      <c r="AL689" s="17"/>
      <c r="AO689" s="17"/>
      <c r="AR689" s="17"/>
      <c r="AU689" s="17"/>
    </row>
    <row r="690" spans="35:47" x14ac:dyDescent="0.2">
      <c r="AI690" s="17"/>
      <c r="AL690" s="17"/>
      <c r="AO690" s="17"/>
      <c r="AR690" s="17"/>
      <c r="AU690" s="17"/>
    </row>
    <row r="691" spans="35:47" x14ac:dyDescent="0.2">
      <c r="AI691" s="17"/>
      <c r="AL691" s="17"/>
      <c r="AO691" s="17"/>
      <c r="AR691" s="17"/>
      <c r="AU691" s="17"/>
    </row>
    <row r="692" spans="35:47" x14ac:dyDescent="0.2">
      <c r="AI692" s="17"/>
      <c r="AL692" s="17"/>
      <c r="AO692" s="17"/>
      <c r="AR692" s="17"/>
      <c r="AU692" s="17"/>
    </row>
    <row r="693" spans="35:47" x14ac:dyDescent="0.2">
      <c r="AI693" s="17"/>
      <c r="AL693" s="17"/>
      <c r="AO693" s="17"/>
      <c r="AR693" s="17"/>
      <c r="AU693" s="17"/>
    </row>
    <row r="694" spans="35:47" x14ac:dyDescent="0.2">
      <c r="AI694" s="17"/>
      <c r="AL694" s="17"/>
      <c r="AO694" s="17"/>
      <c r="AR694" s="17"/>
      <c r="AU694" s="17"/>
    </row>
    <row r="695" spans="35:47" x14ac:dyDescent="0.2">
      <c r="AI695" s="17"/>
      <c r="AL695" s="17"/>
      <c r="AO695" s="17"/>
      <c r="AR695" s="17"/>
      <c r="AU695" s="17"/>
    </row>
    <row r="696" spans="35:47" x14ac:dyDescent="0.2">
      <c r="AI696" s="17"/>
      <c r="AL696" s="17"/>
      <c r="AO696" s="17"/>
      <c r="AR696" s="17"/>
      <c r="AU696" s="17"/>
    </row>
    <row r="697" spans="35:47" x14ac:dyDescent="0.2">
      <c r="AI697" s="17"/>
      <c r="AL697" s="17"/>
      <c r="AO697" s="17"/>
      <c r="AR697" s="17"/>
      <c r="AU697" s="17"/>
    </row>
    <row r="698" spans="35:47" x14ac:dyDescent="0.2">
      <c r="AI698" s="17"/>
      <c r="AL698" s="17"/>
      <c r="AO698" s="17"/>
      <c r="AR698" s="17"/>
      <c r="AU698" s="17"/>
    </row>
    <row r="699" spans="35:47" x14ac:dyDescent="0.2">
      <c r="AI699" s="17"/>
      <c r="AL699" s="17"/>
      <c r="AO699" s="17"/>
      <c r="AR699" s="17"/>
      <c r="AU699" s="17"/>
    </row>
    <row r="700" spans="35:47" x14ac:dyDescent="0.2">
      <c r="AI700" s="17"/>
      <c r="AL700" s="17"/>
      <c r="AO700" s="17"/>
      <c r="AR700" s="17"/>
      <c r="AU700" s="17"/>
    </row>
    <row r="701" spans="35:47" x14ac:dyDescent="0.2">
      <c r="AI701" s="17"/>
      <c r="AL701" s="17"/>
      <c r="AO701" s="17"/>
      <c r="AR701" s="17"/>
      <c r="AU701" s="17"/>
    </row>
    <row r="702" spans="35:47" x14ac:dyDescent="0.2">
      <c r="AI702" s="17"/>
      <c r="AL702" s="17"/>
      <c r="AO702" s="17"/>
      <c r="AR702" s="17"/>
      <c r="AU702" s="17"/>
    </row>
    <row r="703" spans="35:47" x14ac:dyDescent="0.2">
      <c r="AI703" s="17"/>
      <c r="AL703" s="17"/>
      <c r="AO703" s="17"/>
      <c r="AR703" s="17"/>
      <c r="AU703" s="17"/>
    </row>
    <row r="704" spans="35:47" x14ac:dyDescent="0.2">
      <c r="AI704" s="17"/>
      <c r="AL704" s="17"/>
      <c r="AO704" s="17"/>
      <c r="AR704" s="17"/>
      <c r="AU704" s="17"/>
    </row>
    <row r="705" spans="35:47" x14ac:dyDescent="0.2">
      <c r="AI705" s="17"/>
      <c r="AL705" s="17"/>
      <c r="AO705" s="17"/>
      <c r="AR705" s="17"/>
      <c r="AU705" s="17"/>
    </row>
    <row r="706" spans="35:47" x14ac:dyDescent="0.2">
      <c r="AI706" s="17"/>
      <c r="AL706" s="17"/>
      <c r="AO706" s="17"/>
      <c r="AR706" s="17"/>
      <c r="AU706" s="17"/>
    </row>
    <row r="707" spans="35:47" x14ac:dyDescent="0.2">
      <c r="AI707" s="17"/>
      <c r="AL707" s="17"/>
      <c r="AO707" s="17"/>
      <c r="AR707" s="17"/>
      <c r="AU707" s="17"/>
    </row>
    <row r="708" spans="35:47" x14ac:dyDescent="0.2">
      <c r="AI708" s="17"/>
      <c r="AL708" s="17"/>
      <c r="AO708" s="17"/>
      <c r="AR708" s="17"/>
      <c r="AU708" s="17"/>
    </row>
    <row r="709" spans="35:47" x14ac:dyDescent="0.2">
      <c r="AI709" s="17"/>
      <c r="AL709" s="17"/>
      <c r="AO709" s="17"/>
      <c r="AR709" s="17"/>
      <c r="AU709" s="17"/>
    </row>
    <row r="710" spans="35:47" x14ac:dyDescent="0.2">
      <c r="AI710" s="17"/>
      <c r="AL710" s="17"/>
      <c r="AO710" s="17"/>
      <c r="AR710" s="17"/>
      <c r="AU710" s="17"/>
    </row>
    <row r="711" spans="35:47" x14ac:dyDescent="0.2">
      <c r="AI711" s="17"/>
      <c r="AL711" s="17"/>
      <c r="AO711" s="17"/>
      <c r="AR711" s="17"/>
      <c r="AU711" s="17"/>
    </row>
    <row r="712" spans="35:47" x14ac:dyDescent="0.2">
      <c r="AI712" s="17"/>
      <c r="AL712" s="17"/>
      <c r="AO712" s="17"/>
      <c r="AR712" s="17"/>
      <c r="AU712" s="17"/>
    </row>
    <row r="713" spans="35:47" x14ac:dyDescent="0.2">
      <c r="AI713" s="17"/>
      <c r="AL713" s="17"/>
      <c r="AO713" s="17"/>
      <c r="AR713" s="17"/>
      <c r="AU713" s="17"/>
    </row>
    <row r="714" spans="35:47" x14ac:dyDescent="0.2">
      <c r="AI714" s="17"/>
      <c r="AL714" s="17"/>
      <c r="AO714" s="17"/>
      <c r="AR714" s="17"/>
      <c r="AU714" s="17"/>
    </row>
    <row r="715" spans="35:47" x14ac:dyDescent="0.2">
      <c r="AI715" s="17"/>
      <c r="AL715" s="17"/>
      <c r="AO715" s="17"/>
      <c r="AR715" s="17"/>
      <c r="AU715" s="17"/>
    </row>
    <row r="716" spans="35:47" x14ac:dyDescent="0.2">
      <c r="AI716" s="17"/>
      <c r="AL716" s="17"/>
      <c r="AO716" s="17"/>
      <c r="AR716" s="17"/>
      <c r="AU716" s="17"/>
    </row>
    <row r="717" spans="35:47" x14ac:dyDescent="0.2">
      <c r="AI717" s="17"/>
      <c r="AL717" s="17"/>
      <c r="AO717" s="17"/>
      <c r="AR717" s="17"/>
      <c r="AU717" s="17"/>
    </row>
    <row r="718" spans="35:47" x14ac:dyDescent="0.2">
      <c r="AI718" s="17"/>
      <c r="AL718" s="17"/>
      <c r="AO718" s="17"/>
      <c r="AR718" s="17"/>
      <c r="AU718" s="17"/>
    </row>
    <row r="719" spans="35:47" x14ac:dyDescent="0.2">
      <c r="AI719" s="17"/>
      <c r="AL719" s="17"/>
      <c r="AO719" s="17"/>
      <c r="AR719" s="17"/>
      <c r="AU719" s="17"/>
    </row>
    <row r="720" spans="35:47" x14ac:dyDescent="0.2">
      <c r="AI720" s="17"/>
      <c r="AL720" s="17"/>
      <c r="AO720" s="17"/>
      <c r="AR720" s="17"/>
      <c r="AU720" s="17"/>
    </row>
    <row r="721" spans="35:47" x14ac:dyDescent="0.2">
      <c r="AI721" s="17"/>
      <c r="AL721" s="17"/>
      <c r="AO721" s="17"/>
      <c r="AR721" s="17"/>
      <c r="AU721" s="17"/>
    </row>
    <row r="722" spans="35:47" x14ac:dyDescent="0.2">
      <c r="AI722" s="17"/>
      <c r="AL722" s="17"/>
      <c r="AO722" s="17"/>
      <c r="AR722" s="17"/>
      <c r="AU722" s="17"/>
    </row>
    <row r="723" spans="35:47" x14ac:dyDescent="0.2">
      <c r="AI723" s="17"/>
      <c r="AL723" s="17"/>
      <c r="AO723" s="17"/>
      <c r="AR723" s="17"/>
      <c r="AU723" s="17"/>
    </row>
    <row r="724" spans="35:47" x14ac:dyDescent="0.2">
      <c r="AI724" s="17"/>
      <c r="AL724" s="17"/>
      <c r="AO724" s="17"/>
      <c r="AR724" s="17"/>
      <c r="AU724" s="17"/>
    </row>
    <row r="725" spans="35:47" x14ac:dyDescent="0.2">
      <c r="AI725" s="17"/>
      <c r="AL725" s="17"/>
      <c r="AO725" s="17"/>
      <c r="AR725" s="17"/>
      <c r="AU725" s="17"/>
    </row>
    <row r="726" spans="35:47" x14ac:dyDescent="0.2">
      <c r="AI726" s="17"/>
      <c r="AL726" s="17"/>
      <c r="AO726" s="17"/>
      <c r="AR726" s="17"/>
      <c r="AU726" s="17"/>
    </row>
    <row r="727" spans="35:47" x14ac:dyDescent="0.2">
      <c r="AI727" s="17"/>
      <c r="AL727" s="17"/>
      <c r="AO727" s="17"/>
      <c r="AR727" s="17"/>
      <c r="AU727" s="17"/>
    </row>
    <row r="728" spans="35:47" x14ac:dyDescent="0.2">
      <c r="AI728" s="17"/>
      <c r="AL728" s="17"/>
      <c r="AO728" s="17"/>
      <c r="AR728" s="17"/>
      <c r="AU728" s="17"/>
    </row>
    <row r="729" spans="35:47" x14ac:dyDescent="0.2">
      <c r="AI729" s="17"/>
      <c r="AL729" s="17"/>
      <c r="AO729" s="17"/>
      <c r="AR729" s="17"/>
      <c r="AU729" s="17"/>
    </row>
    <row r="730" spans="35:47" x14ac:dyDescent="0.2">
      <c r="AI730" s="17"/>
      <c r="AL730" s="17"/>
      <c r="AO730" s="17"/>
      <c r="AR730" s="17"/>
      <c r="AU730" s="17"/>
    </row>
    <row r="731" spans="35:47" x14ac:dyDescent="0.2">
      <c r="AI731" s="17"/>
      <c r="AL731" s="17"/>
      <c r="AO731" s="17"/>
      <c r="AR731" s="17"/>
      <c r="AU731" s="17"/>
    </row>
    <row r="732" spans="35:47" x14ac:dyDescent="0.2">
      <c r="AI732" s="17"/>
      <c r="AL732" s="17"/>
      <c r="AO732" s="17"/>
      <c r="AR732" s="17"/>
      <c r="AU732" s="17"/>
    </row>
    <row r="733" spans="35:47" x14ac:dyDescent="0.2">
      <c r="AI733" s="17"/>
      <c r="AL733" s="17"/>
      <c r="AO733" s="17"/>
      <c r="AR733" s="17"/>
      <c r="AU733" s="17"/>
    </row>
    <row r="734" spans="35:47" x14ac:dyDescent="0.2">
      <c r="AI734" s="17"/>
      <c r="AL734" s="17"/>
      <c r="AO734" s="17"/>
      <c r="AR734" s="17"/>
      <c r="AU734" s="17"/>
    </row>
    <row r="735" spans="35:47" x14ac:dyDescent="0.2">
      <c r="AI735" s="17"/>
      <c r="AL735" s="17"/>
      <c r="AO735" s="17"/>
      <c r="AR735" s="17"/>
      <c r="AU735" s="17"/>
    </row>
    <row r="736" spans="35:47" x14ac:dyDescent="0.2">
      <c r="AI736" s="17"/>
      <c r="AL736" s="17"/>
      <c r="AO736" s="17"/>
      <c r="AR736" s="17"/>
      <c r="AU736" s="17"/>
    </row>
    <row r="737" spans="35:47" x14ac:dyDescent="0.2">
      <c r="AI737" s="17"/>
      <c r="AL737" s="17"/>
      <c r="AO737" s="17"/>
      <c r="AR737" s="17"/>
      <c r="AU737" s="17"/>
    </row>
    <row r="738" spans="35:47" x14ac:dyDescent="0.2">
      <c r="AI738" s="17"/>
      <c r="AL738" s="17"/>
      <c r="AO738" s="17"/>
      <c r="AR738" s="17"/>
      <c r="AU738" s="17"/>
    </row>
    <row r="739" spans="35:47" x14ac:dyDescent="0.2">
      <c r="AI739" s="17"/>
      <c r="AL739" s="17"/>
      <c r="AO739" s="17"/>
      <c r="AR739" s="17"/>
      <c r="AU739" s="17"/>
    </row>
    <row r="740" spans="35:47" x14ac:dyDescent="0.2">
      <c r="AI740" s="17"/>
      <c r="AL740" s="17"/>
      <c r="AO740" s="17"/>
      <c r="AR740" s="17"/>
      <c r="AU740" s="17"/>
    </row>
    <row r="741" spans="35:47" x14ac:dyDescent="0.2">
      <c r="AI741" s="17"/>
      <c r="AL741" s="17"/>
      <c r="AO741" s="17"/>
      <c r="AR741" s="17"/>
      <c r="AU741" s="17"/>
    </row>
    <row r="742" spans="35:47" x14ac:dyDescent="0.2">
      <c r="AI742" s="17"/>
      <c r="AL742" s="17"/>
      <c r="AO742" s="17"/>
      <c r="AR742" s="17"/>
      <c r="AU742" s="17"/>
    </row>
    <row r="743" spans="35:47" x14ac:dyDescent="0.2">
      <c r="AI743" s="17"/>
      <c r="AL743" s="17"/>
      <c r="AO743" s="17"/>
      <c r="AR743" s="17"/>
      <c r="AU743" s="17"/>
    </row>
    <row r="744" spans="35:47" x14ac:dyDescent="0.2">
      <c r="AI744" s="17"/>
      <c r="AL744" s="17"/>
      <c r="AO744" s="17"/>
      <c r="AR744" s="17"/>
      <c r="AU744" s="17"/>
    </row>
    <row r="745" spans="35:47" x14ac:dyDescent="0.2">
      <c r="AI745" s="17"/>
      <c r="AL745" s="17"/>
      <c r="AO745" s="17"/>
      <c r="AR745" s="17"/>
      <c r="AU745" s="17"/>
    </row>
    <row r="746" spans="35:47" x14ac:dyDescent="0.2">
      <c r="AI746" s="17"/>
      <c r="AL746" s="17"/>
      <c r="AO746" s="17"/>
      <c r="AR746" s="17"/>
      <c r="AU746" s="17"/>
    </row>
    <row r="747" spans="35:47" x14ac:dyDescent="0.2">
      <c r="AI747" s="17"/>
      <c r="AL747" s="17"/>
      <c r="AO747" s="17"/>
      <c r="AR747" s="17"/>
      <c r="AU747" s="17"/>
    </row>
    <row r="748" spans="35:47" x14ac:dyDescent="0.2">
      <c r="AI748" s="17"/>
      <c r="AL748" s="17"/>
      <c r="AO748" s="17"/>
      <c r="AR748" s="17"/>
      <c r="AU748" s="17"/>
    </row>
    <row r="749" spans="35:47" x14ac:dyDescent="0.2">
      <c r="AI749" s="17"/>
      <c r="AL749" s="17"/>
      <c r="AO749" s="17"/>
      <c r="AR749" s="17"/>
      <c r="AU749" s="17"/>
    </row>
    <row r="750" spans="35:47" x14ac:dyDescent="0.2">
      <c r="AI750" s="17"/>
      <c r="AL750" s="17"/>
      <c r="AO750" s="17"/>
      <c r="AR750" s="17"/>
      <c r="AU750" s="17"/>
    </row>
    <row r="751" spans="35:47" x14ac:dyDescent="0.2">
      <c r="AI751" s="17"/>
      <c r="AL751" s="17"/>
      <c r="AO751" s="17"/>
      <c r="AR751" s="17"/>
      <c r="AU751" s="17"/>
    </row>
    <row r="752" spans="35:47" x14ac:dyDescent="0.2">
      <c r="AI752" s="17"/>
      <c r="AL752" s="17"/>
      <c r="AO752" s="17"/>
      <c r="AR752" s="17"/>
      <c r="AU752" s="17"/>
    </row>
    <row r="753" spans="35:47" x14ac:dyDescent="0.2">
      <c r="AI753" s="17"/>
      <c r="AL753" s="17"/>
      <c r="AO753" s="17"/>
      <c r="AR753" s="17"/>
      <c r="AU753" s="17"/>
    </row>
    <row r="754" spans="35:47" x14ac:dyDescent="0.2">
      <c r="AI754" s="17"/>
      <c r="AL754" s="17"/>
      <c r="AO754" s="17"/>
      <c r="AR754" s="17"/>
      <c r="AU754" s="17"/>
    </row>
    <row r="755" spans="35:47" x14ac:dyDescent="0.2">
      <c r="AI755" s="17"/>
      <c r="AL755" s="17"/>
      <c r="AO755" s="17"/>
      <c r="AR755" s="17"/>
      <c r="AU755" s="17"/>
    </row>
    <row r="756" spans="35:47" x14ac:dyDescent="0.2">
      <c r="AI756" s="17"/>
      <c r="AL756" s="17"/>
      <c r="AO756" s="17"/>
      <c r="AR756" s="17"/>
      <c r="AU756" s="17"/>
    </row>
    <row r="757" spans="35:47" x14ac:dyDescent="0.2">
      <c r="AI757" s="17"/>
      <c r="AL757" s="17"/>
      <c r="AO757" s="17"/>
      <c r="AR757" s="17"/>
      <c r="AU757" s="17"/>
    </row>
    <row r="758" spans="35:47" x14ac:dyDescent="0.2">
      <c r="AI758" s="17"/>
      <c r="AL758" s="17"/>
      <c r="AO758" s="17"/>
      <c r="AR758" s="17"/>
      <c r="AU758" s="17"/>
    </row>
    <row r="759" spans="35:47" x14ac:dyDescent="0.2">
      <c r="AI759" s="17"/>
      <c r="AL759" s="17"/>
      <c r="AO759" s="17"/>
      <c r="AR759" s="17"/>
      <c r="AU759" s="17"/>
    </row>
    <row r="760" spans="35:47" x14ac:dyDescent="0.2">
      <c r="AI760" s="17"/>
      <c r="AL760" s="17"/>
      <c r="AO760" s="17"/>
      <c r="AR760" s="17"/>
      <c r="AU760" s="17"/>
    </row>
    <row r="761" spans="35:47" x14ac:dyDescent="0.2">
      <c r="AI761" s="17"/>
      <c r="AL761" s="17"/>
      <c r="AO761" s="17"/>
      <c r="AR761" s="17"/>
      <c r="AU761" s="17"/>
    </row>
    <row r="762" spans="35:47" x14ac:dyDescent="0.2">
      <c r="AI762" s="17"/>
      <c r="AL762" s="17"/>
      <c r="AO762" s="17"/>
      <c r="AR762" s="17"/>
      <c r="AU762" s="17"/>
    </row>
    <row r="763" spans="35:47" x14ac:dyDescent="0.2">
      <c r="AI763" s="17"/>
      <c r="AL763" s="17"/>
      <c r="AO763" s="17"/>
      <c r="AR763" s="17"/>
      <c r="AU763" s="17"/>
    </row>
    <row r="764" spans="35:47" x14ac:dyDescent="0.2">
      <c r="AI764" s="17"/>
      <c r="AL764" s="17"/>
      <c r="AO764" s="17"/>
      <c r="AR764" s="17"/>
      <c r="AU764" s="17"/>
    </row>
    <row r="765" spans="35:47" x14ac:dyDescent="0.2">
      <c r="AI765" s="17"/>
      <c r="AL765" s="17"/>
      <c r="AO765" s="17"/>
      <c r="AR765" s="17"/>
      <c r="AU765" s="17"/>
    </row>
    <row r="766" spans="35:47" x14ac:dyDescent="0.2">
      <c r="AI766" s="17"/>
      <c r="AL766" s="17"/>
      <c r="AO766" s="17"/>
      <c r="AR766" s="17"/>
      <c r="AU766" s="17"/>
    </row>
    <row r="767" spans="35:47" x14ac:dyDescent="0.2">
      <c r="AI767" s="17"/>
      <c r="AL767" s="17"/>
      <c r="AO767" s="17"/>
      <c r="AR767" s="17"/>
      <c r="AU767" s="17"/>
    </row>
    <row r="768" spans="35:47" x14ac:dyDescent="0.2">
      <c r="AI768" s="17"/>
      <c r="AL768" s="17"/>
      <c r="AO768" s="17"/>
      <c r="AR768" s="17"/>
      <c r="AU768" s="17"/>
    </row>
    <row r="769" spans="35:47" x14ac:dyDescent="0.2">
      <c r="AI769" s="17"/>
      <c r="AL769" s="17"/>
      <c r="AO769" s="17"/>
      <c r="AR769" s="17"/>
      <c r="AU769" s="17"/>
    </row>
    <row r="770" spans="35:47" x14ac:dyDescent="0.2">
      <c r="AI770" s="17"/>
      <c r="AL770" s="17"/>
      <c r="AO770" s="17"/>
      <c r="AR770" s="17"/>
      <c r="AU770" s="17"/>
    </row>
    <row r="771" spans="35:47" x14ac:dyDescent="0.2">
      <c r="AI771" s="17"/>
      <c r="AL771" s="17"/>
      <c r="AO771" s="17"/>
      <c r="AR771" s="17"/>
      <c r="AU771" s="17"/>
    </row>
    <row r="772" spans="35:47" x14ac:dyDescent="0.2">
      <c r="AI772" s="17"/>
      <c r="AL772" s="17"/>
      <c r="AO772" s="17"/>
      <c r="AR772" s="17"/>
      <c r="AU772" s="17"/>
    </row>
    <row r="773" spans="35:47" x14ac:dyDescent="0.2">
      <c r="AI773" s="17"/>
      <c r="AL773" s="17"/>
      <c r="AO773" s="17"/>
      <c r="AR773" s="17"/>
      <c r="AU773" s="17"/>
    </row>
    <row r="774" spans="35:47" x14ac:dyDescent="0.2">
      <c r="AI774" s="17"/>
      <c r="AL774" s="17"/>
      <c r="AO774" s="17"/>
      <c r="AR774" s="17"/>
      <c r="AU774" s="17"/>
    </row>
    <row r="775" spans="35:47" x14ac:dyDescent="0.2">
      <c r="AI775" s="17"/>
      <c r="AL775" s="17"/>
      <c r="AO775" s="17"/>
      <c r="AR775" s="17"/>
      <c r="AU775" s="17"/>
    </row>
    <row r="776" spans="35:47" x14ac:dyDescent="0.2">
      <c r="AI776" s="17"/>
      <c r="AL776" s="17"/>
      <c r="AO776" s="17"/>
      <c r="AR776" s="17"/>
      <c r="AU776" s="17"/>
    </row>
    <row r="777" spans="35:47" x14ac:dyDescent="0.2">
      <c r="AI777" s="17"/>
      <c r="AL777" s="17"/>
      <c r="AO777" s="17"/>
      <c r="AR777" s="17"/>
      <c r="AU777" s="17"/>
    </row>
    <row r="778" spans="35:47" x14ac:dyDescent="0.2">
      <c r="AI778" s="17"/>
      <c r="AL778" s="17"/>
      <c r="AO778" s="17"/>
      <c r="AR778" s="17"/>
      <c r="AU778" s="17"/>
    </row>
    <row r="779" spans="35:47" x14ac:dyDescent="0.2">
      <c r="AI779" s="17"/>
      <c r="AL779" s="17"/>
      <c r="AO779" s="17"/>
      <c r="AR779" s="17"/>
      <c r="AU779" s="17"/>
    </row>
    <row r="780" spans="35:47" x14ac:dyDescent="0.2">
      <c r="AI780" s="17"/>
      <c r="AL780" s="17"/>
      <c r="AO780" s="17"/>
      <c r="AR780" s="17"/>
      <c r="AU780" s="17"/>
    </row>
    <row r="781" spans="35:47" x14ac:dyDescent="0.2">
      <c r="AI781" s="17"/>
      <c r="AL781" s="17"/>
      <c r="AO781" s="17"/>
      <c r="AR781" s="17"/>
      <c r="AU781" s="17"/>
    </row>
    <row r="782" spans="35:47" x14ac:dyDescent="0.2">
      <c r="AI782" s="17"/>
      <c r="AL782" s="17"/>
      <c r="AO782" s="17"/>
      <c r="AR782" s="17"/>
      <c r="AU782" s="17"/>
    </row>
    <row r="783" spans="35:47" x14ac:dyDescent="0.2">
      <c r="AI783" s="17"/>
      <c r="AL783" s="17"/>
      <c r="AO783" s="17"/>
      <c r="AR783" s="17"/>
      <c r="AU783" s="17"/>
    </row>
    <row r="784" spans="35:47" x14ac:dyDescent="0.2">
      <c r="AI784" s="17"/>
      <c r="AL784" s="17"/>
      <c r="AO784" s="17"/>
      <c r="AR784" s="17"/>
      <c r="AU784" s="17"/>
    </row>
    <row r="785" spans="35:47" x14ac:dyDescent="0.2">
      <c r="AI785" s="17"/>
      <c r="AL785" s="17"/>
      <c r="AO785" s="17"/>
      <c r="AR785" s="17"/>
      <c r="AU785" s="17"/>
    </row>
    <row r="786" spans="35:47" x14ac:dyDescent="0.2">
      <c r="AI786" s="17"/>
      <c r="AL786" s="17"/>
      <c r="AO786" s="17"/>
      <c r="AR786" s="17"/>
      <c r="AU786" s="17"/>
    </row>
    <row r="787" spans="35:47" x14ac:dyDescent="0.2">
      <c r="AI787" s="17"/>
      <c r="AL787" s="17"/>
      <c r="AO787" s="17"/>
      <c r="AR787" s="17"/>
      <c r="AU787" s="17"/>
    </row>
    <row r="788" spans="35:47" x14ac:dyDescent="0.2">
      <c r="AI788" s="17"/>
      <c r="AL788" s="17"/>
      <c r="AO788" s="17"/>
      <c r="AR788" s="17"/>
      <c r="AU788" s="17"/>
    </row>
    <row r="789" spans="35:47" x14ac:dyDescent="0.2">
      <c r="AI789" s="17"/>
      <c r="AL789" s="17"/>
      <c r="AO789" s="17"/>
      <c r="AR789" s="17"/>
      <c r="AU789" s="17"/>
    </row>
    <row r="790" spans="35:47" x14ac:dyDescent="0.2">
      <c r="AI790" s="17"/>
      <c r="AL790" s="17"/>
      <c r="AO790" s="17"/>
      <c r="AR790" s="17"/>
      <c r="AU790" s="17"/>
    </row>
    <row r="791" spans="35:47" x14ac:dyDescent="0.2">
      <c r="AI791" s="17"/>
      <c r="AL791" s="17"/>
      <c r="AO791" s="17"/>
      <c r="AR791" s="17"/>
      <c r="AU791" s="17"/>
    </row>
    <row r="792" spans="35:47" x14ac:dyDescent="0.2">
      <c r="AI792" s="17"/>
      <c r="AL792" s="17"/>
      <c r="AO792" s="17"/>
      <c r="AR792" s="17"/>
      <c r="AU792" s="17"/>
    </row>
    <row r="793" spans="35:47" x14ac:dyDescent="0.2">
      <c r="AI793" s="17"/>
      <c r="AL793" s="17"/>
      <c r="AO793" s="17"/>
      <c r="AR793" s="17"/>
      <c r="AU793" s="17"/>
    </row>
    <row r="794" spans="35:47" x14ac:dyDescent="0.2">
      <c r="AI794" s="17"/>
      <c r="AL794" s="17"/>
      <c r="AO794" s="17"/>
      <c r="AR794" s="17"/>
      <c r="AU794" s="17"/>
    </row>
    <row r="795" spans="35:47" x14ac:dyDescent="0.2">
      <c r="AI795" s="17"/>
      <c r="AL795" s="17"/>
      <c r="AO795" s="17"/>
      <c r="AR795" s="17"/>
      <c r="AU795" s="17"/>
    </row>
    <row r="796" spans="35:47" x14ac:dyDescent="0.2">
      <c r="AI796" s="17"/>
      <c r="AL796" s="17"/>
      <c r="AO796" s="17"/>
      <c r="AR796" s="17"/>
      <c r="AU796" s="17"/>
    </row>
    <row r="797" spans="35:47" x14ac:dyDescent="0.2">
      <c r="AI797" s="17"/>
      <c r="AL797" s="17"/>
      <c r="AO797" s="17"/>
      <c r="AR797" s="17"/>
      <c r="AU797" s="17"/>
    </row>
    <row r="798" spans="35:47" x14ac:dyDescent="0.2">
      <c r="AI798" s="17"/>
      <c r="AL798" s="17"/>
      <c r="AO798" s="17"/>
      <c r="AR798" s="17"/>
      <c r="AU798" s="17"/>
    </row>
    <row r="799" spans="35:47" x14ac:dyDescent="0.2">
      <c r="AI799" s="17"/>
      <c r="AL799" s="17"/>
      <c r="AO799" s="17"/>
      <c r="AR799" s="17"/>
      <c r="AU799" s="17"/>
    </row>
    <row r="800" spans="35:47" x14ac:dyDescent="0.2">
      <c r="AI800" s="17"/>
      <c r="AL800" s="17"/>
      <c r="AO800" s="17"/>
      <c r="AR800" s="17"/>
      <c r="AU800" s="17"/>
    </row>
    <row r="801" spans="35:47" x14ac:dyDescent="0.2">
      <c r="AI801" s="17"/>
      <c r="AL801" s="17"/>
      <c r="AO801" s="17"/>
      <c r="AR801" s="17"/>
      <c r="AU801" s="17"/>
    </row>
    <row r="802" spans="35:47" x14ac:dyDescent="0.2">
      <c r="AI802" s="17"/>
      <c r="AL802" s="17"/>
      <c r="AO802" s="17"/>
      <c r="AR802" s="17"/>
      <c r="AU802" s="17"/>
    </row>
    <row r="803" spans="35:47" x14ac:dyDescent="0.2">
      <c r="AI803" s="17"/>
      <c r="AL803" s="17"/>
      <c r="AO803" s="17"/>
      <c r="AR803" s="17"/>
      <c r="AU803" s="17"/>
    </row>
    <row r="804" spans="35:47" x14ac:dyDescent="0.2">
      <c r="AI804" s="17"/>
      <c r="AL804" s="17"/>
      <c r="AO804" s="17"/>
      <c r="AR804" s="17"/>
      <c r="AU804" s="17"/>
    </row>
    <row r="805" spans="35:47" x14ac:dyDescent="0.2">
      <c r="AI805" s="17"/>
      <c r="AL805" s="17"/>
      <c r="AO805" s="17"/>
      <c r="AR805" s="17"/>
      <c r="AU805" s="17"/>
    </row>
    <row r="806" spans="35:47" x14ac:dyDescent="0.2">
      <c r="AI806" s="17"/>
      <c r="AL806" s="17"/>
      <c r="AO806" s="17"/>
      <c r="AR806" s="17"/>
      <c r="AU806" s="17"/>
    </row>
    <row r="807" spans="35:47" x14ac:dyDescent="0.2">
      <c r="AI807" s="17"/>
      <c r="AL807" s="17"/>
      <c r="AO807" s="17"/>
      <c r="AR807" s="17"/>
      <c r="AU807" s="17"/>
    </row>
    <row r="808" spans="35:47" x14ac:dyDescent="0.2">
      <c r="AI808" s="17"/>
      <c r="AL808" s="17"/>
      <c r="AO808" s="17"/>
      <c r="AR808" s="17"/>
      <c r="AU808" s="17"/>
    </row>
    <row r="809" spans="35:47" x14ac:dyDescent="0.2">
      <c r="AI809" s="17"/>
      <c r="AL809" s="17"/>
      <c r="AO809" s="17"/>
      <c r="AR809" s="17"/>
      <c r="AU809" s="17"/>
    </row>
    <row r="810" spans="35:47" x14ac:dyDescent="0.2">
      <c r="AI810" s="17"/>
      <c r="AL810" s="17"/>
      <c r="AO810" s="17"/>
      <c r="AR810" s="17"/>
      <c r="AU810" s="17"/>
    </row>
    <row r="811" spans="35:47" x14ac:dyDescent="0.2">
      <c r="AI811" s="17"/>
      <c r="AL811" s="17"/>
      <c r="AO811" s="17"/>
      <c r="AR811" s="17"/>
      <c r="AU811" s="17"/>
    </row>
    <row r="812" spans="35:47" x14ac:dyDescent="0.2">
      <c r="AI812" s="17"/>
      <c r="AL812" s="17"/>
      <c r="AO812" s="17"/>
      <c r="AR812" s="17"/>
      <c r="AU812" s="17"/>
    </row>
    <row r="813" spans="35:47" x14ac:dyDescent="0.2">
      <c r="AI813" s="17"/>
      <c r="AL813" s="17"/>
      <c r="AO813" s="17"/>
      <c r="AR813" s="17"/>
      <c r="AU813" s="17"/>
    </row>
    <row r="814" spans="35:47" x14ac:dyDescent="0.2">
      <c r="AI814" s="17"/>
      <c r="AL814" s="17"/>
      <c r="AO814" s="17"/>
      <c r="AR814" s="17"/>
      <c r="AU814" s="17"/>
    </row>
    <row r="815" spans="35:47" x14ac:dyDescent="0.2">
      <c r="AI815" s="17"/>
      <c r="AL815" s="17"/>
      <c r="AO815" s="17"/>
      <c r="AR815" s="17"/>
      <c r="AU815" s="17"/>
    </row>
    <row r="816" spans="35:47" x14ac:dyDescent="0.2">
      <c r="AI816" s="17"/>
      <c r="AL816" s="17"/>
      <c r="AO816" s="17"/>
      <c r="AR816" s="17"/>
      <c r="AU816" s="17"/>
    </row>
    <row r="817" spans="35:47" x14ac:dyDescent="0.2">
      <c r="AI817" s="17"/>
      <c r="AL817" s="17"/>
      <c r="AO817" s="17"/>
      <c r="AR817" s="17"/>
      <c r="AU817" s="17"/>
    </row>
    <row r="818" spans="35:47" x14ac:dyDescent="0.2">
      <c r="AI818" s="17"/>
      <c r="AL818" s="17"/>
      <c r="AO818" s="17"/>
      <c r="AR818" s="17"/>
      <c r="AU818" s="17"/>
    </row>
    <row r="819" spans="35:47" x14ac:dyDescent="0.2">
      <c r="AI819" s="17"/>
      <c r="AL819" s="17"/>
      <c r="AO819" s="17"/>
      <c r="AR819" s="17"/>
      <c r="AU819" s="17"/>
    </row>
    <row r="820" spans="35:47" x14ac:dyDescent="0.2">
      <c r="AI820" s="17"/>
      <c r="AL820" s="17"/>
      <c r="AO820" s="17"/>
      <c r="AR820" s="17"/>
      <c r="AU820" s="17"/>
    </row>
    <row r="821" spans="35:47" x14ac:dyDescent="0.2">
      <c r="AI821" s="17"/>
      <c r="AL821" s="17"/>
      <c r="AO821" s="17"/>
      <c r="AR821" s="17"/>
      <c r="AU821" s="17"/>
    </row>
    <row r="822" spans="35:47" x14ac:dyDescent="0.2">
      <c r="AI822" s="17"/>
      <c r="AL822" s="17"/>
      <c r="AO822" s="17"/>
      <c r="AR822" s="17"/>
      <c r="AU822" s="17"/>
    </row>
    <row r="823" spans="35:47" x14ac:dyDescent="0.2">
      <c r="AI823" s="17"/>
      <c r="AL823" s="17"/>
      <c r="AO823" s="17"/>
      <c r="AR823" s="17"/>
      <c r="AU823" s="17"/>
    </row>
    <row r="824" spans="35:47" x14ac:dyDescent="0.2">
      <c r="AI824" s="17"/>
      <c r="AL824" s="17"/>
      <c r="AO824" s="17"/>
      <c r="AR824" s="17"/>
      <c r="AU824" s="17"/>
    </row>
    <row r="825" spans="35:47" x14ac:dyDescent="0.2">
      <c r="AI825" s="17"/>
      <c r="AL825" s="17"/>
      <c r="AO825" s="17"/>
      <c r="AR825" s="17"/>
      <c r="AU825" s="17"/>
    </row>
    <row r="826" spans="35:47" x14ac:dyDescent="0.2">
      <c r="AI826" s="17"/>
      <c r="AL826" s="17"/>
      <c r="AO826" s="17"/>
      <c r="AR826" s="17"/>
      <c r="AU826" s="17"/>
    </row>
    <row r="827" spans="35:47" x14ac:dyDescent="0.2">
      <c r="AI827" s="17"/>
      <c r="AL827" s="17"/>
      <c r="AO827" s="17"/>
      <c r="AR827" s="17"/>
      <c r="AU827" s="17"/>
    </row>
    <row r="828" spans="35:47" x14ac:dyDescent="0.2">
      <c r="AI828" s="17"/>
      <c r="AL828" s="17"/>
      <c r="AO828" s="17"/>
      <c r="AR828" s="17"/>
      <c r="AU828" s="17"/>
    </row>
    <row r="829" spans="35:47" x14ac:dyDescent="0.2">
      <c r="AI829" s="17"/>
      <c r="AL829" s="17"/>
      <c r="AO829" s="17"/>
      <c r="AR829" s="17"/>
      <c r="AU829" s="17"/>
    </row>
    <row r="830" spans="35:47" x14ac:dyDescent="0.2">
      <c r="AI830" s="17"/>
      <c r="AL830" s="17"/>
      <c r="AO830" s="17"/>
      <c r="AR830" s="17"/>
      <c r="AU830" s="17"/>
    </row>
    <row r="831" spans="35:47" x14ac:dyDescent="0.2">
      <c r="AI831" s="17"/>
      <c r="AL831" s="17"/>
      <c r="AO831" s="17"/>
      <c r="AR831" s="17"/>
      <c r="AU831" s="17"/>
    </row>
    <row r="832" spans="35:47" x14ac:dyDescent="0.2">
      <c r="AI832" s="17"/>
      <c r="AL832" s="17"/>
      <c r="AO832" s="17"/>
      <c r="AR832" s="17"/>
      <c r="AU832" s="17"/>
    </row>
    <row r="833" spans="35:47" x14ac:dyDescent="0.2">
      <c r="AI833" s="17"/>
      <c r="AL833" s="17"/>
      <c r="AO833" s="17"/>
      <c r="AR833" s="17"/>
      <c r="AU833" s="17"/>
    </row>
    <row r="834" spans="35:47" x14ac:dyDescent="0.2">
      <c r="AI834" s="17"/>
      <c r="AL834" s="17"/>
      <c r="AO834" s="17"/>
      <c r="AR834" s="17"/>
      <c r="AU834" s="17"/>
    </row>
    <row r="835" spans="35:47" x14ac:dyDescent="0.2">
      <c r="AI835" s="17"/>
      <c r="AL835" s="17"/>
      <c r="AO835" s="17"/>
      <c r="AR835" s="17"/>
      <c r="AU835" s="17"/>
    </row>
    <row r="836" spans="35:47" x14ac:dyDescent="0.2">
      <c r="AI836" s="17"/>
      <c r="AL836" s="17"/>
      <c r="AO836" s="17"/>
      <c r="AR836" s="17"/>
      <c r="AU836" s="17"/>
    </row>
    <row r="837" spans="35:47" x14ac:dyDescent="0.2">
      <c r="AI837" s="17"/>
      <c r="AL837" s="17"/>
      <c r="AO837" s="17"/>
      <c r="AR837" s="17"/>
      <c r="AU837" s="17"/>
    </row>
    <row r="838" spans="35:47" x14ac:dyDescent="0.2">
      <c r="AI838" s="17"/>
      <c r="AL838" s="17"/>
      <c r="AO838" s="17"/>
      <c r="AR838" s="17"/>
      <c r="AU838" s="17"/>
    </row>
    <row r="839" spans="35:47" x14ac:dyDescent="0.2">
      <c r="AI839" s="17"/>
      <c r="AL839" s="17"/>
      <c r="AO839" s="17"/>
      <c r="AR839" s="17"/>
      <c r="AU839" s="17"/>
    </row>
    <row r="840" spans="35:47" x14ac:dyDescent="0.2">
      <c r="AI840" s="17"/>
      <c r="AL840" s="17"/>
      <c r="AO840" s="17"/>
      <c r="AR840" s="17"/>
      <c r="AU840" s="17"/>
    </row>
    <row r="841" spans="35:47" x14ac:dyDescent="0.2">
      <c r="AI841" s="17"/>
      <c r="AL841" s="17"/>
      <c r="AO841" s="17"/>
      <c r="AR841" s="17"/>
      <c r="AU841" s="17"/>
    </row>
    <row r="842" spans="35:47" x14ac:dyDescent="0.2">
      <c r="AI842" s="17"/>
      <c r="AL842" s="17"/>
      <c r="AO842" s="17"/>
      <c r="AR842" s="17"/>
      <c r="AU842" s="17"/>
    </row>
    <row r="843" spans="35:47" x14ac:dyDescent="0.2">
      <c r="AI843" s="17"/>
      <c r="AL843" s="17"/>
      <c r="AO843" s="17"/>
      <c r="AR843" s="17"/>
      <c r="AU843" s="17"/>
    </row>
    <row r="844" spans="35:47" x14ac:dyDescent="0.2">
      <c r="AI844" s="17"/>
      <c r="AL844" s="17"/>
      <c r="AO844" s="17"/>
      <c r="AR844" s="17"/>
      <c r="AU844" s="17"/>
    </row>
    <row r="845" spans="35:47" x14ac:dyDescent="0.2">
      <c r="AI845" s="17"/>
      <c r="AL845" s="17"/>
      <c r="AO845" s="17"/>
      <c r="AR845" s="17"/>
      <c r="AU845" s="17"/>
    </row>
    <row r="846" spans="35:47" x14ac:dyDescent="0.2">
      <c r="AI846" s="17"/>
      <c r="AL846" s="17"/>
      <c r="AO846" s="17"/>
      <c r="AR846" s="17"/>
      <c r="AU846" s="17"/>
    </row>
    <row r="847" spans="35:47" x14ac:dyDescent="0.2">
      <c r="AI847" s="17"/>
      <c r="AL847" s="17"/>
      <c r="AO847" s="17"/>
      <c r="AR847" s="17"/>
      <c r="AU847" s="17"/>
    </row>
    <row r="848" spans="35:47" x14ac:dyDescent="0.2">
      <c r="AI848" s="17"/>
      <c r="AL848" s="17"/>
      <c r="AO848" s="17"/>
      <c r="AR848" s="17"/>
      <c r="AU848" s="17"/>
    </row>
    <row r="849" spans="35:47" x14ac:dyDescent="0.2">
      <c r="AI849" s="17"/>
      <c r="AL849" s="17"/>
      <c r="AO849" s="17"/>
      <c r="AR849" s="17"/>
      <c r="AU849" s="17"/>
    </row>
    <row r="850" spans="35:47" x14ac:dyDescent="0.2">
      <c r="AI850" s="17"/>
      <c r="AL850" s="17"/>
      <c r="AO850" s="17"/>
      <c r="AR850" s="17"/>
      <c r="AU850" s="17"/>
    </row>
    <row r="851" spans="35:47" x14ac:dyDescent="0.2">
      <c r="AI851" s="17"/>
      <c r="AL851" s="17"/>
      <c r="AO851" s="17"/>
      <c r="AR851" s="17"/>
      <c r="AU851" s="17"/>
    </row>
    <row r="852" spans="35:47" x14ac:dyDescent="0.2">
      <c r="AI852" s="17"/>
      <c r="AL852" s="17"/>
      <c r="AO852" s="17"/>
      <c r="AR852" s="17"/>
      <c r="AU852" s="17"/>
    </row>
    <row r="853" spans="35:47" x14ac:dyDescent="0.2">
      <c r="AI853" s="17"/>
      <c r="AL853" s="17"/>
      <c r="AO853" s="17"/>
      <c r="AR853" s="17"/>
      <c r="AU853" s="17"/>
    </row>
    <row r="854" spans="35:47" x14ac:dyDescent="0.2">
      <c r="AI854" s="17"/>
      <c r="AL854" s="17"/>
      <c r="AO854" s="17"/>
      <c r="AR854" s="17"/>
      <c r="AU854" s="17"/>
    </row>
    <row r="855" spans="35:47" x14ac:dyDescent="0.2">
      <c r="AI855" s="17"/>
      <c r="AL855" s="17"/>
      <c r="AO855" s="17"/>
      <c r="AR855" s="17"/>
      <c r="AU855" s="17"/>
    </row>
    <row r="856" spans="35:47" x14ac:dyDescent="0.2">
      <c r="AI856" s="17"/>
      <c r="AL856" s="17"/>
      <c r="AO856" s="17"/>
      <c r="AR856" s="17"/>
      <c r="AU856" s="17"/>
    </row>
    <row r="857" spans="35:47" x14ac:dyDescent="0.2">
      <c r="AI857" s="17"/>
      <c r="AL857" s="17"/>
      <c r="AO857" s="17"/>
      <c r="AR857" s="17"/>
      <c r="AU857" s="17"/>
    </row>
    <row r="858" spans="35:47" x14ac:dyDescent="0.2">
      <c r="AI858" s="17"/>
      <c r="AL858" s="17"/>
      <c r="AO858" s="17"/>
      <c r="AR858" s="17"/>
      <c r="AU858" s="17"/>
    </row>
    <row r="859" spans="35:47" x14ac:dyDescent="0.2">
      <c r="AI859" s="17"/>
      <c r="AL859" s="17"/>
      <c r="AO859" s="17"/>
      <c r="AR859" s="17"/>
      <c r="AU859" s="17"/>
    </row>
    <row r="860" spans="35:47" x14ac:dyDescent="0.2">
      <c r="AI860" s="17"/>
      <c r="AL860" s="17"/>
      <c r="AO860" s="17"/>
      <c r="AR860" s="17"/>
      <c r="AU860" s="17"/>
    </row>
    <row r="861" spans="35:47" x14ac:dyDescent="0.2">
      <c r="AI861" s="17"/>
      <c r="AL861" s="17"/>
      <c r="AO861" s="17"/>
      <c r="AR861" s="17"/>
      <c r="AU861" s="17"/>
    </row>
    <row r="862" spans="35:47" x14ac:dyDescent="0.2">
      <c r="AI862" s="17"/>
      <c r="AL862" s="17"/>
      <c r="AO862" s="17"/>
      <c r="AR862" s="17"/>
      <c r="AU862" s="17"/>
    </row>
    <row r="863" spans="35:47" x14ac:dyDescent="0.2">
      <c r="AI863" s="17"/>
      <c r="AL863" s="17"/>
      <c r="AO863" s="17"/>
      <c r="AR863" s="17"/>
      <c r="AU863" s="17"/>
    </row>
    <row r="864" spans="35:47" x14ac:dyDescent="0.2">
      <c r="AI864" s="17"/>
      <c r="AL864" s="17"/>
      <c r="AO864" s="17"/>
      <c r="AR864" s="17"/>
      <c r="AU864" s="17"/>
    </row>
    <row r="865" spans="35:47" x14ac:dyDescent="0.2">
      <c r="AI865" s="17"/>
      <c r="AL865" s="17"/>
      <c r="AO865" s="17"/>
      <c r="AR865" s="17"/>
      <c r="AU865" s="17"/>
    </row>
    <row r="866" spans="35:47" x14ac:dyDescent="0.2">
      <c r="AI866" s="17"/>
      <c r="AL866" s="17"/>
      <c r="AO866" s="17"/>
      <c r="AR866" s="17"/>
      <c r="AU866" s="17"/>
    </row>
    <row r="867" spans="35:47" x14ac:dyDescent="0.2">
      <c r="AI867" s="17"/>
      <c r="AL867" s="17"/>
      <c r="AO867" s="17"/>
      <c r="AR867" s="17"/>
      <c r="AU867" s="17"/>
    </row>
    <row r="868" spans="35:47" x14ac:dyDescent="0.2">
      <c r="AI868" s="17"/>
      <c r="AL868" s="17"/>
      <c r="AO868" s="17"/>
      <c r="AR868" s="17"/>
      <c r="AU868" s="17"/>
    </row>
    <row r="869" spans="35:47" x14ac:dyDescent="0.2">
      <c r="AI869" s="17"/>
      <c r="AL869" s="17"/>
      <c r="AO869" s="17"/>
      <c r="AR869" s="17"/>
      <c r="AU869" s="17"/>
    </row>
    <row r="870" spans="35:47" x14ac:dyDescent="0.2">
      <c r="AI870" s="17"/>
      <c r="AL870" s="17"/>
      <c r="AO870" s="17"/>
      <c r="AR870" s="17"/>
      <c r="AU870" s="17"/>
    </row>
    <row r="871" spans="35:47" x14ac:dyDescent="0.2">
      <c r="AI871" s="17"/>
      <c r="AL871" s="17"/>
      <c r="AO871" s="17"/>
      <c r="AR871" s="17"/>
      <c r="AU871" s="17"/>
    </row>
    <row r="872" spans="35:47" x14ac:dyDescent="0.2">
      <c r="AI872" s="17"/>
      <c r="AL872" s="17"/>
      <c r="AO872" s="17"/>
      <c r="AR872" s="17"/>
      <c r="AU872" s="17"/>
    </row>
    <row r="873" spans="35:47" x14ac:dyDescent="0.2">
      <c r="AI873" s="17"/>
      <c r="AL873" s="17"/>
      <c r="AO873" s="17"/>
      <c r="AR873" s="17"/>
      <c r="AU873" s="17"/>
    </row>
    <row r="874" spans="35:47" x14ac:dyDescent="0.2">
      <c r="AI874" s="17"/>
      <c r="AL874" s="17"/>
      <c r="AO874" s="17"/>
      <c r="AR874" s="17"/>
      <c r="AU874" s="17"/>
    </row>
    <row r="875" spans="35:47" x14ac:dyDescent="0.2">
      <c r="AI875" s="17"/>
      <c r="AL875" s="17"/>
      <c r="AO875" s="17"/>
      <c r="AR875" s="17"/>
      <c r="AU875" s="17"/>
    </row>
    <row r="876" spans="35:47" x14ac:dyDescent="0.2">
      <c r="AI876" s="17"/>
      <c r="AL876" s="17"/>
      <c r="AO876" s="17"/>
      <c r="AR876" s="17"/>
      <c r="AU876" s="17"/>
    </row>
    <row r="877" spans="35:47" x14ac:dyDescent="0.2">
      <c r="AI877" s="17"/>
      <c r="AL877" s="17"/>
      <c r="AO877" s="17"/>
      <c r="AR877" s="17"/>
      <c r="AU877" s="17"/>
    </row>
    <row r="878" spans="35:47" x14ac:dyDescent="0.2">
      <c r="AI878" s="17"/>
      <c r="AL878" s="17"/>
      <c r="AO878" s="17"/>
      <c r="AR878" s="17"/>
      <c r="AU878" s="17"/>
    </row>
    <row r="879" spans="35:47" x14ac:dyDescent="0.2">
      <c r="AI879" s="17"/>
      <c r="AL879" s="17"/>
      <c r="AO879" s="17"/>
      <c r="AR879" s="17"/>
      <c r="AU879" s="17"/>
    </row>
    <row r="880" spans="35:47" x14ac:dyDescent="0.2">
      <c r="AI880" s="17"/>
      <c r="AL880" s="17"/>
      <c r="AO880" s="17"/>
      <c r="AR880" s="17"/>
      <c r="AU880" s="17"/>
    </row>
    <row r="881" spans="35:47" x14ac:dyDescent="0.2">
      <c r="AI881" s="17"/>
      <c r="AL881" s="17"/>
      <c r="AO881" s="17"/>
      <c r="AR881" s="17"/>
      <c r="AU881" s="17"/>
    </row>
    <row r="882" spans="35:47" x14ac:dyDescent="0.2">
      <c r="AI882" s="17"/>
      <c r="AL882" s="17"/>
      <c r="AO882" s="17"/>
      <c r="AR882" s="17"/>
      <c r="AU882" s="17"/>
    </row>
    <row r="883" spans="35:47" x14ac:dyDescent="0.2">
      <c r="AI883" s="17"/>
      <c r="AL883" s="17"/>
      <c r="AO883" s="17"/>
      <c r="AR883" s="17"/>
      <c r="AU883" s="17"/>
    </row>
    <row r="884" spans="35:47" x14ac:dyDescent="0.2">
      <c r="AI884" s="17"/>
      <c r="AL884" s="17"/>
      <c r="AO884" s="17"/>
      <c r="AR884" s="17"/>
      <c r="AU884" s="17"/>
    </row>
    <row r="885" spans="35:47" x14ac:dyDescent="0.2">
      <c r="AI885" s="17"/>
      <c r="AL885" s="17"/>
      <c r="AO885" s="17"/>
      <c r="AR885" s="17"/>
      <c r="AU885" s="17"/>
    </row>
    <row r="886" spans="35:47" x14ac:dyDescent="0.2">
      <c r="AI886" s="17"/>
      <c r="AL886" s="17"/>
      <c r="AO886" s="17"/>
      <c r="AR886" s="17"/>
      <c r="AU886" s="17"/>
    </row>
    <row r="887" spans="35:47" x14ac:dyDescent="0.2">
      <c r="AI887" s="17"/>
      <c r="AL887" s="17"/>
      <c r="AO887" s="17"/>
      <c r="AR887" s="17"/>
      <c r="AU887" s="17"/>
    </row>
    <row r="888" spans="35:47" x14ac:dyDescent="0.2">
      <c r="AI888" s="17"/>
      <c r="AL888" s="17"/>
      <c r="AO888" s="17"/>
      <c r="AR888" s="17"/>
      <c r="AU888" s="17"/>
    </row>
  </sheetData>
  <autoFilter ref="M3:M196">
    <filterColumn colId="0">
      <customFilters and="1">
        <customFilter operator="notEqual" val=" "/>
      </customFilters>
    </filterColumn>
  </autoFilter>
  <dataConsolidate/>
  <mergeCells count="4">
    <mergeCell ref="K35:K37"/>
    <mergeCell ref="K39:K41"/>
    <mergeCell ref="AO118:AQ118"/>
    <mergeCell ref="AI123:AK123"/>
  </mergeCells>
  <phoneticPr fontId="40" type="noConversion"/>
  <conditionalFormatting sqref="AI117:AK118">
    <cfRule type="expression" dxfId="818" priority="1648" stopIfTrue="1">
      <formula>$AI$116&gt;" "</formula>
    </cfRule>
  </conditionalFormatting>
  <conditionalFormatting sqref="AL117:AN118">
    <cfRule type="expression" dxfId="817" priority="1601" stopIfTrue="1">
      <formula>$AL$116&gt;" "</formula>
    </cfRule>
  </conditionalFormatting>
  <conditionalFormatting sqref="AO117:AQ117 AO118">
    <cfRule type="expression" dxfId="816" priority="1556" stopIfTrue="1">
      <formula>$AO$116&gt;" "</formula>
    </cfRule>
  </conditionalFormatting>
  <conditionalFormatting sqref="AR117:AT118">
    <cfRule type="expression" dxfId="815" priority="1511" stopIfTrue="1">
      <formula>$AR$116&gt;" "</formula>
    </cfRule>
  </conditionalFormatting>
  <conditionalFormatting sqref="AU117:AW118">
    <cfRule type="expression" dxfId="814" priority="1466" stopIfTrue="1">
      <formula>$AU$116&gt;" "</formula>
    </cfRule>
  </conditionalFormatting>
  <conditionalFormatting sqref="AX117:AZ118">
    <cfRule type="expression" dxfId="813" priority="1421" stopIfTrue="1">
      <formula>$AX$116&gt;" "</formula>
    </cfRule>
  </conditionalFormatting>
  <conditionalFormatting sqref="AF120:AH121">
    <cfRule type="expression" dxfId="812" priority="1689" stopIfTrue="1">
      <formula>$AF$119&gt;" "</formula>
    </cfRule>
  </conditionalFormatting>
  <conditionalFormatting sqref="AI120:AK121">
    <cfRule type="expression" dxfId="811" priority="1645" stopIfTrue="1">
      <formula>$AI$119&gt;" "</formula>
    </cfRule>
  </conditionalFormatting>
  <conditionalFormatting sqref="AL120:AN121">
    <cfRule type="expression" dxfId="810" priority="1598" stopIfTrue="1">
      <formula>$AL$119&gt;" "</formula>
    </cfRule>
  </conditionalFormatting>
  <conditionalFormatting sqref="AO120:AQ121">
    <cfRule type="expression" dxfId="809" priority="1553" stopIfTrue="1">
      <formula>$AO$119&gt;" "</formula>
    </cfRule>
  </conditionalFormatting>
  <conditionalFormatting sqref="AR120:AT121">
    <cfRule type="expression" dxfId="808" priority="1508" stopIfTrue="1">
      <formula>$AR$119&gt;" "</formula>
    </cfRule>
  </conditionalFormatting>
  <conditionalFormatting sqref="AU120:AW121">
    <cfRule type="expression" dxfId="807" priority="1463" stopIfTrue="1">
      <formula>$AU$119&gt;" "</formula>
    </cfRule>
  </conditionalFormatting>
  <conditionalFormatting sqref="AX120:AZ121">
    <cfRule type="expression" dxfId="806" priority="1418" stopIfTrue="1">
      <formula>$AX$119&gt;" "</formula>
    </cfRule>
  </conditionalFormatting>
  <conditionalFormatting sqref="AF123:AH124">
    <cfRule type="expression" dxfId="805" priority="1692" stopIfTrue="1">
      <formula>$AF$122&gt;" "</formula>
    </cfRule>
  </conditionalFormatting>
  <conditionalFormatting sqref="AI124:AK124 AI123">
    <cfRule type="expression" dxfId="804" priority="1642" stopIfTrue="1">
      <formula>$AI$122&gt;" "</formula>
    </cfRule>
  </conditionalFormatting>
  <conditionalFormatting sqref="AL123:AN124">
    <cfRule type="expression" dxfId="803" priority="1595" stopIfTrue="1">
      <formula>$AL$122&gt;" "</formula>
    </cfRule>
  </conditionalFormatting>
  <conditionalFormatting sqref="AO123:AQ124">
    <cfRule type="expression" dxfId="802" priority="1550" stopIfTrue="1">
      <formula>$AO$122&gt;" "</formula>
    </cfRule>
  </conditionalFormatting>
  <conditionalFormatting sqref="AR123:AT124">
    <cfRule type="expression" dxfId="801" priority="1505" stopIfTrue="1">
      <formula>$AR$122&gt;" "</formula>
    </cfRule>
  </conditionalFormatting>
  <conditionalFormatting sqref="AU123:AW124">
    <cfRule type="expression" dxfId="800" priority="1460" stopIfTrue="1">
      <formula>$AU$122&gt;" "</formula>
    </cfRule>
  </conditionalFormatting>
  <conditionalFormatting sqref="AX123:AZ124">
    <cfRule type="expression" dxfId="799" priority="1415" stopIfTrue="1">
      <formula>$AX$122&gt;" "</formula>
    </cfRule>
  </conditionalFormatting>
  <conditionalFormatting sqref="AF126:AH127">
    <cfRule type="expression" dxfId="798" priority="1687" stopIfTrue="1">
      <formula>$AF$125&gt;" "</formula>
    </cfRule>
  </conditionalFormatting>
  <conditionalFormatting sqref="AI126:AK127">
    <cfRule type="expression" dxfId="797" priority="1638" stopIfTrue="1">
      <formula>$AI$125&gt;" "</formula>
    </cfRule>
  </conditionalFormatting>
  <conditionalFormatting sqref="AL126:AN127">
    <cfRule type="expression" dxfId="796" priority="1592" stopIfTrue="1">
      <formula>$AL$125&gt;" "</formula>
    </cfRule>
  </conditionalFormatting>
  <conditionalFormatting sqref="AO126:AQ127">
    <cfRule type="expression" dxfId="795" priority="1547" stopIfTrue="1">
      <formula>$AO$125&gt;" "</formula>
    </cfRule>
  </conditionalFormatting>
  <conditionalFormatting sqref="AR126:AT127">
    <cfRule type="expression" dxfId="794" priority="1502" stopIfTrue="1">
      <formula>$AR$125&gt;" "</formula>
    </cfRule>
  </conditionalFormatting>
  <conditionalFormatting sqref="AU126:AW127">
    <cfRule type="expression" dxfId="793" priority="1457" stopIfTrue="1">
      <formula>$AU$125&gt;" "</formula>
    </cfRule>
  </conditionalFormatting>
  <conditionalFormatting sqref="AX126:AZ127">
    <cfRule type="expression" dxfId="792" priority="1412" stopIfTrue="1">
      <formula>$AX$125&gt;" "</formula>
    </cfRule>
  </conditionalFormatting>
  <conditionalFormatting sqref="AG129:AH130 AF129">
    <cfRule type="expression" dxfId="791" priority="1683" stopIfTrue="1">
      <formula>$AF$128&gt;" "</formula>
    </cfRule>
  </conditionalFormatting>
  <conditionalFormatting sqref="AI129:AK130">
    <cfRule type="expression" dxfId="790" priority="1635" stopIfTrue="1">
      <formula>$AI$128&gt;" "</formula>
    </cfRule>
  </conditionalFormatting>
  <conditionalFormatting sqref="AL129:AN130">
    <cfRule type="expression" dxfId="789" priority="1589" stopIfTrue="1">
      <formula>$AL$128&gt;" "</formula>
    </cfRule>
  </conditionalFormatting>
  <conditionalFormatting sqref="AO129:AQ130">
    <cfRule type="expression" dxfId="788" priority="1544" stopIfTrue="1">
      <formula>$AO$128&gt;" "</formula>
    </cfRule>
  </conditionalFormatting>
  <conditionalFormatting sqref="AR129:AT130">
    <cfRule type="expression" dxfId="787" priority="1499" stopIfTrue="1">
      <formula>$AR$128&gt;" "</formula>
    </cfRule>
  </conditionalFormatting>
  <conditionalFormatting sqref="AU129:AW130">
    <cfRule type="expression" dxfId="786" priority="1454" stopIfTrue="1">
      <formula>$AU$128&gt;" "</formula>
    </cfRule>
  </conditionalFormatting>
  <conditionalFormatting sqref="AX129:AZ130">
    <cfRule type="expression" dxfId="785" priority="1409" stopIfTrue="1">
      <formula>$AX$128&gt;" "</formula>
    </cfRule>
  </conditionalFormatting>
  <conditionalFormatting sqref="AF132:AH133">
    <cfRule type="expression" dxfId="784" priority="1680" stopIfTrue="1">
      <formula>$AF$131&gt;" "</formula>
    </cfRule>
  </conditionalFormatting>
  <conditionalFormatting sqref="AI132:AK133">
    <cfRule type="expression" dxfId="783" priority="1631" stopIfTrue="1">
      <formula>$AI$131&gt;" "</formula>
    </cfRule>
  </conditionalFormatting>
  <conditionalFormatting sqref="AL132:AN133">
    <cfRule type="expression" dxfId="782" priority="1586" stopIfTrue="1">
      <formula>$AL$131&gt;" "</formula>
    </cfRule>
  </conditionalFormatting>
  <conditionalFormatting sqref="AO132:AQ133">
    <cfRule type="expression" dxfId="781" priority="1541" stopIfTrue="1">
      <formula>$AO$131&gt;" "</formula>
    </cfRule>
  </conditionalFormatting>
  <conditionalFormatting sqref="AU132:AW133">
    <cfRule type="expression" dxfId="780" priority="1451" stopIfTrue="1">
      <formula>$AU$131&gt;" "</formula>
    </cfRule>
  </conditionalFormatting>
  <conditionalFormatting sqref="AX132:AZ133">
    <cfRule type="expression" dxfId="779" priority="1406" stopIfTrue="1">
      <formula>$AX$131&gt;" "</formula>
    </cfRule>
  </conditionalFormatting>
  <conditionalFormatting sqref="AF135:AH136">
    <cfRule type="expression" dxfId="778" priority="1677" stopIfTrue="1">
      <formula>$AF$134&gt;" "</formula>
    </cfRule>
  </conditionalFormatting>
  <conditionalFormatting sqref="AI135:AK136">
    <cfRule type="expression" dxfId="777" priority="1628" stopIfTrue="1">
      <formula>$AI$134&gt;" "</formula>
    </cfRule>
  </conditionalFormatting>
  <conditionalFormatting sqref="AL135:AN136">
    <cfRule type="expression" dxfId="776" priority="1583" stopIfTrue="1">
      <formula>$AL$134&gt;" "</formula>
    </cfRule>
  </conditionalFormatting>
  <conditionalFormatting sqref="AO135:AQ136">
    <cfRule type="expression" dxfId="775" priority="1538" stopIfTrue="1">
      <formula>$AO$134&gt;" "</formula>
    </cfRule>
  </conditionalFormatting>
  <conditionalFormatting sqref="AR135:AT136">
    <cfRule type="expression" dxfId="774" priority="1493" stopIfTrue="1">
      <formula>$AR$134&gt;" "</formula>
    </cfRule>
  </conditionalFormatting>
  <conditionalFormatting sqref="AU135:AW136">
    <cfRule type="expression" dxfId="773" priority="1448" stopIfTrue="1">
      <formula>$AU$134&gt;" "</formula>
    </cfRule>
  </conditionalFormatting>
  <conditionalFormatting sqref="AX135:AZ136">
    <cfRule type="expression" dxfId="772" priority="1403" stopIfTrue="1">
      <formula>$AX$134&gt;" "</formula>
    </cfRule>
  </conditionalFormatting>
  <conditionalFormatting sqref="AF138:AH139">
    <cfRule type="expression" dxfId="771" priority="1674" stopIfTrue="1">
      <formula>$AF$137&gt;" "</formula>
    </cfRule>
  </conditionalFormatting>
  <conditionalFormatting sqref="AI138:AK139">
    <cfRule type="expression" dxfId="770" priority="1625" stopIfTrue="1">
      <formula>$AI$137&gt;" "</formula>
    </cfRule>
  </conditionalFormatting>
  <conditionalFormatting sqref="AL138:AN139">
    <cfRule type="expression" dxfId="769" priority="1580" stopIfTrue="1">
      <formula>$AL$137&gt;" "</formula>
    </cfRule>
  </conditionalFormatting>
  <conditionalFormatting sqref="AO138:AQ139">
    <cfRule type="expression" dxfId="768" priority="1535" stopIfTrue="1">
      <formula>$AO$137&gt;" "</formula>
    </cfRule>
  </conditionalFormatting>
  <conditionalFormatting sqref="AR138:AT139">
    <cfRule type="expression" dxfId="767" priority="1490" stopIfTrue="1">
      <formula>$AR$137&gt;" "</formula>
    </cfRule>
  </conditionalFormatting>
  <conditionalFormatting sqref="AU138:AW139">
    <cfRule type="expression" dxfId="766" priority="1445" stopIfTrue="1">
      <formula>$AU$137&gt;" "</formula>
    </cfRule>
  </conditionalFormatting>
  <conditionalFormatting sqref="AX138:AZ139">
    <cfRule type="expression" dxfId="765" priority="1400" stopIfTrue="1">
      <formula>$AX$137&gt;" "</formula>
    </cfRule>
  </conditionalFormatting>
  <conditionalFormatting sqref="AF141:AH142">
    <cfRule type="expression" dxfId="764" priority="1671" stopIfTrue="1">
      <formula>$AF$140&gt;" "</formula>
    </cfRule>
  </conditionalFormatting>
  <conditionalFormatting sqref="AI141:AK142">
    <cfRule type="expression" dxfId="763" priority="1622" stopIfTrue="1">
      <formula>$AI$140&gt;" "</formula>
    </cfRule>
  </conditionalFormatting>
  <conditionalFormatting sqref="AL141:AN142">
    <cfRule type="expression" dxfId="762" priority="1577" stopIfTrue="1">
      <formula>$AL$140&gt;" "</formula>
    </cfRule>
  </conditionalFormatting>
  <conditionalFormatting sqref="AO141:AQ142">
    <cfRule type="expression" dxfId="761" priority="1532" stopIfTrue="1">
      <formula>$AO$140&gt;" "</formula>
    </cfRule>
  </conditionalFormatting>
  <conditionalFormatting sqref="AR141:AT142">
    <cfRule type="expression" dxfId="760" priority="1487" stopIfTrue="1">
      <formula>$AR$140&gt;" "</formula>
    </cfRule>
  </conditionalFormatting>
  <conditionalFormatting sqref="AU141:AW142">
    <cfRule type="expression" dxfId="759" priority="1442" stopIfTrue="1">
      <formula>$AU$140&gt;" "</formula>
    </cfRule>
  </conditionalFormatting>
  <conditionalFormatting sqref="AX141:AZ142">
    <cfRule type="expression" dxfId="758" priority="1397" stopIfTrue="1">
      <formula>$AX$140&gt;" "</formula>
    </cfRule>
  </conditionalFormatting>
  <conditionalFormatting sqref="AF144:AH145">
    <cfRule type="expression" dxfId="757" priority="1668" stopIfTrue="1">
      <formula>$AF$143&gt;" "</formula>
    </cfRule>
  </conditionalFormatting>
  <conditionalFormatting sqref="AI144:AK145">
    <cfRule type="expression" dxfId="756" priority="1619" stopIfTrue="1">
      <formula>$AI$143&gt;" "</formula>
    </cfRule>
  </conditionalFormatting>
  <conditionalFormatting sqref="AL144:AN145">
    <cfRule type="expression" dxfId="755" priority="1574" stopIfTrue="1">
      <formula>$AL$143&gt;" "</formula>
    </cfRule>
  </conditionalFormatting>
  <conditionalFormatting sqref="AO144:AQ145">
    <cfRule type="expression" dxfId="754" priority="1529" stopIfTrue="1">
      <formula>$AO$143&gt;" "</formula>
    </cfRule>
  </conditionalFormatting>
  <conditionalFormatting sqref="AR144:AT145">
    <cfRule type="expression" dxfId="753" priority="1484" stopIfTrue="1">
      <formula>$AR$143&gt;" "</formula>
    </cfRule>
  </conditionalFormatting>
  <conditionalFormatting sqref="AX144:AZ145">
    <cfRule type="expression" dxfId="752" priority="1394" stopIfTrue="1">
      <formula>$AX$143&gt;" "</formula>
    </cfRule>
  </conditionalFormatting>
  <conditionalFormatting sqref="AF147:AH148">
    <cfRule type="expression" dxfId="751" priority="1665" stopIfTrue="1">
      <formula>$AF$146&gt;" "</formula>
    </cfRule>
  </conditionalFormatting>
  <conditionalFormatting sqref="AI147:AK148">
    <cfRule type="expression" dxfId="750" priority="1616" stopIfTrue="1">
      <formula>$AI$146&gt;" "</formula>
    </cfRule>
  </conditionalFormatting>
  <conditionalFormatting sqref="AL147:AN148">
    <cfRule type="expression" dxfId="749" priority="1571" stopIfTrue="1">
      <formula>$AL$146&gt;" "</formula>
    </cfRule>
  </conditionalFormatting>
  <conditionalFormatting sqref="AO147:AQ148">
    <cfRule type="expression" dxfId="748" priority="1526" stopIfTrue="1">
      <formula>$AO$146&gt;" "</formula>
    </cfRule>
  </conditionalFormatting>
  <conditionalFormatting sqref="AR147:AT148">
    <cfRule type="expression" dxfId="747" priority="1481" stopIfTrue="1">
      <formula>$AR$146&gt;" "</formula>
    </cfRule>
  </conditionalFormatting>
  <conditionalFormatting sqref="AU147:AW148">
    <cfRule type="expression" dxfId="746" priority="1436" stopIfTrue="1">
      <formula>$AU$146&gt;" "</formula>
    </cfRule>
  </conditionalFormatting>
  <conditionalFormatting sqref="AX147:AZ148">
    <cfRule type="expression" dxfId="745" priority="1391" stopIfTrue="1">
      <formula>$AX$146&gt;" "</formula>
    </cfRule>
  </conditionalFormatting>
  <conditionalFormatting sqref="AF150:AH151">
    <cfRule type="expression" dxfId="744" priority="1662" stopIfTrue="1">
      <formula>$AF$149&gt;" "</formula>
    </cfRule>
  </conditionalFormatting>
  <conditionalFormatting sqref="AI150:AK151">
    <cfRule type="expression" dxfId="743" priority="1613" stopIfTrue="1">
      <formula>$AI$149&gt;" "</formula>
    </cfRule>
  </conditionalFormatting>
  <conditionalFormatting sqref="AL150:AN151">
    <cfRule type="expression" dxfId="742" priority="1568" stopIfTrue="1">
      <formula>$AL$149&gt;" "</formula>
    </cfRule>
  </conditionalFormatting>
  <conditionalFormatting sqref="AO150:AQ151">
    <cfRule type="expression" dxfId="741" priority="1523" stopIfTrue="1">
      <formula>$AO$149&gt;" "</formula>
    </cfRule>
  </conditionalFormatting>
  <conditionalFormatting sqref="AR150:AT151">
    <cfRule type="expression" dxfId="740" priority="1478" stopIfTrue="1">
      <formula>$AR$149&gt;" "</formula>
    </cfRule>
  </conditionalFormatting>
  <conditionalFormatting sqref="AU150:AW151">
    <cfRule type="expression" dxfId="739" priority="1433" stopIfTrue="1">
      <formula>$AU$149&gt;" "</formula>
    </cfRule>
  </conditionalFormatting>
  <conditionalFormatting sqref="AX150:AZ151">
    <cfRule type="expression" dxfId="738" priority="1388" stopIfTrue="1">
      <formula>$AX$149&gt;" "</formula>
    </cfRule>
  </conditionalFormatting>
  <conditionalFormatting sqref="AU144:AW145">
    <cfRule type="expression" dxfId="737" priority="1439" stopIfTrue="1">
      <formula>$AU$143&gt;" "</formula>
    </cfRule>
  </conditionalFormatting>
  <conditionalFormatting sqref="AF153:AH154">
    <cfRule type="expression" dxfId="736" priority="1659" stopIfTrue="1">
      <formula>$AF$152&gt;" "</formula>
    </cfRule>
  </conditionalFormatting>
  <conditionalFormatting sqref="AI153:AK154">
    <cfRule type="expression" dxfId="735" priority="1610" stopIfTrue="1">
      <formula>$AI$152&gt;" "</formula>
    </cfRule>
  </conditionalFormatting>
  <conditionalFormatting sqref="AL153:AN154">
    <cfRule type="expression" dxfId="734" priority="1565" stopIfTrue="1">
      <formula>$AL$152&gt;" "</formula>
    </cfRule>
  </conditionalFormatting>
  <conditionalFormatting sqref="AO153:AQ154">
    <cfRule type="expression" dxfId="733" priority="1520" stopIfTrue="1">
      <formula>$AO$152&gt;" "</formula>
    </cfRule>
  </conditionalFormatting>
  <conditionalFormatting sqref="AR153:AT154">
    <cfRule type="expression" dxfId="732" priority="1475" stopIfTrue="1">
      <formula>$AR$152&gt;" "</formula>
    </cfRule>
  </conditionalFormatting>
  <conditionalFormatting sqref="AU153:AW154">
    <cfRule type="expression" dxfId="731" priority="1430" stopIfTrue="1">
      <formula>$AU$152&gt;" "</formula>
    </cfRule>
  </conditionalFormatting>
  <conditionalFormatting sqref="AX153:AZ154">
    <cfRule type="expression" dxfId="730" priority="1385" stopIfTrue="1">
      <formula>$AX$152&gt;" "</formula>
    </cfRule>
  </conditionalFormatting>
  <conditionalFormatting sqref="AR132:AT133">
    <cfRule type="expression" dxfId="729" priority="1496" stopIfTrue="1">
      <formula>$AR$131&gt;" "</formula>
    </cfRule>
  </conditionalFormatting>
  <conditionalFormatting sqref="AF157:AH157 AG156:AH156">
    <cfRule type="expression" dxfId="728" priority="1654" stopIfTrue="1">
      <formula>$AF$155&gt;" "</formula>
    </cfRule>
  </conditionalFormatting>
  <conditionalFormatting sqref="AI156:AK157">
    <cfRule type="expression" dxfId="727" priority="1607" stopIfTrue="1">
      <formula>$AI$155&gt;" "</formula>
    </cfRule>
  </conditionalFormatting>
  <conditionalFormatting sqref="AL156:AN157">
    <cfRule type="expression" dxfId="726" priority="1562" stopIfTrue="1">
      <formula>$AL$155&gt;" "</formula>
    </cfRule>
  </conditionalFormatting>
  <conditionalFormatting sqref="AO156:AQ157">
    <cfRule type="expression" dxfId="725" priority="1517" stopIfTrue="1">
      <formula>$AO$155&gt;" "</formula>
    </cfRule>
  </conditionalFormatting>
  <conditionalFormatting sqref="AR156:AT157">
    <cfRule type="expression" dxfId="724" priority="1472" stopIfTrue="1">
      <formula>$AR$155&gt;" "</formula>
    </cfRule>
  </conditionalFormatting>
  <conditionalFormatting sqref="AU156:AW157">
    <cfRule type="expression" dxfId="723" priority="1427" stopIfTrue="1">
      <formula>$AU$155&gt;" "</formula>
    </cfRule>
  </conditionalFormatting>
  <conditionalFormatting sqref="AX156:AZ157">
    <cfRule type="expression" dxfId="722" priority="1382" stopIfTrue="1">
      <formula>$AX$155&gt;" "</formula>
    </cfRule>
  </conditionalFormatting>
  <conditionalFormatting sqref="AF130">
    <cfRule type="expression" dxfId="721" priority="1828" stopIfTrue="1">
      <formula>$AF$128&gt;" "</formula>
    </cfRule>
  </conditionalFormatting>
  <conditionalFormatting sqref="AF159:AH160">
    <cfRule type="expression" dxfId="720" priority="1651" stopIfTrue="1">
      <formula>$AF$158&gt;" "</formula>
    </cfRule>
  </conditionalFormatting>
  <conditionalFormatting sqref="AI159:AK160">
    <cfRule type="expression" dxfId="719" priority="1604" stopIfTrue="1">
      <formula>$AI$158&gt;" "</formula>
    </cfRule>
  </conditionalFormatting>
  <conditionalFormatting sqref="AL159:AN160">
    <cfRule type="expression" dxfId="718" priority="1559" stopIfTrue="1">
      <formula>$AL$158&gt;" "</formula>
    </cfRule>
  </conditionalFormatting>
  <conditionalFormatting sqref="AO159:AQ160">
    <cfRule type="expression" dxfId="717" priority="1514" stopIfTrue="1">
      <formula>$AO$158&gt;" "</formula>
    </cfRule>
  </conditionalFormatting>
  <conditionalFormatting sqref="AR159:AT160">
    <cfRule type="expression" dxfId="716" priority="1469" stopIfTrue="1">
      <formula>$AR$158&gt;" "</formula>
    </cfRule>
  </conditionalFormatting>
  <conditionalFormatting sqref="AU159:AW160">
    <cfRule type="expression" dxfId="715" priority="1424" stopIfTrue="1">
      <formula>$AU$158&gt;" "</formula>
    </cfRule>
  </conditionalFormatting>
  <conditionalFormatting sqref="AX159:AZ160">
    <cfRule type="expression" dxfId="714" priority="1379" stopIfTrue="1">
      <formula>$AX$158&gt;" "</formula>
    </cfRule>
  </conditionalFormatting>
  <conditionalFormatting sqref="AH116 AK116 AN116 AQ116 AT116 AW116 AZ116 AH119 AK119 AN119 AQ119 AT119 AW119 AZ119 AH122 AK122 AN122 AQ122 AT122 AW122 AZ122 AH125 AK125 AN125 AQ125 AT125 AW125 AZ125 AH128 AK128 AN128 AQ128 AT128 AW128 AZ128 AH131 AK131 AN131 AQ131 AT131 AW131 AZ131 AH134 AK134 AN134 AQ134 AT134 AW134 AZ134 AZ137 AW137 AT137 AQ137 AN137 AK137 AH137 AH140 AK140 AN140 AQ140 AT140 AW140 AZ140 AZ143 AW143 AT143 AQ143 AN143 AK143 AH143 AH146 AK146 AN146 AQ146 AT146 AW146 AZ146 AZ149 AW149 AT149 AQ149 AN149 AK149 AH149 AH152 AK152 AN152 AQ152 AT152 AW152 AZ152 AZ155 AW155 AT155 AQ155 AN155 AK155 AH155 AH158 AK158 AN158 AQ158 AT158 AW158 AZ158">
    <cfRule type="cellIs" dxfId="713" priority="1686" stopIfTrue="1" operator="equal">
      <formula>26</formula>
    </cfRule>
  </conditionalFormatting>
  <conditionalFormatting sqref="AF162:AH163">
    <cfRule type="expression" dxfId="712" priority="1251" stopIfTrue="1">
      <formula>$AF$161&gt;" "</formula>
    </cfRule>
  </conditionalFormatting>
  <conditionalFormatting sqref="AO162:AQ163">
    <cfRule type="expression" dxfId="711" priority="1232" stopIfTrue="1">
      <formula>$AO$161&gt;" "</formula>
    </cfRule>
  </conditionalFormatting>
  <conditionalFormatting sqref="AR162:AT163">
    <cfRule type="expression" dxfId="710" priority="1228" stopIfTrue="1">
      <formula>$AR$161&gt;" "</formula>
    </cfRule>
  </conditionalFormatting>
  <conditionalFormatting sqref="AU162:AW163">
    <cfRule type="expression" dxfId="709" priority="1224" stopIfTrue="1">
      <formula>$AU$161&gt;" "</formula>
    </cfRule>
  </conditionalFormatting>
  <conditionalFormatting sqref="AX162:AZ163">
    <cfRule type="expression" dxfId="708" priority="1216" stopIfTrue="1">
      <formula>$AX$161&gt;" "</formula>
    </cfRule>
  </conditionalFormatting>
  <conditionalFormatting sqref="AH161 AQ161 AT161 AW161 AZ161">
    <cfRule type="cellIs" dxfId="707" priority="1699" stopIfTrue="1" operator="equal">
      <formula>26</formula>
    </cfRule>
  </conditionalFormatting>
  <conditionalFormatting sqref="AF117:AH118">
    <cfRule type="expression" dxfId="706" priority="1202" stopIfTrue="1">
      <formula>$AF$116&gt;" "</formula>
    </cfRule>
  </conditionalFormatting>
  <conditionalFormatting sqref="AG123">
    <cfRule type="expression" dxfId="705" priority="1693" stopIfTrue="1">
      <formula>$AG$122=5</formula>
    </cfRule>
    <cfRule type="expression" dxfId="704" priority="1694" stopIfTrue="1">
      <formula>$AG$122=1</formula>
    </cfRule>
    <cfRule type="expression" dxfId="703" priority="1744" stopIfTrue="1">
      <formula>$AG$122=4</formula>
    </cfRule>
  </conditionalFormatting>
  <conditionalFormatting sqref="AG120">
    <cfRule type="expression" dxfId="702" priority="1690" stopIfTrue="1">
      <formula>$AG$119=5</formula>
    </cfRule>
    <cfRule type="expression" dxfId="701" priority="1691" stopIfTrue="1">
      <formula>$AG$119=1</formula>
    </cfRule>
    <cfRule type="expression" dxfId="700" priority="1737" stopIfTrue="1">
      <formula>$AG$119=4</formula>
    </cfRule>
  </conditionalFormatting>
  <conditionalFormatting sqref="AG126">
    <cfRule type="expression" dxfId="699" priority="1688" stopIfTrue="1">
      <formula>$AG$125=5</formula>
    </cfRule>
    <cfRule type="expression" dxfId="698" priority="1715" stopIfTrue="1">
      <formula>$AG$125=1</formula>
    </cfRule>
    <cfRule type="expression" dxfId="697" priority="1751" stopIfTrue="1">
      <formula>$AG$125=4</formula>
    </cfRule>
  </conditionalFormatting>
  <conditionalFormatting sqref="AG129">
    <cfRule type="expression" dxfId="696" priority="1684" stopIfTrue="1">
      <formula>$AG$128=5</formula>
    </cfRule>
    <cfRule type="expression" dxfId="695" priority="1685" stopIfTrue="1">
      <formula>$AG$128=1</formula>
    </cfRule>
    <cfRule type="expression" dxfId="694" priority="1758" stopIfTrue="1">
      <formula>$AG$128=4</formula>
    </cfRule>
  </conditionalFormatting>
  <conditionalFormatting sqref="AG132">
    <cfRule type="expression" dxfId="693" priority="1681" stopIfTrue="1">
      <formula>$AG$131=5</formula>
    </cfRule>
    <cfRule type="expression" dxfId="692" priority="1682" stopIfTrue="1">
      <formula>$AG$131=1</formula>
    </cfRule>
    <cfRule type="expression" dxfId="691" priority="1765" stopIfTrue="1">
      <formula>$AG$131=4</formula>
    </cfRule>
  </conditionalFormatting>
  <conditionalFormatting sqref="AG135">
    <cfRule type="expression" dxfId="690" priority="1678" stopIfTrue="1">
      <formula>$AG$134=5</formula>
    </cfRule>
    <cfRule type="expression" dxfId="689" priority="1679" stopIfTrue="1">
      <formula>$AG$134=1</formula>
    </cfRule>
    <cfRule type="expression" dxfId="688" priority="1771" stopIfTrue="1">
      <formula>$AG$134=4</formula>
    </cfRule>
  </conditionalFormatting>
  <conditionalFormatting sqref="AG138">
    <cfRule type="expression" dxfId="687" priority="1675" stopIfTrue="1">
      <formula>$AG$137=5</formula>
    </cfRule>
    <cfRule type="expression" dxfId="686" priority="1676" stopIfTrue="1">
      <formula>$AG$137=1</formula>
    </cfRule>
    <cfRule type="expression" dxfId="685" priority="1778" stopIfTrue="1">
      <formula>$AG$137=4</formula>
    </cfRule>
  </conditionalFormatting>
  <conditionalFormatting sqref="AG141">
    <cfRule type="expression" dxfId="684" priority="1672" stopIfTrue="1">
      <formula>$AG$140=5</formula>
    </cfRule>
    <cfRule type="expression" dxfId="683" priority="1673" stopIfTrue="1">
      <formula>$AG$140=1</formula>
    </cfRule>
    <cfRule type="expression" dxfId="682" priority="1785" stopIfTrue="1">
      <formula>$AG$140=4</formula>
    </cfRule>
  </conditionalFormatting>
  <conditionalFormatting sqref="AG144">
    <cfRule type="expression" dxfId="681" priority="1669" stopIfTrue="1">
      <formula>$AG$143=5</formula>
    </cfRule>
    <cfRule type="expression" dxfId="680" priority="1670" stopIfTrue="1">
      <formula>$AG$143=1</formula>
    </cfRule>
    <cfRule type="expression" dxfId="679" priority="1792" stopIfTrue="1">
      <formula>$AG$143=4</formula>
    </cfRule>
  </conditionalFormatting>
  <conditionalFormatting sqref="AG147">
    <cfRule type="expression" dxfId="678" priority="1666" stopIfTrue="1">
      <formula>$AG$146=5</formula>
    </cfRule>
    <cfRule type="expression" dxfId="677" priority="1667" stopIfTrue="1">
      <formula>$AG$146=1</formula>
    </cfRule>
    <cfRule type="expression" dxfId="676" priority="1798" stopIfTrue="1">
      <formula>$AG$146=4</formula>
    </cfRule>
  </conditionalFormatting>
  <conditionalFormatting sqref="AG150">
    <cfRule type="expression" dxfId="675" priority="1663" stopIfTrue="1">
      <formula>$AG$149=5</formula>
    </cfRule>
    <cfRule type="expression" dxfId="674" priority="1664" stopIfTrue="1">
      <formula>$AG$149=1</formula>
    </cfRule>
    <cfRule type="expression" dxfId="673" priority="1805" stopIfTrue="1">
      <formula>$AG$149=4</formula>
    </cfRule>
  </conditionalFormatting>
  <conditionalFormatting sqref="AG153">
    <cfRule type="expression" dxfId="672" priority="1660" stopIfTrue="1">
      <formula>$AG$152=5</formula>
    </cfRule>
    <cfRule type="expression" dxfId="671" priority="1661" stopIfTrue="1">
      <formula>$AG$152=1</formula>
    </cfRule>
    <cfRule type="expression" dxfId="670" priority="1813" stopIfTrue="1">
      <formula>$AG$152=4</formula>
    </cfRule>
  </conditionalFormatting>
  <conditionalFormatting sqref="AG156">
    <cfRule type="expression" dxfId="669" priority="1656" stopIfTrue="1">
      <formula>$AG$155=5</formula>
    </cfRule>
    <cfRule type="expression" dxfId="668" priority="1657" stopIfTrue="1">
      <formula>$AG$155=1</formula>
    </cfRule>
    <cfRule type="expression" dxfId="667" priority="1658" stopIfTrue="1">
      <formula>$AG$155=4</formula>
    </cfRule>
  </conditionalFormatting>
  <conditionalFormatting sqref="AG159">
    <cfRule type="expression" dxfId="666" priority="1652" stopIfTrue="1">
      <formula>$AG$158=5</formula>
    </cfRule>
    <cfRule type="expression" dxfId="665" priority="1653" stopIfTrue="1">
      <formula>$AG$158=1</formula>
    </cfRule>
    <cfRule type="expression" dxfId="664" priority="1716" stopIfTrue="1">
      <formula>$AG$158=4</formula>
    </cfRule>
  </conditionalFormatting>
  <conditionalFormatting sqref="AJ117">
    <cfRule type="expression" dxfId="663" priority="1649" stopIfTrue="1">
      <formula>$AJ$116=5</formula>
    </cfRule>
    <cfRule type="expression" dxfId="662" priority="1650" stopIfTrue="1">
      <formula>$AJ$116=1</formula>
    </cfRule>
    <cfRule type="expression" dxfId="661" priority="1731" stopIfTrue="1">
      <formula>$AJ$116=4</formula>
    </cfRule>
  </conditionalFormatting>
  <conditionalFormatting sqref="AJ120">
    <cfRule type="expression" dxfId="660" priority="1646" stopIfTrue="1">
      <formula>$AJ$119=5</formula>
    </cfRule>
    <cfRule type="expression" dxfId="659" priority="1647" stopIfTrue="1">
      <formula>$AJ$119=1</formula>
    </cfRule>
    <cfRule type="expression" dxfId="658" priority="1738" stopIfTrue="1">
      <formula>$AJ$119=4</formula>
    </cfRule>
  </conditionalFormatting>
  <conditionalFormatting sqref="AJ126">
    <cfRule type="expression" dxfId="657" priority="1640" stopIfTrue="1">
      <formula>$AJ$125=5</formula>
    </cfRule>
    <cfRule type="expression" dxfId="656" priority="1641" stopIfTrue="1">
      <formula>$AJ$125=1</formula>
    </cfRule>
    <cfRule type="expression" dxfId="655" priority="1752" stopIfTrue="1">
      <formula>$AJ$125=4</formula>
    </cfRule>
  </conditionalFormatting>
  <conditionalFormatting sqref="AJ129">
    <cfRule type="expression" dxfId="654" priority="1636" stopIfTrue="1">
      <formula>$AJ$128=5</formula>
    </cfRule>
    <cfRule type="expression" dxfId="653" priority="1637" stopIfTrue="1">
      <formula>$AJ$128=1</formula>
    </cfRule>
    <cfRule type="expression" dxfId="652" priority="1759" stopIfTrue="1">
      <formula>$AJ$128=4</formula>
    </cfRule>
    <cfRule type="colorScale" priority="1634">
      <colorScale>
        <cfvo type="min"/>
        <cfvo type="max"/>
        <color rgb="FFFF7128"/>
        <color rgb="FFFFEF9C"/>
      </colorScale>
    </cfRule>
  </conditionalFormatting>
  <conditionalFormatting sqref="AJ132">
    <cfRule type="expression" dxfId="651" priority="1632" stopIfTrue="1">
      <formula>$AJ$131=5</formula>
    </cfRule>
    <cfRule type="expression" dxfId="650" priority="1633" stopIfTrue="1">
      <formula>$AJ$131=1</formula>
    </cfRule>
    <cfRule type="expression" dxfId="649" priority="1766" stopIfTrue="1">
      <formula>$AJ$131=4</formula>
    </cfRule>
  </conditionalFormatting>
  <conditionalFormatting sqref="AJ135">
    <cfRule type="expression" dxfId="648" priority="1629" stopIfTrue="1">
      <formula>$AJ$134=5</formula>
    </cfRule>
    <cfRule type="expression" dxfId="647" priority="1630" stopIfTrue="1">
      <formula>$AJ$134=1</formula>
    </cfRule>
    <cfRule type="expression" dxfId="646" priority="1772" stopIfTrue="1">
      <formula>$AJ$134=4</formula>
    </cfRule>
  </conditionalFormatting>
  <conditionalFormatting sqref="AJ138">
    <cfRule type="expression" dxfId="645" priority="1626" stopIfTrue="1">
      <formula>$AJ$137=5</formula>
    </cfRule>
    <cfRule type="expression" dxfId="644" priority="1627" stopIfTrue="1">
      <formula>$AJ$137=1</formula>
    </cfRule>
    <cfRule type="expression" dxfId="643" priority="1779" stopIfTrue="1">
      <formula>$AJ$137=4</formula>
    </cfRule>
  </conditionalFormatting>
  <conditionalFormatting sqref="AJ141">
    <cfRule type="expression" dxfId="642" priority="1623" stopIfTrue="1">
      <formula>$AJ$140=5</formula>
    </cfRule>
    <cfRule type="expression" dxfId="641" priority="1624" stopIfTrue="1">
      <formula>$AJ$140=1</formula>
    </cfRule>
    <cfRule type="expression" dxfId="640" priority="1786" stopIfTrue="1">
      <formula>$AJ$140=4</formula>
    </cfRule>
  </conditionalFormatting>
  <conditionalFormatting sqref="AJ144">
    <cfRule type="expression" dxfId="639" priority="1620" stopIfTrue="1">
      <formula>$AJ$143=5</formula>
    </cfRule>
    <cfRule type="expression" dxfId="638" priority="1621" stopIfTrue="1">
      <formula>$AJ$143=1</formula>
    </cfRule>
    <cfRule type="expression" dxfId="637" priority="1793" stopIfTrue="1">
      <formula>$AJ$143=4</formula>
    </cfRule>
  </conditionalFormatting>
  <conditionalFormatting sqref="AJ147">
    <cfRule type="expression" dxfId="636" priority="1617" stopIfTrue="1">
      <formula>$AJ$146=5</formula>
    </cfRule>
    <cfRule type="expression" dxfId="635" priority="1618" stopIfTrue="1">
      <formula>$AJ$146=1</formula>
    </cfRule>
    <cfRule type="expression" dxfId="634" priority="1799" stopIfTrue="1">
      <formula>$AJ$146=4</formula>
    </cfRule>
  </conditionalFormatting>
  <conditionalFormatting sqref="AJ150">
    <cfRule type="expression" dxfId="633" priority="1614" stopIfTrue="1">
      <formula>$AJ$149=5</formula>
    </cfRule>
    <cfRule type="expression" dxfId="632" priority="1615" stopIfTrue="1">
      <formula>$AJ$149=1</formula>
    </cfRule>
    <cfRule type="expression" dxfId="631" priority="1806" stopIfTrue="1">
      <formula>$AJ$149=4</formula>
    </cfRule>
  </conditionalFormatting>
  <conditionalFormatting sqref="AJ153">
    <cfRule type="expression" dxfId="630" priority="1611" stopIfTrue="1">
      <formula>$AJ$152=5</formula>
    </cfRule>
    <cfRule type="expression" dxfId="629" priority="1612" stopIfTrue="1">
      <formula>$AJ$152=1</formula>
    </cfRule>
    <cfRule type="expression" dxfId="628" priority="1814" stopIfTrue="1">
      <formula>$AJ$152=4</formula>
    </cfRule>
  </conditionalFormatting>
  <conditionalFormatting sqref="AJ156">
    <cfRule type="expression" dxfId="627" priority="1608" stopIfTrue="1">
      <formula>$AJ$155=5</formula>
    </cfRule>
    <cfRule type="expression" dxfId="626" priority="1609" stopIfTrue="1">
      <formula>$AJ$155=1</formula>
    </cfRule>
    <cfRule type="expression" dxfId="625" priority="1822" stopIfTrue="1">
      <formula>$AJ$155=4</formula>
    </cfRule>
  </conditionalFormatting>
  <conditionalFormatting sqref="AJ159">
    <cfRule type="expression" dxfId="624" priority="1605" stopIfTrue="1">
      <formula>$AJ$158=5</formula>
    </cfRule>
    <cfRule type="expression" dxfId="623" priority="1606" stopIfTrue="1">
      <formula>$AJ$158=1</formula>
    </cfRule>
    <cfRule type="expression" dxfId="622" priority="1717" stopIfTrue="1">
      <formula>$AJ$158=4</formula>
    </cfRule>
  </conditionalFormatting>
  <conditionalFormatting sqref="AM117">
    <cfRule type="expression" dxfId="621" priority="1602" stopIfTrue="1">
      <formula>$AM$116=5</formula>
    </cfRule>
    <cfRule type="expression" dxfId="620" priority="1603" stopIfTrue="1">
      <formula>$AM$116=1</formula>
    </cfRule>
    <cfRule type="expression" dxfId="619" priority="1732" stopIfTrue="1">
      <formula>$AM$116=4</formula>
    </cfRule>
  </conditionalFormatting>
  <conditionalFormatting sqref="AM120">
    <cfRule type="expression" dxfId="618" priority="1599" stopIfTrue="1">
      <formula>$AM$119=5</formula>
    </cfRule>
    <cfRule type="expression" dxfId="617" priority="1600" stopIfTrue="1">
      <formula>$AM$119=1</formula>
    </cfRule>
    <cfRule type="expression" dxfId="616" priority="1739" stopIfTrue="1">
      <formula>$AM$119=4</formula>
    </cfRule>
  </conditionalFormatting>
  <conditionalFormatting sqref="AM123">
    <cfRule type="expression" dxfId="615" priority="1596" stopIfTrue="1">
      <formula>$AM$122=5</formula>
    </cfRule>
    <cfRule type="expression" dxfId="614" priority="1597" stopIfTrue="1">
      <formula>$AM$122=1</formula>
    </cfRule>
    <cfRule type="expression" dxfId="613" priority="1746" stopIfTrue="1">
      <formula>$AM$122=4</formula>
    </cfRule>
  </conditionalFormatting>
  <conditionalFormatting sqref="AM126">
    <cfRule type="expression" dxfId="612" priority="1593" stopIfTrue="1">
      <formula>$AM$125=5</formula>
    </cfRule>
    <cfRule type="expression" dxfId="611" priority="1594" stopIfTrue="1">
      <formula>$AM$125=1</formula>
    </cfRule>
    <cfRule type="expression" dxfId="610" priority="1753" stopIfTrue="1">
      <formula>$AM$125=4</formula>
    </cfRule>
  </conditionalFormatting>
  <conditionalFormatting sqref="AM129">
    <cfRule type="expression" dxfId="609" priority="1590" stopIfTrue="1">
      <formula>$AM$128=5</formula>
    </cfRule>
    <cfRule type="expression" dxfId="608" priority="1591" stopIfTrue="1">
      <formula>$AM$128=1</formula>
    </cfRule>
    <cfRule type="expression" dxfId="607" priority="1760" stopIfTrue="1">
      <formula>$AM$128=4</formula>
    </cfRule>
  </conditionalFormatting>
  <conditionalFormatting sqref="AM132">
    <cfRule type="expression" dxfId="606" priority="1587" stopIfTrue="1">
      <formula>$AM$131=5</formula>
    </cfRule>
    <cfRule type="expression" dxfId="605" priority="1588" stopIfTrue="1">
      <formula>$AM$131=1</formula>
    </cfRule>
    <cfRule type="expression" dxfId="604" priority="1767" stopIfTrue="1">
      <formula>$AM$131=4</formula>
    </cfRule>
  </conditionalFormatting>
  <conditionalFormatting sqref="AM135">
    <cfRule type="expression" dxfId="603" priority="1584" stopIfTrue="1">
      <formula>$AM$134=5</formula>
    </cfRule>
    <cfRule type="expression" dxfId="602" priority="1585" stopIfTrue="1">
      <formula>$AM$134=1</formula>
    </cfRule>
    <cfRule type="expression" dxfId="601" priority="1773" stopIfTrue="1">
      <formula>$AM$134=4</formula>
    </cfRule>
  </conditionalFormatting>
  <conditionalFormatting sqref="AM138">
    <cfRule type="expression" dxfId="600" priority="1581" stopIfTrue="1">
      <formula>$AM$137=5</formula>
    </cfRule>
    <cfRule type="expression" dxfId="599" priority="1582" stopIfTrue="1">
      <formula>$AM$137=1</formula>
    </cfRule>
    <cfRule type="expression" dxfId="598" priority="1780" stopIfTrue="1">
      <formula>$AM$137=4</formula>
    </cfRule>
  </conditionalFormatting>
  <conditionalFormatting sqref="AM141">
    <cfRule type="expression" dxfId="597" priority="1578" stopIfTrue="1">
      <formula>$AM$140=5</formula>
    </cfRule>
    <cfRule type="expression" dxfId="596" priority="1579" stopIfTrue="1">
      <formula>$AM$140=1</formula>
    </cfRule>
    <cfRule type="expression" dxfId="595" priority="1787" stopIfTrue="1">
      <formula>$AM$140=4</formula>
    </cfRule>
  </conditionalFormatting>
  <conditionalFormatting sqref="AM144">
    <cfRule type="expression" dxfId="594" priority="1575" stopIfTrue="1">
      <formula>$AM$143=5</formula>
    </cfRule>
    <cfRule type="expression" dxfId="593" priority="1576" stopIfTrue="1">
      <formula>$AM$143=1</formula>
    </cfRule>
    <cfRule type="expression" dxfId="592" priority="1794" stopIfTrue="1">
      <formula>$AM$143=4</formula>
    </cfRule>
  </conditionalFormatting>
  <conditionalFormatting sqref="AM147">
    <cfRule type="expression" dxfId="591" priority="1572" stopIfTrue="1">
      <formula>$AM$146=5</formula>
    </cfRule>
    <cfRule type="expression" dxfId="590" priority="1573" stopIfTrue="1">
      <formula>$AM$146=1</formula>
    </cfRule>
    <cfRule type="expression" dxfId="589" priority="1800" stopIfTrue="1">
      <formula>$AM$146=4</formula>
    </cfRule>
  </conditionalFormatting>
  <conditionalFormatting sqref="AM150">
    <cfRule type="expression" dxfId="588" priority="1569" stopIfTrue="1">
      <formula>$AM$149=5</formula>
    </cfRule>
    <cfRule type="expression" dxfId="587" priority="1570" stopIfTrue="1">
      <formula>$AM$149=1</formula>
    </cfRule>
    <cfRule type="expression" dxfId="586" priority="1807" stopIfTrue="1">
      <formula>$AM$149=4</formula>
    </cfRule>
  </conditionalFormatting>
  <conditionalFormatting sqref="AM153">
    <cfRule type="expression" dxfId="585" priority="1566" stopIfTrue="1">
      <formula>$AM$152=5</formula>
    </cfRule>
    <cfRule type="expression" dxfId="584" priority="1567" stopIfTrue="1">
      <formula>$AM$152=1</formula>
    </cfRule>
    <cfRule type="expression" dxfId="583" priority="1815" stopIfTrue="1">
      <formula>$AM$152=4</formula>
    </cfRule>
  </conditionalFormatting>
  <conditionalFormatting sqref="AM156">
    <cfRule type="expression" dxfId="582" priority="1563" stopIfTrue="1">
      <formula>$AM$155=5</formula>
    </cfRule>
    <cfRule type="expression" dxfId="581" priority="1564" stopIfTrue="1">
      <formula>$AM$155=1</formula>
    </cfRule>
    <cfRule type="expression" dxfId="580" priority="1823" stopIfTrue="1">
      <formula>$AM$155=4</formula>
    </cfRule>
  </conditionalFormatting>
  <conditionalFormatting sqref="AM159">
    <cfRule type="expression" dxfId="579" priority="1560" stopIfTrue="1">
      <formula>$AM$158=5</formula>
    </cfRule>
    <cfRule type="expression" dxfId="578" priority="1561" stopIfTrue="1">
      <formula>$AM$158=1</formula>
    </cfRule>
    <cfRule type="expression" dxfId="577" priority="1718" stopIfTrue="1">
      <formula>$AM$158=4</formula>
    </cfRule>
  </conditionalFormatting>
  <conditionalFormatting sqref="AP117">
    <cfRule type="expression" dxfId="576" priority="1557" stopIfTrue="1">
      <formula>$AP$116=5</formula>
    </cfRule>
    <cfRule type="expression" dxfId="575" priority="1558" stopIfTrue="1">
      <formula>$AP$116=1</formula>
    </cfRule>
    <cfRule type="expression" dxfId="574" priority="1733" stopIfTrue="1">
      <formula>$AP$116=4</formula>
    </cfRule>
  </conditionalFormatting>
  <conditionalFormatting sqref="AP120">
    <cfRule type="expression" dxfId="573" priority="1554" stopIfTrue="1">
      <formula>$AP$119=5</formula>
    </cfRule>
    <cfRule type="expression" dxfId="572" priority="1555" stopIfTrue="1">
      <formula>$AP$119=1</formula>
    </cfRule>
    <cfRule type="expression" dxfId="571" priority="1740" stopIfTrue="1">
      <formula>$AP$119=4</formula>
    </cfRule>
  </conditionalFormatting>
  <conditionalFormatting sqref="AP123">
    <cfRule type="expression" dxfId="570" priority="1551" stopIfTrue="1">
      <formula>$AP$122=5</formula>
    </cfRule>
    <cfRule type="expression" dxfId="569" priority="1552" stopIfTrue="1">
      <formula>$AP$122=1</formula>
    </cfRule>
    <cfRule type="expression" dxfId="568" priority="1747" stopIfTrue="1">
      <formula>$AP$122=4</formula>
    </cfRule>
  </conditionalFormatting>
  <conditionalFormatting sqref="AP126">
    <cfRule type="expression" dxfId="567" priority="1548" stopIfTrue="1">
      <formula>$AP$125=5</formula>
    </cfRule>
    <cfRule type="expression" dxfId="566" priority="1549" stopIfTrue="1">
      <formula>$AP$125=1</formula>
    </cfRule>
    <cfRule type="expression" dxfId="565" priority="1754" stopIfTrue="1">
      <formula>$AP$125=4</formula>
    </cfRule>
  </conditionalFormatting>
  <conditionalFormatting sqref="AP129">
    <cfRule type="expression" dxfId="564" priority="1545" stopIfTrue="1">
      <formula>$AP$128=5</formula>
    </cfRule>
    <cfRule type="expression" dxfId="563" priority="1546" stopIfTrue="1">
      <formula>$AP$128=1</formula>
    </cfRule>
    <cfRule type="expression" dxfId="562" priority="1761" stopIfTrue="1">
      <formula>$AP$128=4</formula>
    </cfRule>
  </conditionalFormatting>
  <conditionalFormatting sqref="AP132">
    <cfRule type="expression" dxfId="561" priority="1542" stopIfTrue="1">
      <formula>$AP$131=5</formula>
    </cfRule>
    <cfRule type="expression" dxfId="560" priority="1543" stopIfTrue="1">
      <formula>$AP$131=1</formula>
    </cfRule>
    <cfRule type="expression" dxfId="559" priority="1768" stopIfTrue="1">
      <formula>$AP$131=4</formula>
    </cfRule>
  </conditionalFormatting>
  <conditionalFormatting sqref="AP135">
    <cfRule type="expression" dxfId="558" priority="1539" stopIfTrue="1">
      <formula>$AP$134=5</formula>
    </cfRule>
    <cfRule type="expression" dxfId="557" priority="1540" stopIfTrue="1">
      <formula>$AP$134=1</formula>
    </cfRule>
    <cfRule type="expression" dxfId="556" priority="1774" stopIfTrue="1">
      <formula>$AP$134=4</formula>
    </cfRule>
  </conditionalFormatting>
  <conditionalFormatting sqref="AP138">
    <cfRule type="expression" dxfId="555" priority="1536" stopIfTrue="1">
      <formula>$AP$137=5</formula>
    </cfRule>
    <cfRule type="expression" dxfId="554" priority="1537" stopIfTrue="1">
      <formula>$AP$137=1</formula>
    </cfRule>
    <cfRule type="expression" dxfId="553" priority="1781" stopIfTrue="1">
      <formula>$AP$137=4</formula>
    </cfRule>
  </conditionalFormatting>
  <conditionalFormatting sqref="AP141">
    <cfRule type="expression" dxfId="552" priority="1533" stopIfTrue="1">
      <formula>$AP$140=5</formula>
    </cfRule>
    <cfRule type="expression" dxfId="551" priority="1534" stopIfTrue="1">
      <formula>$AP$140=1</formula>
    </cfRule>
    <cfRule type="expression" dxfId="550" priority="1788" stopIfTrue="1">
      <formula>$AP$140=4</formula>
    </cfRule>
  </conditionalFormatting>
  <conditionalFormatting sqref="AP144">
    <cfRule type="expression" dxfId="549" priority="1530" stopIfTrue="1">
      <formula>$AP$143=5</formula>
    </cfRule>
    <cfRule type="expression" dxfId="548" priority="1531" stopIfTrue="1">
      <formula>$AP$143=1</formula>
    </cfRule>
    <cfRule type="expression" dxfId="547" priority="1795" stopIfTrue="1">
      <formula>$AP$143=4</formula>
    </cfRule>
  </conditionalFormatting>
  <conditionalFormatting sqref="AP147">
    <cfRule type="expression" dxfId="546" priority="1527" stopIfTrue="1">
      <formula>$AP$146=5</formula>
    </cfRule>
    <cfRule type="expression" dxfId="545" priority="1528" stopIfTrue="1">
      <formula>$AP$146=1</formula>
    </cfRule>
    <cfRule type="expression" dxfId="544" priority="1801" stopIfTrue="1">
      <formula>$AP$146=4</formula>
    </cfRule>
  </conditionalFormatting>
  <conditionalFormatting sqref="AP150">
    <cfRule type="expression" dxfId="543" priority="1524" stopIfTrue="1">
      <formula>$AP$149=5</formula>
    </cfRule>
    <cfRule type="expression" dxfId="542" priority="1525" stopIfTrue="1">
      <formula>$AP$149=1</formula>
    </cfRule>
    <cfRule type="expression" dxfId="541" priority="1808" stopIfTrue="1">
      <formula>$AP$149=4</formula>
    </cfRule>
  </conditionalFormatting>
  <conditionalFormatting sqref="AP153">
    <cfRule type="expression" dxfId="540" priority="1521" stopIfTrue="1">
      <formula>$AP$152=5</formula>
    </cfRule>
    <cfRule type="expression" dxfId="539" priority="1522" stopIfTrue="1">
      <formula>$AP$152=1</formula>
    </cfRule>
    <cfRule type="expression" dxfId="538" priority="1816" stopIfTrue="1">
      <formula>$AP$152=4</formula>
    </cfRule>
  </conditionalFormatting>
  <conditionalFormatting sqref="AP156">
    <cfRule type="expression" dxfId="537" priority="1518" stopIfTrue="1">
      <formula>$AP$155=5</formula>
    </cfRule>
    <cfRule type="expression" dxfId="536" priority="1519" stopIfTrue="1">
      <formula>$AP$155=1</formula>
    </cfRule>
    <cfRule type="expression" dxfId="535" priority="1824" stopIfTrue="1">
      <formula>$AP$155=4</formula>
    </cfRule>
  </conditionalFormatting>
  <conditionalFormatting sqref="AP159">
    <cfRule type="expression" dxfId="534" priority="1515" stopIfTrue="1">
      <formula>$AP$158=5</formula>
    </cfRule>
    <cfRule type="expression" dxfId="533" priority="1516" stopIfTrue="1">
      <formula>$AP$158=1</formula>
    </cfRule>
    <cfRule type="expression" dxfId="532" priority="1719" stopIfTrue="1">
      <formula>$AP$158=4</formula>
    </cfRule>
  </conditionalFormatting>
  <conditionalFormatting sqref="AS117">
    <cfRule type="expression" dxfId="531" priority="1512" stopIfTrue="1">
      <formula>$AS$116=5</formula>
    </cfRule>
    <cfRule type="expression" dxfId="530" priority="1513" stopIfTrue="1">
      <formula>$AS$116=1</formula>
    </cfRule>
    <cfRule type="expression" dxfId="529" priority="1734" stopIfTrue="1">
      <formula>$AS$116=4</formula>
    </cfRule>
  </conditionalFormatting>
  <conditionalFormatting sqref="AS120">
    <cfRule type="expression" dxfId="528" priority="1509" stopIfTrue="1">
      <formula>$AS$119=5</formula>
    </cfRule>
    <cfRule type="expression" dxfId="527" priority="1510" stopIfTrue="1">
      <formula>$AS$119=1</formula>
    </cfRule>
    <cfRule type="expression" dxfId="526" priority="1741" stopIfTrue="1">
      <formula>$AS$119=4</formula>
    </cfRule>
  </conditionalFormatting>
  <conditionalFormatting sqref="AS123">
    <cfRule type="expression" dxfId="525" priority="1506" stopIfTrue="1">
      <formula>$AS$122=5</formula>
    </cfRule>
    <cfRule type="expression" dxfId="524" priority="1507" stopIfTrue="1">
      <formula>$AS$122=1</formula>
    </cfRule>
    <cfRule type="expression" dxfId="523" priority="1748" stopIfTrue="1">
      <formula>$AS$122=4</formula>
    </cfRule>
  </conditionalFormatting>
  <conditionalFormatting sqref="AS126">
    <cfRule type="expression" dxfId="522" priority="1503" stopIfTrue="1">
      <formula>$AS$125=5</formula>
    </cfRule>
    <cfRule type="expression" dxfId="521" priority="1504" stopIfTrue="1">
      <formula>$AS$125=1</formula>
    </cfRule>
    <cfRule type="expression" dxfId="520" priority="1755" stopIfTrue="1">
      <formula>$AS$125=4</formula>
    </cfRule>
  </conditionalFormatting>
  <conditionalFormatting sqref="AS129">
    <cfRule type="expression" dxfId="519" priority="1500" stopIfTrue="1">
      <formula>$AS$128=5</formula>
    </cfRule>
    <cfRule type="expression" dxfId="518" priority="1501" stopIfTrue="1">
      <formula>$AS$128=1</formula>
    </cfRule>
    <cfRule type="expression" dxfId="517" priority="1762" stopIfTrue="1">
      <formula>$AS$128=4</formula>
    </cfRule>
  </conditionalFormatting>
  <conditionalFormatting sqref="AS132">
    <cfRule type="expression" dxfId="516" priority="1497" stopIfTrue="1">
      <formula>$AS$131=5</formula>
    </cfRule>
    <cfRule type="expression" dxfId="515" priority="1498" stopIfTrue="1">
      <formula>$AS$131=1</formula>
    </cfRule>
    <cfRule type="expression" dxfId="514" priority="1820" stopIfTrue="1">
      <formula>$AS$131=4</formula>
    </cfRule>
  </conditionalFormatting>
  <conditionalFormatting sqref="AS135">
    <cfRule type="expression" dxfId="513" priority="1494" stopIfTrue="1">
      <formula>$AS$134=5</formula>
    </cfRule>
    <cfRule type="expression" dxfId="512" priority="1495" stopIfTrue="1">
      <formula>$AS$134=1</formula>
    </cfRule>
    <cfRule type="expression" dxfId="511" priority="1775" stopIfTrue="1">
      <formula>$AS$134=4</formula>
    </cfRule>
  </conditionalFormatting>
  <conditionalFormatting sqref="AS138">
    <cfRule type="expression" dxfId="510" priority="1491" stopIfTrue="1">
      <formula>$AS$137=5</formula>
    </cfRule>
    <cfRule type="expression" dxfId="509" priority="1492" stopIfTrue="1">
      <formula>$AS$137=1</formula>
    </cfRule>
    <cfRule type="expression" dxfId="508" priority="1782" stopIfTrue="1">
      <formula>$AS$137=4</formula>
    </cfRule>
  </conditionalFormatting>
  <conditionalFormatting sqref="AS141">
    <cfRule type="expression" dxfId="507" priority="1488" stopIfTrue="1">
      <formula>$AS$140=5</formula>
    </cfRule>
    <cfRule type="expression" dxfId="506" priority="1489" stopIfTrue="1">
      <formula>$AS$140=1</formula>
    </cfRule>
    <cfRule type="expression" dxfId="505" priority="1789" stopIfTrue="1">
      <formula>$AS$140=4</formula>
    </cfRule>
  </conditionalFormatting>
  <conditionalFormatting sqref="AS144">
    <cfRule type="expression" dxfId="504" priority="1485" stopIfTrue="1">
      <formula>$AS$143=5</formula>
    </cfRule>
    <cfRule type="expression" dxfId="503" priority="1486" stopIfTrue="1">
      <formula>$AS$143=1</formula>
    </cfRule>
    <cfRule type="expression" dxfId="502" priority="1796" stopIfTrue="1">
      <formula>$AS$143=4</formula>
    </cfRule>
  </conditionalFormatting>
  <conditionalFormatting sqref="AS147">
    <cfRule type="expression" dxfId="501" priority="1482" stopIfTrue="1">
      <formula>$AS$146=5</formula>
    </cfRule>
    <cfRule type="expression" dxfId="500" priority="1483" stopIfTrue="1">
      <formula>$AS$146=1</formula>
    </cfRule>
    <cfRule type="expression" dxfId="499" priority="1802" stopIfTrue="1">
      <formula>$AS$146=4</formula>
    </cfRule>
  </conditionalFormatting>
  <conditionalFormatting sqref="AS150">
    <cfRule type="expression" dxfId="498" priority="1479" stopIfTrue="1">
      <formula>$AS$149=5</formula>
    </cfRule>
    <cfRule type="expression" dxfId="497" priority="1480" stopIfTrue="1">
      <formula>$AS$149=1</formula>
    </cfRule>
    <cfRule type="expression" dxfId="496" priority="1809" stopIfTrue="1">
      <formula>$AS$149=4</formula>
    </cfRule>
  </conditionalFormatting>
  <conditionalFormatting sqref="AS153">
    <cfRule type="expression" dxfId="495" priority="1476" stopIfTrue="1">
      <formula>$AS$152=5</formula>
    </cfRule>
    <cfRule type="expression" dxfId="494" priority="1477" stopIfTrue="1">
      <formula>$AS$152=1</formula>
    </cfRule>
    <cfRule type="expression" dxfId="493" priority="1817" stopIfTrue="1">
      <formula>$AS$152=4</formula>
    </cfRule>
  </conditionalFormatting>
  <conditionalFormatting sqref="AS156">
    <cfRule type="expression" dxfId="492" priority="1473" stopIfTrue="1">
      <formula>$AS$155=5</formula>
    </cfRule>
    <cfRule type="expression" dxfId="491" priority="1474" stopIfTrue="1">
      <formula>$AS$155=1</formula>
    </cfRule>
    <cfRule type="expression" dxfId="490" priority="1825" stopIfTrue="1">
      <formula>$AS$155=4</formula>
    </cfRule>
  </conditionalFormatting>
  <conditionalFormatting sqref="AS159">
    <cfRule type="expression" dxfId="489" priority="1470" stopIfTrue="1">
      <formula>$AS$158=5</formula>
    </cfRule>
    <cfRule type="expression" dxfId="488" priority="1471" stopIfTrue="1">
      <formula>$AS$158=1</formula>
    </cfRule>
    <cfRule type="expression" dxfId="487" priority="1720" stopIfTrue="1">
      <formula>$AS$158=4</formula>
    </cfRule>
  </conditionalFormatting>
  <conditionalFormatting sqref="AV117">
    <cfRule type="expression" dxfId="486" priority="1467" stopIfTrue="1">
      <formula>$AV$116=5</formula>
    </cfRule>
    <cfRule type="expression" dxfId="485" priority="1468" stopIfTrue="1">
      <formula>$AV$116=1</formula>
    </cfRule>
    <cfRule type="expression" dxfId="484" priority="1735" stopIfTrue="1">
      <formula>$AV$116=4</formula>
    </cfRule>
  </conditionalFormatting>
  <conditionalFormatting sqref="AV120">
    <cfRule type="expression" dxfId="483" priority="1464" stopIfTrue="1">
      <formula>$AV$119=5</formula>
    </cfRule>
    <cfRule type="expression" dxfId="482" priority="1465" stopIfTrue="1">
      <formula>$AV$119=1</formula>
    </cfRule>
    <cfRule type="expression" dxfId="481" priority="1742" stopIfTrue="1">
      <formula>$AV$119=4</formula>
    </cfRule>
  </conditionalFormatting>
  <conditionalFormatting sqref="AV123">
    <cfRule type="expression" dxfId="480" priority="1461" stopIfTrue="1">
      <formula>$AV$122=5</formula>
    </cfRule>
    <cfRule type="expression" dxfId="479" priority="1462" stopIfTrue="1">
      <formula>$AV$122=1</formula>
    </cfRule>
    <cfRule type="expression" dxfId="478" priority="1749" stopIfTrue="1">
      <formula>$AV$122=4</formula>
    </cfRule>
  </conditionalFormatting>
  <conditionalFormatting sqref="AV126">
    <cfRule type="expression" dxfId="477" priority="1458" stopIfTrue="1">
      <formula>$AV$125=5</formula>
    </cfRule>
    <cfRule type="expression" dxfId="476" priority="1459" stopIfTrue="1">
      <formula>$AV$125=1</formula>
    </cfRule>
    <cfRule type="expression" dxfId="475" priority="1756" stopIfTrue="1">
      <formula>$AV$125=4</formula>
    </cfRule>
  </conditionalFormatting>
  <conditionalFormatting sqref="AV129">
    <cfRule type="expression" dxfId="474" priority="1455" stopIfTrue="1">
      <formula>$AV$128=5</formula>
    </cfRule>
    <cfRule type="expression" dxfId="473" priority="1456" stopIfTrue="1">
      <formula>$AV$128=1</formula>
    </cfRule>
    <cfRule type="expression" dxfId="472" priority="1763" stopIfTrue="1">
      <formula>$AV$128=4</formula>
    </cfRule>
  </conditionalFormatting>
  <conditionalFormatting sqref="AV132">
    <cfRule type="expression" dxfId="471" priority="1452" stopIfTrue="1">
      <formula>$AV$131=5</formula>
    </cfRule>
    <cfRule type="expression" dxfId="470" priority="1453" stopIfTrue="1">
      <formula>$AV$131=1</formula>
    </cfRule>
    <cfRule type="expression" dxfId="469" priority="1769" stopIfTrue="1">
      <formula>$AV$131=4</formula>
    </cfRule>
  </conditionalFormatting>
  <conditionalFormatting sqref="AV135">
    <cfRule type="expression" dxfId="468" priority="1449" stopIfTrue="1">
      <formula>$AV$134=5</formula>
    </cfRule>
    <cfRule type="expression" dxfId="467" priority="1450" stopIfTrue="1">
      <formula>$AV$134=1</formula>
    </cfRule>
    <cfRule type="expression" dxfId="466" priority="1776" stopIfTrue="1">
      <formula>$AV$134=4</formula>
    </cfRule>
  </conditionalFormatting>
  <conditionalFormatting sqref="AV138">
    <cfRule type="expression" dxfId="465" priority="1446" stopIfTrue="1">
      <formula>$AV$137=5</formula>
    </cfRule>
    <cfRule type="expression" dxfId="464" priority="1447" stopIfTrue="1">
      <formula>$AV$137=1</formula>
    </cfRule>
    <cfRule type="expression" dxfId="463" priority="1783" stopIfTrue="1">
      <formula>$AV$137=4</formula>
    </cfRule>
  </conditionalFormatting>
  <conditionalFormatting sqref="AV141">
    <cfRule type="expression" dxfId="462" priority="1443" stopIfTrue="1">
      <formula>$AV$140=5</formula>
    </cfRule>
    <cfRule type="expression" dxfId="461" priority="1444" stopIfTrue="1">
      <formula>$AV$140=1</formula>
    </cfRule>
    <cfRule type="expression" dxfId="460" priority="1790" stopIfTrue="1">
      <formula>$AV$140=4</formula>
    </cfRule>
  </conditionalFormatting>
  <conditionalFormatting sqref="AV144">
    <cfRule type="expression" dxfId="459" priority="1440" stopIfTrue="1">
      <formula>$AV$143=5</formula>
    </cfRule>
    <cfRule type="expression" dxfId="458" priority="1441" stopIfTrue="1">
      <formula>$AV$143=1</formula>
    </cfRule>
    <cfRule type="expression" dxfId="457" priority="1812" stopIfTrue="1">
      <formula>$AV$143=4</formula>
    </cfRule>
  </conditionalFormatting>
  <conditionalFormatting sqref="AV147">
    <cfRule type="expression" dxfId="456" priority="1437" stopIfTrue="1">
      <formula>$AV$146=5</formula>
    </cfRule>
    <cfRule type="expression" dxfId="455" priority="1438" stopIfTrue="1">
      <formula>$AV$146=1</formula>
    </cfRule>
    <cfRule type="expression" dxfId="454" priority="1803" stopIfTrue="1">
      <formula>$AV$146=4</formula>
    </cfRule>
  </conditionalFormatting>
  <conditionalFormatting sqref="AV150">
    <cfRule type="expression" dxfId="453" priority="1434" stopIfTrue="1">
      <formula>$AV$149=5</formula>
    </cfRule>
    <cfRule type="expression" dxfId="452" priority="1435" stopIfTrue="1">
      <formula>$AV$149=1</formula>
    </cfRule>
    <cfRule type="expression" dxfId="451" priority="1810" stopIfTrue="1">
      <formula>$AV$149=4</formula>
    </cfRule>
  </conditionalFormatting>
  <conditionalFormatting sqref="AV153">
    <cfRule type="expression" dxfId="450" priority="1431" stopIfTrue="1">
      <formula>$AV$152=5</formula>
    </cfRule>
    <cfRule type="expression" dxfId="449" priority="1432" stopIfTrue="1">
      <formula>$AV$152=1</formula>
    </cfRule>
    <cfRule type="expression" dxfId="448" priority="1818" stopIfTrue="1">
      <formula>$AV$152=4</formula>
    </cfRule>
  </conditionalFormatting>
  <conditionalFormatting sqref="AV156">
    <cfRule type="expression" dxfId="447" priority="1428" stopIfTrue="1">
      <formula>$AV$155=5</formula>
    </cfRule>
    <cfRule type="expression" dxfId="446" priority="1429" stopIfTrue="1">
      <formula>$AV$155=1</formula>
    </cfRule>
    <cfRule type="expression" dxfId="445" priority="1826" stopIfTrue="1">
      <formula>$AV$155=4</formula>
    </cfRule>
  </conditionalFormatting>
  <conditionalFormatting sqref="AV159">
    <cfRule type="expression" dxfId="444" priority="1425" stopIfTrue="1">
      <formula>$AV$158=5</formula>
    </cfRule>
    <cfRule type="expression" dxfId="443" priority="1426" stopIfTrue="1">
      <formula>$AV$158=1</formula>
    </cfRule>
    <cfRule type="expression" dxfId="442" priority="1721" stopIfTrue="1">
      <formula>$AV$158=4</formula>
    </cfRule>
  </conditionalFormatting>
  <conditionalFormatting sqref="AY117">
    <cfRule type="expression" dxfId="441" priority="1422" stopIfTrue="1">
      <formula>$AY$116=5</formula>
    </cfRule>
    <cfRule type="expression" dxfId="440" priority="1423" stopIfTrue="1">
      <formula>$AY$116=1</formula>
    </cfRule>
    <cfRule type="expression" dxfId="439" priority="1736" stopIfTrue="1">
      <formula>$AY$116=4</formula>
    </cfRule>
  </conditionalFormatting>
  <conditionalFormatting sqref="AY120">
    <cfRule type="expression" dxfId="438" priority="1419" stopIfTrue="1">
      <formula>$AY$119=5</formula>
    </cfRule>
    <cfRule type="expression" dxfId="437" priority="1420" stopIfTrue="1">
      <formula>$AY$119=1</formula>
    </cfRule>
    <cfRule type="expression" dxfId="436" priority="1743" stopIfTrue="1">
      <formula>$AY$119=4</formula>
    </cfRule>
  </conditionalFormatting>
  <conditionalFormatting sqref="AY123">
    <cfRule type="expression" dxfId="435" priority="1416" stopIfTrue="1">
      <formula>$AY$122=5</formula>
    </cfRule>
    <cfRule type="expression" dxfId="434" priority="1417" stopIfTrue="1">
      <formula>$AY$122=1</formula>
    </cfRule>
    <cfRule type="expression" dxfId="433" priority="1750" stopIfTrue="1">
      <formula>$AY$122=4</formula>
    </cfRule>
  </conditionalFormatting>
  <conditionalFormatting sqref="AY126">
    <cfRule type="expression" dxfId="432" priority="1413" stopIfTrue="1">
      <formula>$AY$125=5</formula>
    </cfRule>
    <cfRule type="expression" dxfId="431" priority="1414" stopIfTrue="1">
      <formula>$AY$125=1</formula>
    </cfRule>
    <cfRule type="expression" dxfId="430" priority="1757" stopIfTrue="1">
      <formula>$AY$125=4</formula>
    </cfRule>
  </conditionalFormatting>
  <conditionalFormatting sqref="AY129">
    <cfRule type="expression" dxfId="429" priority="1410" stopIfTrue="1">
      <formula>$AY$128=5</formula>
    </cfRule>
    <cfRule type="expression" dxfId="428" priority="1411" stopIfTrue="1">
      <formula>$AY$128=1</formula>
    </cfRule>
    <cfRule type="expression" dxfId="427" priority="1764" stopIfTrue="1">
      <formula>$AY$128=4</formula>
    </cfRule>
  </conditionalFormatting>
  <conditionalFormatting sqref="AY132">
    <cfRule type="expression" dxfId="426" priority="1407" stopIfTrue="1">
      <formula>$AY$131=5</formula>
    </cfRule>
    <cfRule type="expression" dxfId="425" priority="1408" stopIfTrue="1">
      <formula>$AY$131=1</formula>
    </cfRule>
    <cfRule type="expression" dxfId="424" priority="1770" stopIfTrue="1">
      <formula>$AY$131=4</formula>
    </cfRule>
  </conditionalFormatting>
  <conditionalFormatting sqref="AY135">
    <cfRule type="expression" dxfId="423" priority="1404" stopIfTrue="1">
      <formula>$AY$134=5</formula>
    </cfRule>
    <cfRule type="expression" dxfId="422" priority="1405" stopIfTrue="1">
      <formula>$AY$134=1</formula>
    </cfRule>
    <cfRule type="expression" dxfId="421" priority="1777" stopIfTrue="1">
      <formula>$AY$134=4</formula>
    </cfRule>
  </conditionalFormatting>
  <conditionalFormatting sqref="AY138">
    <cfRule type="expression" dxfId="420" priority="1401" stopIfTrue="1">
      <formula>$AY$137=5</formula>
    </cfRule>
    <cfRule type="expression" dxfId="419" priority="1402" stopIfTrue="1">
      <formula>$AY$137=1</formula>
    </cfRule>
    <cfRule type="expression" dxfId="418" priority="1784" stopIfTrue="1">
      <formula>$AY$137=4</formula>
    </cfRule>
  </conditionalFormatting>
  <conditionalFormatting sqref="AY141">
    <cfRule type="expression" dxfId="417" priority="1398" stopIfTrue="1">
      <formula>$AY$140=5</formula>
    </cfRule>
    <cfRule type="expression" dxfId="416" priority="1399" stopIfTrue="1">
      <formula>$AY$140=1</formula>
    </cfRule>
    <cfRule type="expression" dxfId="415" priority="1791" stopIfTrue="1">
      <formula>$AY$140=4</formula>
    </cfRule>
  </conditionalFormatting>
  <conditionalFormatting sqref="AY144">
    <cfRule type="expression" dxfId="414" priority="1395" stopIfTrue="1">
      <formula>$AY$143=5</formula>
    </cfRule>
    <cfRule type="expression" dxfId="413" priority="1396" stopIfTrue="1">
      <formula>$AY$143=1</formula>
    </cfRule>
    <cfRule type="expression" dxfId="412" priority="1797" stopIfTrue="1">
      <formula>$AY$143=4</formula>
    </cfRule>
  </conditionalFormatting>
  <conditionalFormatting sqref="AY147">
    <cfRule type="expression" dxfId="411" priority="1392" stopIfTrue="1">
      <formula>$AY$146=5</formula>
    </cfRule>
    <cfRule type="expression" dxfId="410" priority="1393" stopIfTrue="1">
      <formula>$AY$146=1</formula>
    </cfRule>
    <cfRule type="expression" dxfId="409" priority="1804" stopIfTrue="1">
      <formula>$AY$146=4</formula>
    </cfRule>
  </conditionalFormatting>
  <conditionalFormatting sqref="AY150">
    <cfRule type="expression" dxfId="408" priority="1389" stopIfTrue="1">
      <formula>$AY$149=5</formula>
    </cfRule>
    <cfRule type="expression" dxfId="407" priority="1390" stopIfTrue="1">
      <formula>$AY$149=1</formula>
    </cfRule>
    <cfRule type="expression" dxfId="406" priority="1811" stopIfTrue="1">
      <formula>$AY$149=4</formula>
    </cfRule>
  </conditionalFormatting>
  <conditionalFormatting sqref="AY153">
    <cfRule type="expression" dxfId="405" priority="1386" stopIfTrue="1">
      <formula>$AY$152=5</formula>
    </cfRule>
    <cfRule type="expression" dxfId="404" priority="1387" stopIfTrue="1">
      <formula>$AY$152=1</formula>
    </cfRule>
    <cfRule type="expression" dxfId="403" priority="1819" stopIfTrue="1">
      <formula>$AY$152=4</formula>
    </cfRule>
  </conditionalFormatting>
  <conditionalFormatting sqref="AY156">
    <cfRule type="expression" dxfId="402" priority="1383" stopIfTrue="1">
      <formula>$AY$155=5</formula>
    </cfRule>
    <cfRule type="expression" dxfId="401" priority="1384" stopIfTrue="1">
      <formula>$AY$155=1</formula>
    </cfRule>
    <cfRule type="expression" dxfId="400" priority="1827" stopIfTrue="1">
      <formula>$AY$155=4</formula>
    </cfRule>
  </conditionalFormatting>
  <conditionalFormatting sqref="AY159">
    <cfRule type="expression" dxfId="399" priority="1380" stopIfTrue="1">
      <formula>$AY$158=5</formula>
    </cfRule>
    <cfRule type="expression" dxfId="398" priority="1381" stopIfTrue="1">
      <formula>$AY$158=1</formula>
    </cfRule>
    <cfRule type="expression" dxfId="397" priority="1722" stopIfTrue="1">
      <formula>$AY$158=4</formula>
    </cfRule>
  </conditionalFormatting>
  <conditionalFormatting sqref="AH164">
    <cfRule type="cellIs" dxfId="396" priority="1377" stopIfTrue="1" operator="equal">
      <formula>26</formula>
    </cfRule>
  </conditionalFormatting>
  <conditionalFormatting sqref="AH167">
    <cfRule type="cellIs" dxfId="395" priority="1372" stopIfTrue="1" operator="equal">
      <formula>26</formula>
    </cfRule>
  </conditionalFormatting>
  <conditionalFormatting sqref="AI166:AK166">
    <cfRule type="expression" dxfId="394" priority="1354" stopIfTrue="1">
      <formula>$AI$164&gt;" "</formula>
    </cfRule>
  </conditionalFormatting>
  <conditionalFormatting sqref="AK164">
    <cfRule type="cellIs" dxfId="393" priority="1357" stopIfTrue="1" operator="equal">
      <formula>26</formula>
    </cfRule>
  </conditionalFormatting>
  <conditionalFormatting sqref="AK167">
    <cfRule type="cellIs" dxfId="392" priority="1352" stopIfTrue="1" operator="equal">
      <formula>26</formula>
    </cfRule>
  </conditionalFormatting>
  <conditionalFormatting sqref="AL165:AN166">
    <cfRule type="expression" dxfId="391" priority="1043" stopIfTrue="1">
      <formula>$AL$164&gt;" "</formula>
    </cfRule>
  </conditionalFormatting>
  <conditionalFormatting sqref="AN164">
    <cfRule type="cellIs" dxfId="390" priority="1342" stopIfTrue="1" operator="equal">
      <formula>26</formula>
    </cfRule>
  </conditionalFormatting>
  <conditionalFormatting sqref="AN167">
    <cfRule type="cellIs" dxfId="389" priority="1337" stopIfTrue="1" operator="equal">
      <formula>26</formula>
    </cfRule>
  </conditionalFormatting>
  <conditionalFormatting sqref="AO165:AQ166">
    <cfRule type="expression" dxfId="388" priority="1040" stopIfTrue="1">
      <formula>$AO$164&gt;" "</formula>
    </cfRule>
  </conditionalFormatting>
  <conditionalFormatting sqref="AQ164">
    <cfRule type="cellIs" dxfId="387" priority="1327" stopIfTrue="1" operator="equal">
      <formula>26</formula>
    </cfRule>
  </conditionalFormatting>
  <conditionalFormatting sqref="AQ167">
    <cfRule type="cellIs" dxfId="386" priority="1322" stopIfTrue="1" operator="equal">
      <formula>26</formula>
    </cfRule>
  </conditionalFormatting>
  <conditionalFormatting sqref="AR166:AT166">
    <cfRule type="expression" dxfId="385" priority="1037" stopIfTrue="1">
      <formula>$AR$164&gt;" "</formula>
    </cfRule>
  </conditionalFormatting>
  <conditionalFormatting sqref="AT164">
    <cfRule type="cellIs" dxfId="384" priority="1312" stopIfTrue="1" operator="equal">
      <formula>26</formula>
    </cfRule>
  </conditionalFormatting>
  <conditionalFormatting sqref="AT167">
    <cfRule type="cellIs" dxfId="383" priority="1307" stopIfTrue="1" operator="equal">
      <formula>26</formula>
    </cfRule>
  </conditionalFormatting>
  <conditionalFormatting sqref="AW164">
    <cfRule type="cellIs" dxfId="382" priority="1297" stopIfTrue="1" operator="equal">
      <formula>26</formula>
    </cfRule>
  </conditionalFormatting>
  <conditionalFormatting sqref="AW167">
    <cfRule type="cellIs" dxfId="381" priority="1292" stopIfTrue="1" operator="equal">
      <formula>26</formula>
    </cfRule>
  </conditionalFormatting>
  <conditionalFormatting sqref="AZ164">
    <cfRule type="cellIs" dxfId="380" priority="1267" stopIfTrue="1" operator="equal">
      <formula>26</formula>
    </cfRule>
  </conditionalFormatting>
  <conditionalFormatting sqref="AZ167">
    <cfRule type="cellIs" dxfId="379" priority="1262" stopIfTrue="1" operator="equal">
      <formula>26</formula>
    </cfRule>
  </conditionalFormatting>
  <conditionalFormatting sqref="AG162">
    <cfRule type="expression" dxfId="378" priority="1252" stopIfTrue="1">
      <formula>$AG$161=5</formula>
    </cfRule>
    <cfRule type="expression" dxfId="377" priority="1253" stopIfTrue="1">
      <formula>$AG$161=1</formula>
    </cfRule>
    <cfRule type="expression" dxfId="376" priority="1700" stopIfTrue="1">
      <formula>$AG$161=4</formula>
    </cfRule>
  </conditionalFormatting>
  <conditionalFormatting sqref="AI162:AK163">
    <cfRule type="expression" dxfId="375" priority="1239" stopIfTrue="1">
      <formula>$AI$161&gt;" "</formula>
    </cfRule>
  </conditionalFormatting>
  <conditionalFormatting sqref="AJ162">
    <cfRule type="expression" dxfId="374" priority="1240" stopIfTrue="1">
      <formula>$AJ$161=5</formula>
    </cfRule>
    <cfRule type="expression" dxfId="373" priority="1241" stopIfTrue="1">
      <formula>$AJ$161=1</formula>
    </cfRule>
    <cfRule type="expression" dxfId="372" priority="1242" stopIfTrue="1">
      <formula>$AJ$161=4</formula>
    </cfRule>
  </conditionalFormatting>
  <conditionalFormatting sqref="AL162:AN163">
    <cfRule type="expression" dxfId="371" priority="1235" stopIfTrue="1">
      <formula>$AL$161&gt;" "</formula>
    </cfRule>
  </conditionalFormatting>
  <conditionalFormatting sqref="AM162">
    <cfRule type="expression" dxfId="370" priority="1236" stopIfTrue="1">
      <formula>$AM$161=5</formula>
    </cfRule>
    <cfRule type="expression" dxfId="369" priority="1237" stopIfTrue="1">
      <formula>$AM$161=1</formula>
    </cfRule>
    <cfRule type="expression" dxfId="368" priority="1238" stopIfTrue="1">
      <formula>$AM$161=4</formula>
    </cfRule>
  </conditionalFormatting>
  <conditionalFormatting sqref="AP162">
    <cfRule type="expression" dxfId="367" priority="1233" stopIfTrue="1">
      <formula>$AP$161=5</formula>
    </cfRule>
    <cfRule type="expression" dxfId="366" priority="1234" stopIfTrue="1">
      <formula>$AP$161=1</formula>
    </cfRule>
    <cfRule type="expression" dxfId="365" priority="1703" stopIfTrue="1">
      <formula>$AP$161=4</formula>
    </cfRule>
  </conditionalFormatting>
  <conditionalFormatting sqref="AS162">
    <cfRule type="expression" dxfId="364" priority="1229" stopIfTrue="1">
      <formula>$AS$161=5</formula>
    </cfRule>
    <cfRule type="expression" dxfId="363" priority="1230" stopIfTrue="1">
      <formula>$AS$161=1</formula>
    </cfRule>
    <cfRule type="expression" dxfId="362" priority="1704" stopIfTrue="1">
      <formula>$AS$161=4</formula>
    </cfRule>
  </conditionalFormatting>
  <conditionalFormatting sqref="AV162">
    <cfRule type="expression" dxfId="361" priority="1225" stopIfTrue="1">
      <formula>$AV$161=5</formula>
    </cfRule>
    <cfRule type="expression" dxfId="360" priority="1226" stopIfTrue="1">
      <formula>$AV$161=1</formula>
    </cfRule>
    <cfRule type="expression" dxfId="359" priority="1705" stopIfTrue="1">
      <formula>$AV$161=4</formula>
    </cfRule>
  </conditionalFormatting>
  <conditionalFormatting sqref="AY162">
    <cfRule type="expression" dxfId="358" priority="1217" stopIfTrue="1">
      <formula>$AY$161=5</formula>
    </cfRule>
    <cfRule type="expression" dxfId="357" priority="1218" stopIfTrue="1">
      <formula>$AY$161=1</formula>
    </cfRule>
    <cfRule type="expression" dxfId="356" priority="1706" stopIfTrue="1">
      <formula>$AY$161=4</formula>
    </cfRule>
  </conditionalFormatting>
  <conditionalFormatting sqref="AX166:AZ166">
    <cfRule type="expression" dxfId="355" priority="1031" stopIfTrue="1">
      <formula>$AX$164&gt;" "</formula>
    </cfRule>
  </conditionalFormatting>
  <conditionalFormatting sqref="AF156">
    <cfRule type="expression" dxfId="354" priority="1205" stopIfTrue="1">
      <formula>$AF$155&gt;" "</formula>
    </cfRule>
  </conditionalFormatting>
  <conditionalFormatting sqref="AG117">
    <cfRule type="expression" dxfId="353" priority="1203" stopIfTrue="1">
      <formula>$AG$116=5</formula>
    </cfRule>
    <cfRule type="expression" dxfId="352" priority="1204" stopIfTrue="1">
      <formula>$AG$116=1</formula>
    </cfRule>
    <cfRule type="expression" dxfId="351" priority="1695" stopIfTrue="1">
      <formula>$AG$116=4</formula>
    </cfRule>
  </conditionalFormatting>
  <conditionalFormatting sqref="AN170">
    <cfRule type="cellIs" dxfId="350" priority="850" stopIfTrue="1" operator="equal">
      <formula>26</formula>
    </cfRule>
  </conditionalFormatting>
  <conditionalFormatting sqref="AU165:AW166">
    <cfRule type="expression" dxfId="349" priority="1033" stopIfTrue="1">
      <formula>$AU$164&gt;" "</formula>
    </cfRule>
  </conditionalFormatting>
  <conditionalFormatting sqref="AG165">
    <cfRule type="expression" dxfId="348" priority="1051" stopIfTrue="1">
      <formula>#REF!=5</formula>
    </cfRule>
    <cfRule type="expression" dxfId="347" priority="1052" stopIfTrue="1">
      <formula>#REF!=1</formula>
    </cfRule>
    <cfRule type="expression" dxfId="346" priority="1053" stopIfTrue="1">
      <formula>#REF!=4</formula>
    </cfRule>
  </conditionalFormatting>
  <conditionalFormatting sqref="AJ165:AK165">
    <cfRule type="expression" dxfId="345" priority="1046" stopIfTrue="1">
      <formula>$AI$164&gt;" "</formula>
    </cfRule>
  </conditionalFormatting>
  <conditionalFormatting sqref="AJ165">
    <cfRule type="expression" dxfId="344" priority="1047" stopIfTrue="1">
      <formula>$AJ$164=5</formula>
    </cfRule>
    <cfRule type="expression" dxfId="343" priority="1048" stopIfTrue="1">
      <formula>$AJ$164=1</formula>
    </cfRule>
    <cfRule type="expression" dxfId="342" priority="1049" stopIfTrue="1">
      <formula>$AJ$164=4</formula>
    </cfRule>
  </conditionalFormatting>
  <conditionalFormatting sqref="AM165">
    <cfRule type="expression" dxfId="341" priority="1044" stopIfTrue="1">
      <formula>$AM$164=5</formula>
    </cfRule>
    <cfRule type="expression" dxfId="340" priority="1045" stopIfTrue="1">
      <formula>$AM$164=1</formula>
    </cfRule>
    <cfRule type="expression" dxfId="339" priority="1339" stopIfTrue="1">
      <formula>$AM$164=4</formula>
    </cfRule>
  </conditionalFormatting>
  <conditionalFormatting sqref="AP165">
    <cfRule type="expression" dxfId="338" priority="1041" stopIfTrue="1">
      <formula>$AP$164=5</formula>
    </cfRule>
    <cfRule type="expression" dxfId="337" priority="1054" stopIfTrue="1">
      <formula>$AP$164=1</formula>
    </cfRule>
    <cfRule type="expression" dxfId="336" priority="1324" stopIfTrue="1">
      <formula>$AP$164=4</formula>
    </cfRule>
  </conditionalFormatting>
  <conditionalFormatting sqref="AS165">
    <cfRule type="expression" dxfId="335" priority="1038" stopIfTrue="1">
      <formula>$AS$164=5</formula>
    </cfRule>
    <cfRule type="expression" dxfId="334" priority="1055" stopIfTrue="1">
      <formula>$AS$164=1</formula>
    </cfRule>
    <cfRule type="expression" dxfId="333" priority="1309" stopIfTrue="1">
      <formula>$AS$164=4</formula>
    </cfRule>
  </conditionalFormatting>
  <conditionalFormatting sqref="AV165">
    <cfRule type="expression" dxfId="332" priority="1034" stopIfTrue="1">
      <formula>$AV$164=5</formula>
    </cfRule>
    <cfRule type="expression" dxfId="331" priority="1035" stopIfTrue="1">
      <formula>$AV$164=1</formula>
    </cfRule>
    <cfRule type="expression" dxfId="330" priority="1056" stopIfTrue="1">
      <formula>$AV$164=4</formula>
    </cfRule>
  </conditionalFormatting>
  <conditionalFormatting sqref="AY165">
    <cfRule type="expression" dxfId="329" priority="1032" stopIfTrue="1">
      <formula>$AY$164=5</formula>
    </cfRule>
    <cfRule type="expression" dxfId="328" priority="1057" stopIfTrue="1">
      <formula>$AY$164=1</formula>
    </cfRule>
    <cfRule type="expression" dxfId="327" priority="1207" stopIfTrue="1">
      <formula>$AY$164=4</formula>
    </cfRule>
  </conditionalFormatting>
  <conditionalFormatting sqref="AN176">
    <cfRule type="cellIs" dxfId="326" priority="745" stopIfTrue="1" operator="equal">
      <formula>26</formula>
    </cfRule>
  </conditionalFormatting>
  <conditionalFormatting sqref="AF171:AH172">
    <cfRule type="expression" dxfId="325" priority="673" stopIfTrue="1">
      <formula>$AF$170&gt;" "</formula>
    </cfRule>
  </conditionalFormatting>
  <conditionalFormatting sqref="AX174:AZ175">
    <cfRule type="expression" dxfId="324" priority="583" stopIfTrue="1">
      <formula>$AX$173&gt;" "</formula>
    </cfRule>
  </conditionalFormatting>
  <conditionalFormatting sqref="AG174">
    <cfRule type="expression" dxfId="323" priority="604" stopIfTrue="1">
      <formula>$AG$173=5</formula>
    </cfRule>
    <cfRule type="expression" dxfId="322" priority="605" stopIfTrue="1">
      <formula>$AG$173=1</formula>
    </cfRule>
    <cfRule type="expression" dxfId="321" priority="616" stopIfTrue="1">
      <formula>$AG$173=4</formula>
    </cfRule>
  </conditionalFormatting>
  <conditionalFormatting sqref="AJ174">
    <cfRule type="expression" dxfId="320" priority="600" stopIfTrue="1">
      <formula>$AJ$173=5</formula>
    </cfRule>
    <cfRule type="expression" dxfId="319" priority="601" stopIfTrue="1">
      <formula>$AJ$173=1</formula>
    </cfRule>
    <cfRule type="expression" dxfId="318" priority="615" stopIfTrue="1">
      <formula>$AJ$173=4</formula>
    </cfRule>
  </conditionalFormatting>
  <conditionalFormatting sqref="AM174">
    <cfRule type="expression" dxfId="317" priority="596" stopIfTrue="1">
      <formula>$AM$173=5</formula>
    </cfRule>
    <cfRule type="expression" dxfId="316" priority="597" stopIfTrue="1">
      <formula>$AM$173=1</formula>
    </cfRule>
    <cfRule type="expression" dxfId="315" priority="614" stopIfTrue="1">
      <formula>$AM$173=4</formula>
    </cfRule>
  </conditionalFormatting>
  <conditionalFormatting sqref="AP174">
    <cfRule type="expression" dxfId="314" priority="593" stopIfTrue="1">
      <formula>$AP$173=5</formula>
    </cfRule>
    <cfRule type="expression" dxfId="313" priority="606" stopIfTrue="1">
      <formula>$AP$173=1</formula>
    </cfRule>
    <cfRule type="expression" dxfId="312" priority="613" stopIfTrue="1">
      <formula>$AP$173=4</formula>
    </cfRule>
  </conditionalFormatting>
  <conditionalFormatting sqref="AS174">
    <cfRule type="expression" dxfId="311" priority="590" stopIfTrue="1">
      <formula>$AS$173=5</formula>
    </cfRule>
    <cfRule type="expression" dxfId="310" priority="607" stopIfTrue="1">
      <formula>$AS$173=1</formula>
    </cfRule>
    <cfRule type="expression" dxfId="309" priority="612" stopIfTrue="1">
      <formula>$AS$173=4</formula>
    </cfRule>
  </conditionalFormatting>
  <conditionalFormatting sqref="AV174">
    <cfRule type="expression" dxfId="308" priority="587" stopIfTrue="1">
      <formula>$AV$173=5</formula>
    </cfRule>
    <cfRule type="expression" dxfId="307" priority="608" stopIfTrue="1">
      <formula>$AV$173=1</formula>
    </cfRule>
    <cfRule type="expression" dxfId="306" priority="611" stopIfTrue="1">
      <formula>$AV$173=4</formula>
    </cfRule>
  </conditionalFormatting>
  <conditionalFormatting sqref="AY174">
    <cfRule type="expression" dxfId="305" priority="584" stopIfTrue="1">
      <formula>$AY$173=5</formula>
    </cfRule>
    <cfRule type="expression" dxfId="304" priority="609" stopIfTrue="1">
      <formula>$AY$173=1</formula>
    </cfRule>
    <cfRule type="expression" dxfId="303" priority="610" stopIfTrue="1">
      <formula>$AY$173=4</formula>
    </cfRule>
  </conditionalFormatting>
  <conditionalFormatting sqref="AH170">
    <cfRule type="cellIs" dxfId="302" priority="860" stopIfTrue="1" operator="equal">
      <formula>26</formula>
    </cfRule>
  </conditionalFormatting>
  <conditionalFormatting sqref="AK170">
    <cfRule type="cellIs" dxfId="301" priority="855" stopIfTrue="1" operator="equal">
      <formula>26</formula>
    </cfRule>
  </conditionalFormatting>
  <conditionalFormatting sqref="AQ170">
    <cfRule type="cellIs" dxfId="300" priority="845" stopIfTrue="1" operator="equal">
      <formula>26</formula>
    </cfRule>
  </conditionalFormatting>
  <conditionalFormatting sqref="AT170">
    <cfRule type="cellIs" dxfId="299" priority="840" stopIfTrue="1" operator="equal">
      <formula>26</formula>
    </cfRule>
  </conditionalFormatting>
  <conditionalFormatting sqref="AW170">
    <cfRule type="cellIs" dxfId="298" priority="835" stopIfTrue="1" operator="equal">
      <formula>26</formula>
    </cfRule>
  </conditionalFormatting>
  <conditionalFormatting sqref="AZ170">
    <cfRule type="cellIs" dxfId="297" priority="830" stopIfTrue="1" operator="equal">
      <formula>26</formula>
    </cfRule>
  </conditionalFormatting>
  <conditionalFormatting sqref="AH173">
    <cfRule type="cellIs" dxfId="296" priority="825" stopIfTrue="1" operator="equal">
      <formula>26</formula>
    </cfRule>
  </conditionalFormatting>
  <conditionalFormatting sqref="AK173">
    <cfRule type="cellIs" dxfId="295" priority="820" stopIfTrue="1" operator="equal">
      <formula>26</formula>
    </cfRule>
  </conditionalFormatting>
  <conditionalFormatting sqref="AN173">
    <cfRule type="cellIs" dxfId="294" priority="815" stopIfTrue="1" operator="equal">
      <formula>26</formula>
    </cfRule>
  </conditionalFormatting>
  <conditionalFormatting sqref="AQ173">
    <cfRule type="cellIs" dxfId="293" priority="810" stopIfTrue="1" operator="equal">
      <formula>26</formula>
    </cfRule>
  </conditionalFormatting>
  <conditionalFormatting sqref="AT173">
    <cfRule type="cellIs" dxfId="292" priority="805" stopIfTrue="1" operator="equal">
      <formula>26</formula>
    </cfRule>
  </conditionalFormatting>
  <conditionalFormatting sqref="AW173">
    <cfRule type="cellIs" dxfId="291" priority="800" stopIfTrue="1" operator="equal">
      <formula>26</formula>
    </cfRule>
  </conditionalFormatting>
  <conditionalFormatting sqref="AZ173">
    <cfRule type="cellIs" dxfId="290" priority="795" stopIfTrue="1" operator="equal">
      <formula>26</formula>
    </cfRule>
  </conditionalFormatting>
  <conditionalFormatting sqref="AH176">
    <cfRule type="cellIs" dxfId="289" priority="755" stopIfTrue="1" operator="equal">
      <formula>26</formula>
    </cfRule>
  </conditionalFormatting>
  <conditionalFormatting sqref="AK176">
    <cfRule type="cellIs" dxfId="288" priority="750" stopIfTrue="1" operator="equal">
      <formula>26</formula>
    </cfRule>
  </conditionalFormatting>
  <conditionalFormatting sqref="AQ176">
    <cfRule type="cellIs" dxfId="287" priority="740" stopIfTrue="1" operator="equal">
      <formula>26</formula>
    </cfRule>
  </conditionalFormatting>
  <conditionalFormatting sqref="AT176">
    <cfRule type="cellIs" dxfId="286" priority="735" stopIfTrue="1" operator="equal">
      <formula>26</formula>
    </cfRule>
  </conditionalFormatting>
  <conditionalFormatting sqref="AW176">
    <cfRule type="cellIs" dxfId="285" priority="730" stopIfTrue="1" operator="equal">
      <formula>26</formula>
    </cfRule>
  </conditionalFormatting>
  <conditionalFormatting sqref="AZ176">
    <cfRule type="cellIs" dxfId="284" priority="725" stopIfTrue="1" operator="equal">
      <formula>26</formula>
    </cfRule>
  </conditionalFormatting>
  <conditionalFormatting sqref="AI168:AK169">
    <cfRule type="expression" dxfId="283" priority="704" stopIfTrue="1">
      <formula>$AI$167&gt;" "</formula>
    </cfRule>
  </conditionalFormatting>
  <conditionalFormatting sqref="AL168:AN169">
    <cfRule type="expression" dxfId="282" priority="700" stopIfTrue="1">
      <formula>$AL$167&gt;" "</formula>
    </cfRule>
  </conditionalFormatting>
  <conditionalFormatting sqref="AO168:AQ169">
    <cfRule type="expression" dxfId="281" priority="697" stopIfTrue="1">
      <formula>$AO$167&gt;" "</formula>
    </cfRule>
  </conditionalFormatting>
  <conditionalFormatting sqref="AR168:AT169">
    <cfRule type="expression" dxfId="280" priority="694" stopIfTrue="1">
      <formula>$AR$167&gt;" "</formula>
    </cfRule>
  </conditionalFormatting>
  <conditionalFormatting sqref="AU168:AW169">
    <cfRule type="expression" dxfId="279" priority="691" stopIfTrue="1">
      <formula>$AU$167&gt;" "</formula>
    </cfRule>
  </conditionalFormatting>
  <conditionalFormatting sqref="AX168:AZ169">
    <cfRule type="expression" dxfId="278" priority="688" stopIfTrue="1">
      <formula>$AX$167&gt;" "</formula>
    </cfRule>
  </conditionalFormatting>
  <conditionalFormatting sqref="AG168">
    <cfRule type="expression" dxfId="277" priority="708" stopIfTrue="1">
      <formula>#REF!=5</formula>
    </cfRule>
    <cfRule type="expression" dxfId="276" priority="709" stopIfTrue="1">
      <formula>#REF!=1</formula>
    </cfRule>
    <cfRule type="expression" dxfId="275" priority="710" stopIfTrue="1">
      <formula>#REF!=4</formula>
    </cfRule>
  </conditionalFormatting>
  <conditionalFormatting sqref="AJ168">
    <cfRule type="expression" dxfId="274" priority="705" stopIfTrue="1">
      <formula>$AJ$167=5</formula>
    </cfRule>
    <cfRule type="expression" dxfId="273" priority="706" stopIfTrue="1">
      <formula>$AJ$167=1</formula>
    </cfRule>
    <cfRule type="expression" dxfId="272" priority="720" stopIfTrue="1">
      <formula>$AJ$167=4</formula>
    </cfRule>
  </conditionalFormatting>
  <conditionalFormatting sqref="AM168">
    <cfRule type="expression" dxfId="271" priority="701" stopIfTrue="1">
      <formula>$AM$167=5</formula>
    </cfRule>
    <cfRule type="expression" dxfId="270" priority="702" stopIfTrue="1">
      <formula>$AM$167=1</formula>
    </cfRule>
    <cfRule type="expression" dxfId="269" priority="719" stopIfTrue="1">
      <formula>$AM$167=4</formula>
    </cfRule>
  </conditionalFormatting>
  <conditionalFormatting sqref="AP168">
    <cfRule type="expression" dxfId="268" priority="698" stopIfTrue="1">
      <formula>$AP$167=5</formula>
    </cfRule>
    <cfRule type="expression" dxfId="267" priority="711" stopIfTrue="1">
      <formula>$AP$167=1</formula>
    </cfRule>
    <cfRule type="expression" dxfId="266" priority="718" stopIfTrue="1">
      <formula>$AP$167=4</formula>
    </cfRule>
  </conditionalFormatting>
  <conditionalFormatting sqref="AS168">
    <cfRule type="expression" dxfId="265" priority="695" stopIfTrue="1">
      <formula>$AS$167=5</formula>
    </cfRule>
    <cfRule type="expression" dxfId="264" priority="712" stopIfTrue="1">
      <formula>$AS$167=1</formula>
    </cfRule>
    <cfRule type="expression" dxfId="263" priority="717" stopIfTrue="1">
      <formula>$AS$167=4</formula>
    </cfRule>
  </conditionalFormatting>
  <conditionalFormatting sqref="AV168">
    <cfRule type="expression" dxfId="262" priority="692" stopIfTrue="1">
      <formula>$AV$167=5</formula>
    </cfRule>
    <cfRule type="expression" dxfId="261" priority="713" stopIfTrue="1">
      <formula>$AV$167=1</formula>
    </cfRule>
    <cfRule type="expression" dxfId="260" priority="716" stopIfTrue="1">
      <formula>$AV$167=4</formula>
    </cfRule>
  </conditionalFormatting>
  <conditionalFormatting sqref="AY168">
    <cfRule type="expression" dxfId="259" priority="689" stopIfTrue="1">
      <formula>$AY$167=5</formula>
    </cfRule>
    <cfRule type="expression" dxfId="258" priority="714" stopIfTrue="1">
      <formula>$AY$167=1</formula>
    </cfRule>
    <cfRule type="expression" dxfId="257" priority="715" stopIfTrue="1">
      <formula>$AY$167=4</formula>
    </cfRule>
  </conditionalFormatting>
  <conditionalFormatting sqref="AG171">
    <cfRule type="expression" dxfId="256" priority="674" stopIfTrue="1">
      <formula>$AG$170=5</formula>
    </cfRule>
    <cfRule type="expression" dxfId="255" priority="675" stopIfTrue="1">
      <formula>$AG$170=1</formula>
    </cfRule>
    <cfRule type="expression" dxfId="254" priority="686" stopIfTrue="1">
      <formula>$AG$170=4</formula>
    </cfRule>
  </conditionalFormatting>
  <conditionalFormatting sqref="AF174:AH175">
    <cfRule type="expression" dxfId="253" priority="603" stopIfTrue="1">
      <formula>$AF$173&gt;" "</formula>
    </cfRule>
  </conditionalFormatting>
  <conditionalFormatting sqref="AI174:AK175">
    <cfRule type="expression" dxfId="252" priority="599" stopIfTrue="1">
      <formula>$AI$173&gt;" "</formula>
    </cfRule>
  </conditionalFormatting>
  <conditionalFormatting sqref="AL174:AN175">
    <cfRule type="expression" dxfId="251" priority="595" stopIfTrue="1">
      <formula>$AL$173&gt;" "</formula>
    </cfRule>
  </conditionalFormatting>
  <conditionalFormatting sqref="AO174:AQ175">
    <cfRule type="expression" dxfId="250" priority="592" stopIfTrue="1">
      <formula>$AO$173&gt;" "</formula>
    </cfRule>
  </conditionalFormatting>
  <conditionalFormatting sqref="AR174:AT175">
    <cfRule type="expression" dxfId="249" priority="589" stopIfTrue="1">
      <formula>$AR$173&gt;" "</formula>
    </cfRule>
  </conditionalFormatting>
  <conditionalFormatting sqref="AU174:AW175">
    <cfRule type="expression" dxfId="248" priority="586" stopIfTrue="1">
      <formula>$AU$173&gt;" "</formula>
    </cfRule>
  </conditionalFormatting>
  <conditionalFormatting sqref="AI165">
    <cfRule type="expression" dxfId="247" priority="574" stopIfTrue="1">
      <formula>$AI$164&gt;" "</formula>
    </cfRule>
  </conditionalFormatting>
  <conditionalFormatting sqref="AI171:AK172">
    <cfRule type="expression" dxfId="246" priority="535" stopIfTrue="1">
      <formula>$AI$170&gt;" "</formula>
    </cfRule>
  </conditionalFormatting>
  <conditionalFormatting sqref="AJ171">
    <cfRule type="expression" dxfId="245" priority="536" stopIfTrue="1">
      <formula>$AJ$170=5</formula>
    </cfRule>
    <cfRule type="expression" dxfId="244" priority="537" stopIfTrue="1">
      <formula>$AJ$170=1</formula>
    </cfRule>
    <cfRule type="expression" dxfId="243" priority="538" stopIfTrue="1">
      <formula>$AJ$170=4</formula>
    </cfRule>
  </conditionalFormatting>
  <conditionalFormatting sqref="AS171">
    <cfRule type="expression" dxfId="242" priority="518" stopIfTrue="1">
      <formula>$AS$170=5</formula>
    </cfRule>
    <cfRule type="expression" dxfId="241" priority="519" stopIfTrue="1">
      <formula>$AS$170=1</formula>
    </cfRule>
    <cfRule type="expression" dxfId="240" priority="520" stopIfTrue="1">
      <formula>$AS$170=4</formula>
    </cfRule>
  </conditionalFormatting>
  <conditionalFormatting sqref="AU171:AW172">
    <cfRule type="expression" dxfId="239" priority="510" stopIfTrue="1">
      <formula>$AU$170&gt;" "</formula>
    </cfRule>
  </conditionalFormatting>
  <conditionalFormatting sqref="AV171">
    <cfRule type="expression" dxfId="238" priority="511" stopIfTrue="1">
      <formula>$AV$170=5</formula>
    </cfRule>
    <cfRule type="expression" dxfId="237" priority="512" stopIfTrue="1">
      <formula>$AV$170=1</formula>
    </cfRule>
    <cfRule type="expression" dxfId="236" priority="513" stopIfTrue="1">
      <formula>$AV$170=4</formula>
    </cfRule>
  </conditionalFormatting>
  <conditionalFormatting sqref="AX171:AZ172">
    <cfRule type="expression" dxfId="235" priority="499" stopIfTrue="1">
      <formula>$AX$170&gt;" "</formula>
    </cfRule>
  </conditionalFormatting>
  <conditionalFormatting sqref="AY171">
    <cfRule type="expression" dxfId="234" priority="500" stopIfTrue="1">
      <formula>$AY$170=5</formula>
    </cfRule>
    <cfRule type="expression" dxfId="233" priority="501" stopIfTrue="1">
      <formula>$AY$170=1</formula>
    </cfRule>
    <cfRule type="expression" dxfId="232" priority="502" stopIfTrue="1">
      <formula>$AY$170=4</formula>
    </cfRule>
  </conditionalFormatting>
  <conditionalFormatting sqref="AL171:AN172">
    <cfRule type="expression" dxfId="231" priority="494" stopIfTrue="1">
      <formula>$AL$170&gt;" "</formula>
    </cfRule>
  </conditionalFormatting>
  <conditionalFormatting sqref="AO171:AQ172">
    <cfRule type="expression" dxfId="230" priority="485" stopIfTrue="1">
      <formula>$AO$170&gt;" "</formula>
    </cfRule>
  </conditionalFormatting>
  <conditionalFormatting sqref="AR171:AT172">
    <cfRule type="expression" dxfId="229" priority="481" stopIfTrue="1">
      <formula>$AR$170&gt;" "</formula>
    </cfRule>
  </conditionalFormatting>
  <conditionalFormatting sqref="AF165:AH166">
    <cfRule type="expression" dxfId="228" priority="480" stopIfTrue="1">
      <formula>$AF$164&gt;" "</formula>
    </cfRule>
  </conditionalFormatting>
  <conditionalFormatting sqref="AM171 AP171">
    <cfRule type="expression" dxfId="227" priority="1850" stopIfTrue="1">
      <formula>AM$170=5</formula>
    </cfRule>
    <cfRule type="expression" dxfId="226" priority="1851" stopIfTrue="1">
      <formula>AM$170=1</formula>
    </cfRule>
    <cfRule type="expression" dxfId="225" priority="1852" stopIfTrue="1">
      <formula>AM$170=4</formula>
    </cfRule>
  </conditionalFormatting>
  <conditionalFormatting sqref="AF168:AH169">
    <cfRule type="expression" dxfId="224" priority="479" stopIfTrue="1">
      <formula>$AF$167&gt;" "</formula>
    </cfRule>
  </conditionalFormatting>
  <conditionalFormatting sqref="AN179">
    <cfRule type="cellIs" dxfId="223" priority="432" stopIfTrue="1" operator="equal">
      <formula>26</formula>
    </cfRule>
  </conditionalFormatting>
  <conditionalFormatting sqref="AH179">
    <cfRule type="cellIs" dxfId="222" priority="442" stopIfTrue="1" operator="equal">
      <formula>26</formula>
    </cfRule>
  </conditionalFormatting>
  <conditionalFormatting sqref="AK179">
    <cfRule type="cellIs" dxfId="221" priority="437" stopIfTrue="1" operator="equal">
      <formula>26</formula>
    </cfRule>
  </conditionalFormatting>
  <conditionalFormatting sqref="AQ179">
    <cfRule type="cellIs" dxfId="220" priority="427" stopIfTrue="1" operator="equal">
      <formula>26</formula>
    </cfRule>
  </conditionalFormatting>
  <conditionalFormatting sqref="AT179">
    <cfRule type="cellIs" dxfId="219" priority="422" stopIfTrue="1" operator="equal">
      <formula>26</formula>
    </cfRule>
  </conditionalFormatting>
  <conditionalFormatting sqref="AW179">
    <cfRule type="cellIs" dxfId="218" priority="417" stopIfTrue="1" operator="equal">
      <formula>26</formula>
    </cfRule>
  </conditionalFormatting>
  <conditionalFormatting sqref="AZ179">
    <cfRule type="cellIs" dxfId="217" priority="412" stopIfTrue="1" operator="equal">
      <formula>26</formula>
    </cfRule>
  </conditionalFormatting>
  <conditionalFormatting sqref="AX177:AZ178">
    <cfRule type="expression" dxfId="216" priority="381" stopIfTrue="1">
      <formula>$AX$176&gt;" "</formula>
    </cfRule>
  </conditionalFormatting>
  <conditionalFormatting sqref="AG177">
    <cfRule type="expression" dxfId="215" priority="396" stopIfTrue="1">
      <formula>$AG$176=5</formula>
    </cfRule>
    <cfRule type="expression" dxfId="214" priority="397" stopIfTrue="1">
      <formula>$AG$176=1</formula>
    </cfRule>
    <cfRule type="expression" dxfId="213" priority="408" stopIfTrue="1">
      <formula>$AG$176=4</formula>
    </cfRule>
  </conditionalFormatting>
  <conditionalFormatting sqref="AJ177">
    <cfRule type="expression" dxfId="212" priority="393" stopIfTrue="1">
      <formula>$AJ$176=5</formula>
    </cfRule>
    <cfRule type="expression" dxfId="211" priority="394" stopIfTrue="1">
      <formula>$AJ$176=1</formula>
    </cfRule>
    <cfRule type="expression" dxfId="210" priority="407" stopIfTrue="1">
      <formula>$AJ$176=4</formula>
    </cfRule>
  </conditionalFormatting>
  <conditionalFormatting sqref="AM177">
    <cfRule type="expression" dxfId="209" priority="390" stopIfTrue="1">
      <formula>$AM$176=5</formula>
    </cfRule>
    <cfRule type="expression" dxfId="208" priority="391" stopIfTrue="1">
      <formula>$AM$176=1</formula>
    </cfRule>
    <cfRule type="expression" dxfId="207" priority="406" stopIfTrue="1">
      <formula>$AM$176=4</formula>
    </cfRule>
  </conditionalFormatting>
  <conditionalFormatting sqref="AP177">
    <cfRule type="expression" dxfId="206" priority="388" stopIfTrue="1">
      <formula>$AP$176=5</formula>
    </cfRule>
    <cfRule type="expression" dxfId="205" priority="398" stopIfTrue="1">
      <formula>$AP$176=1</formula>
    </cfRule>
    <cfRule type="expression" dxfId="204" priority="405" stopIfTrue="1">
      <formula>$AP$176=4</formula>
    </cfRule>
  </conditionalFormatting>
  <conditionalFormatting sqref="AS177">
    <cfRule type="expression" dxfId="203" priority="386" stopIfTrue="1">
      <formula>$AS$176=5</formula>
    </cfRule>
    <cfRule type="expression" dxfId="202" priority="399" stopIfTrue="1">
      <formula>$AS$176=1</formula>
    </cfRule>
    <cfRule type="expression" dxfId="201" priority="404" stopIfTrue="1">
      <formula>$AS$176=4</formula>
    </cfRule>
  </conditionalFormatting>
  <conditionalFormatting sqref="AV177">
    <cfRule type="expression" dxfId="200" priority="384" stopIfTrue="1">
      <formula>$AV$176=5</formula>
    </cfRule>
    <cfRule type="expression" dxfId="199" priority="400" stopIfTrue="1">
      <formula>$AV$176=1</formula>
    </cfRule>
    <cfRule type="expression" dxfId="198" priority="403" stopIfTrue="1">
      <formula>$AV$176=4</formula>
    </cfRule>
  </conditionalFormatting>
  <conditionalFormatting sqref="AY177">
    <cfRule type="expression" dxfId="197" priority="382" stopIfTrue="1">
      <formula>$AY$176=5</formula>
    </cfRule>
    <cfRule type="expression" dxfId="196" priority="401" stopIfTrue="1">
      <formula>$AY$176=1</formula>
    </cfRule>
    <cfRule type="expression" dxfId="195" priority="402" stopIfTrue="1">
      <formula>$AY$176=4</formula>
    </cfRule>
  </conditionalFormatting>
  <conditionalFormatting sqref="AF177:AH178">
    <cfRule type="expression" dxfId="194" priority="395" stopIfTrue="1">
      <formula>$AF$176&gt;" "</formula>
    </cfRule>
  </conditionalFormatting>
  <conditionalFormatting sqref="AI177:AK178">
    <cfRule type="expression" dxfId="193" priority="392" stopIfTrue="1">
      <formula>$AI$176&gt;" "</formula>
    </cfRule>
  </conditionalFormatting>
  <conditionalFormatting sqref="AL177:AN178">
    <cfRule type="expression" dxfId="192" priority="389" stopIfTrue="1">
      <formula>$AL$176&gt;" "</formula>
    </cfRule>
  </conditionalFormatting>
  <conditionalFormatting sqref="AO177:AQ178">
    <cfRule type="expression" dxfId="191" priority="387" stopIfTrue="1">
      <formula>$AO$176&gt;" "</formula>
    </cfRule>
  </conditionalFormatting>
  <conditionalFormatting sqref="AR177:AT178">
    <cfRule type="expression" dxfId="190" priority="385" stopIfTrue="1">
      <formula>$AR$176&gt;" "</formula>
    </cfRule>
  </conditionalFormatting>
  <conditionalFormatting sqref="AU177:AW178">
    <cfRule type="expression" dxfId="189" priority="383" stopIfTrue="1">
      <formula>$AU$176&gt;" "</formula>
    </cfRule>
  </conditionalFormatting>
  <conditionalFormatting sqref="AX180:AZ181">
    <cfRule type="expression" dxfId="188" priority="325" stopIfTrue="1">
      <formula>$AX$179&gt;" "</formula>
    </cfRule>
  </conditionalFormatting>
  <conditionalFormatting sqref="AG180">
    <cfRule type="expression" dxfId="187" priority="340" stopIfTrue="1">
      <formula>$AG$179=5</formula>
    </cfRule>
    <cfRule type="expression" dxfId="186" priority="341" stopIfTrue="1">
      <formula>$AG$179=1</formula>
    </cfRule>
    <cfRule type="expression" dxfId="185" priority="352" stopIfTrue="1">
      <formula>$AG$179=4</formula>
    </cfRule>
  </conditionalFormatting>
  <conditionalFormatting sqref="AJ180">
    <cfRule type="expression" dxfId="184" priority="337" stopIfTrue="1">
      <formula>$AJ$179=5</formula>
    </cfRule>
    <cfRule type="expression" dxfId="183" priority="338" stopIfTrue="1">
      <formula>$AJ$179=1</formula>
    </cfRule>
    <cfRule type="expression" dxfId="182" priority="351" stopIfTrue="1">
      <formula>$AJ$179=4</formula>
    </cfRule>
  </conditionalFormatting>
  <conditionalFormatting sqref="AM180">
    <cfRule type="expression" dxfId="181" priority="334" stopIfTrue="1">
      <formula>$AM$179=5</formula>
    </cfRule>
    <cfRule type="expression" dxfId="180" priority="335" stopIfTrue="1">
      <formula>$AM$179=1</formula>
    </cfRule>
    <cfRule type="expression" dxfId="179" priority="350" stopIfTrue="1">
      <formula>$AM$179=4</formula>
    </cfRule>
  </conditionalFormatting>
  <conditionalFormatting sqref="AP180">
    <cfRule type="expression" dxfId="178" priority="332" stopIfTrue="1">
      <formula>$AP$179=5</formula>
    </cfRule>
    <cfRule type="expression" dxfId="177" priority="342" stopIfTrue="1">
      <formula>$AP$179=1</formula>
    </cfRule>
    <cfRule type="expression" dxfId="176" priority="349" stopIfTrue="1">
      <formula>$AP$179=4</formula>
    </cfRule>
  </conditionalFormatting>
  <conditionalFormatting sqref="AS180">
    <cfRule type="expression" dxfId="175" priority="330" stopIfTrue="1">
      <formula>$AS$179=5</formula>
    </cfRule>
    <cfRule type="expression" dxfId="174" priority="343" stopIfTrue="1">
      <formula>$AS$179=1</formula>
    </cfRule>
    <cfRule type="expression" dxfId="173" priority="348" stopIfTrue="1">
      <formula>$AS$179=4</formula>
    </cfRule>
  </conditionalFormatting>
  <conditionalFormatting sqref="AV180">
    <cfRule type="expression" dxfId="172" priority="328" stopIfTrue="1">
      <formula>$AV$179=5</formula>
    </cfRule>
    <cfRule type="expression" dxfId="171" priority="344" stopIfTrue="1">
      <formula>$AV$179=1</formula>
    </cfRule>
    <cfRule type="expression" dxfId="170" priority="347" stopIfTrue="1">
      <formula>$AV$179=4</formula>
    </cfRule>
  </conditionalFormatting>
  <conditionalFormatting sqref="AY180">
    <cfRule type="expression" dxfId="169" priority="326" stopIfTrue="1">
      <formula>$AY$179=5</formula>
    </cfRule>
    <cfRule type="expression" dxfId="168" priority="345" stopIfTrue="1">
      <formula>$AY$179=1</formula>
    </cfRule>
    <cfRule type="expression" dxfId="167" priority="346" stopIfTrue="1">
      <formula>$AY$179=4</formula>
    </cfRule>
  </conditionalFormatting>
  <conditionalFormatting sqref="AF180:AH181">
    <cfRule type="expression" dxfId="166" priority="339" stopIfTrue="1">
      <formula>$AF$179&gt;" "</formula>
    </cfRule>
  </conditionalFormatting>
  <conditionalFormatting sqref="AI180:AK181">
    <cfRule type="expression" dxfId="165" priority="336" stopIfTrue="1">
      <formula>$AI$179&gt;" "</formula>
    </cfRule>
  </conditionalFormatting>
  <conditionalFormatting sqref="AL180:AN181">
    <cfRule type="expression" dxfId="164" priority="333" stopIfTrue="1">
      <formula>$AL$179&gt;" "</formula>
    </cfRule>
  </conditionalFormatting>
  <conditionalFormatting sqref="AR180:AT181">
    <cfRule type="expression" dxfId="163" priority="329" stopIfTrue="1">
      <formula>$AR$179&gt;" "</formula>
    </cfRule>
  </conditionalFormatting>
  <conditionalFormatting sqref="AU180:AW181">
    <cfRule type="expression" dxfId="162" priority="327" stopIfTrue="1">
      <formula>$AU$179&gt;" "</formula>
    </cfRule>
  </conditionalFormatting>
  <conditionalFormatting sqref="AN182">
    <cfRule type="cellIs" dxfId="161" priority="322" stopIfTrue="1" operator="equal">
      <formula>26</formula>
    </cfRule>
  </conditionalFormatting>
  <conditionalFormatting sqref="AH182">
    <cfRule type="cellIs" dxfId="160" priority="324" stopIfTrue="1" operator="equal">
      <formula>26</formula>
    </cfRule>
  </conditionalFormatting>
  <conditionalFormatting sqref="AK182">
    <cfRule type="cellIs" dxfId="159" priority="323" stopIfTrue="1" operator="equal">
      <formula>26</formula>
    </cfRule>
  </conditionalFormatting>
  <conditionalFormatting sqref="AQ182">
    <cfRule type="cellIs" dxfId="158" priority="321" stopIfTrue="1" operator="equal">
      <formula>26</formula>
    </cfRule>
  </conditionalFormatting>
  <conditionalFormatting sqref="AT182">
    <cfRule type="cellIs" dxfId="157" priority="320" stopIfTrue="1" operator="equal">
      <formula>26</formula>
    </cfRule>
  </conditionalFormatting>
  <conditionalFormatting sqref="AW182">
    <cfRule type="cellIs" dxfId="156" priority="319" stopIfTrue="1" operator="equal">
      <formula>26</formula>
    </cfRule>
  </conditionalFormatting>
  <conditionalFormatting sqref="AZ182">
    <cfRule type="cellIs" dxfId="155" priority="318" stopIfTrue="1" operator="equal">
      <formula>26</formula>
    </cfRule>
  </conditionalFormatting>
  <conditionalFormatting sqref="AX183:AZ184">
    <cfRule type="expression" dxfId="154" priority="290" stopIfTrue="1">
      <formula>$AX$179&gt;" "</formula>
    </cfRule>
  </conditionalFormatting>
  <conditionalFormatting sqref="AG183">
    <cfRule type="expression" dxfId="153" priority="305" stopIfTrue="1">
      <formula>$AG$179=5</formula>
    </cfRule>
    <cfRule type="expression" dxfId="152" priority="306" stopIfTrue="1">
      <formula>$AG$179=1</formula>
    </cfRule>
    <cfRule type="expression" dxfId="151" priority="317" stopIfTrue="1">
      <formula>$AG$179=4</formula>
    </cfRule>
  </conditionalFormatting>
  <conditionalFormatting sqref="AJ183">
    <cfRule type="expression" dxfId="150" priority="302" stopIfTrue="1">
      <formula>$AJ$179=5</formula>
    </cfRule>
    <cfRule type="expression" dxfId="149" priority="303" stopIfTrue="1">
      <formula>$AJ$179=1</formula>
    </cfRule>
    <cfRule type="expression" dxfId="148" priority="316" stopIfTrue="1">
      <formula>$AJ$179=4</formula>
    </cfRule>
  </conditionalFormatting>
  <conditionalFormatting sqref="AM183">
    <cfRule type="expression" dxfId="147" priority="299" stopIfTrue="1">
      <formula>$AM$179=5</formula>
    </cfRule>
    <cfRule type="expression" dxfId="146" priority="300" stopIfTrue="1">
      <formula>$AM$179=1</formula>
    </cfRule>
    <cfRule type="expression" dxfId="145" priority="315" stopIfTrue="1">
      <formula>$AM$179=4</formula>
    </cfRule>
  </conditionalFormatting>
  <conditionalFormatting sqref="AP183">
    <cfRule type="expression" dxfId="144" priority="297" stopIfTrue="1">
      <formula>$AP$179=5</formula>
    </cfRule>
    <cfRule type="expression" dxfId="143" priority="307" stopIfTrue="1">
      <formula>$AP$179=1</formula>
    </cfRule>
    <cfRule type="expression" dxfId="142" priority="314" stopIfTrue="1">
      <formula>$AP$179=4</formula>
    </cfRule>
  </conditionalFormatting>
  <conditionalFormatting sqref="AS183">
    <cfRule type="expression" dxfId="141" priority="295" stopIfTrue="1">
      <formula>$AS$179=5</formula>
    </cfRule>
    <cfRule type="expression" dxfId="140" priority="308" stopIfTrue="1">
      <formula>$AS$179=1</formula>
    </cfRule>
    <cfRule type="expression" dxfId="139" priority="313" stopIfTrue="1">
      <formula>$AS$179=4</formula>
    </cfRule>
  </conditionalFormatting>
  <conditionalFormatting sqref="AV183">
    <cfRule type="expression" dxfId="138" priority="293" stopIfTrue="1">
      <formula>$AV$179=5</formula>
    </cfRule>
    <cfRule type="expression" dxfId="137" priority="309" stopIfTrue="1">
      <formula>$AV$179=1</formula>
    </cfRule>
    <cfRule type="expression" dxfId="136" priority="312" stopIfTrue="1">
      <formula>$AV$179=4</formula>
    </cfRule>
  </conditionalFormatting>
  <conditionalFormatting sqref="AY183">
    <cfRule type="expression" dxfId="135" priority="291" stopIfTrue="1">
      <formula>$AY$179=5</formula>
    </cfRule>
    <cfRule type="expression" dxfId="134" priority="310" stopIfTrue="1">
      <formula>$AY$179=1</formula>
    </cfRule>
    <cfRule type="expression" dxfId="133" priority="311" stopIfTrue="1">
      <formula>$AY$179=4</formula>
    </cfRule>
  </conditionalFormatting>
  <conditionalFormatting sqref="AF183:AH184">
    <cfRule type="expression" dxfId="132" priority="304" stopIfTrue="1">
      <formula>$AF$179&gt;" "</formula>
    </cfRule>
  </conditionalFormatting>
  <conditionalFormatting sqref="AI183:AK184">
    <cfRule type="expression" dxfId="131" priority="301" stopIfTrue="1">
      <formula>$AI$179&gt;" "</formula>
    </cfRule>
  </conditionalFormatting>
  <conditionalFormatting sqref="AL183:AN184">
    <cfRule type="expression" dxfId="130" priority="298" stopIfTrue="1">
      <formula>$AL$179&gt;" "</formula>
    </cfRule>
  </conditionalFormatting>
  <conditionalFormatting sqref="AR183:AT184">
    <cfRule type="expression" dxfId="129" priority="294" stopIfTrue="1">
      <formula>$AR$179&gt;" "</formula>
    </cfRule>
  </conditionalFormatting>
  <conditionalFormatting sqref="AU183:AW184">
    <cfRule type="expression" dxfId="128" priority="292" stopIfTrue="1">
      <formula>$AU$179&gt;" "</formula>
    </cfRule>
  </conditionalFormatting>
  <conditionalFormatting sqref="AN185">
    <cfRule type="cellIs" dxfId="127" priority="287" stopIfTrue="1" operator="equal">
      <formula>26</formula>
    </cfRule>
  </conditionalFormatting>
  <conditionalFormatting sqref="AQ185:AQ187">
    <cfRule type="cellIs" dxfId="126" priority="286" stopIfTrue="1" operator="equal">
      <formula>26</formula>
    </cfRule>
  </conditionalFormatting>
  <conditionalFormatting sqref="AT185:AT187">
    <cfRule type="cellIs" dxfId="125" priority="285" stopIfTrue="1" operator="equal">
      <formula>26</formula>
    </cfRule>
  </conditionalFormatting>
  <conditionalFormatting sqref="AW185:AW187">
    <cfRule type="cellIs" dxfId="124" priority="284" stopIfTrue="1" operator="equal">
      <formula>26</formula>
    </cfRule>
  </conditionalFormatting>
  <conditionalFormatting sqref="AZ185:AZ187">
    <cfRule type="cellIs" dxfId="123" priority="283" stopIfTrue="1" operator="equal">
      <formula>26</formula>
    </cfRule>
  </conditionalFormatting>
  <conditionalFormatting sqref="AN191">
    <cfRule type="cellIs" dxfId="122" priority="252" stopIfTrue="1" operator="equal">
      <formula>26</formula>
    </cfRule>
  </conditionalFormatting>
  <conditionalFormatting sqref="AQ191">
    <cfRule type="cellIs" dxfId="121" priority="251" stopIfTrue="1" operator="equal">
      <formula>26</formula>
    </cfRule>
  </conditionalFormatting>
  <conditionalFormatting sqref="AT191">
    <cfRule type="cellIs" dxfId="120" priority="250" stopIfTrue="1" operator="equal">
      <formula>26</formula>
    </cfRule>
  </conditionalFormatting>
  <conditionalFormatting sqref="AW191">
    <cfRule type="cellIs" dxfId="119" priority="249" stopIfTrue="1" operator="equal">
      <formula>26</formula>
    </cfRule>
  </conditionalFormatting>
  <conditionalFormatting sqref="AZ191">
    <cfRule type="cellIs" dxfId="118" priority="248" stopIfTrue="1" operator="equal">
      <formula>26</formula>
    </cfRule>
  </conditionalFormatting>
  <conditionalFormatting sqref="AN194">
    <cfRule type="cellIs" dxfId="117" priority="182" stopIfTrue="1" operator="equal">
      <formula>26</formula>
    </cfRule>
  </conditionalFormatting>
  <conditionalFormatting sqref="AQ194">
    <cfRule type="cellIs" dxfId="116" priority="181" stopIfTrue="1" operator="equal">
      <formula>26</formula>
    </cfRule>
  </conditionalFormatting>
  <conditionalFormatting sqref="AT194">
    <cfRule type="cellIs" dxfId="115" priority="180" stopIfTrue="1" operator="equal">
      <formula>26</formula>
    </cfRule>
  </conditionalFormatting>
  <conditionalFormatting sqref="AW194">
    <cfRule type="cellIs" dxfId="114" priority="179" stopIfTrue="1" operator="equal">
      <formula>26</formula>
    </cfRule>
  </conditionalFormatting>
  <conditionalFormatting sqref="AZ194">
    <cfRule type="cellIs" dxfId="113" priority="178" stopIfTrue="1" operator="equal">
      <formula>26</formula>
    </cfRule>
  </conditionalFormatting>
  <conditionalFormatting sqref="AX186:AZ187">
    <cfRule type="expression" dxfId="112" priority="122" stopIfTrue="1">
      <formula>$AX$179&gt;" "</formula>
    </cfRule>
  </conditionalFormatting>
  <conditionalFormatting sqref="AG186">
    <cfRule type="expression" dxfId="111" priority="137" stopIfTrue="1">
      <formula>$AG$179=5</formula>
    </cfRule>
    <cfRule type="expression" dxfId="110" priority="138" stopIfTrue="1">
      <formula>$AG$179=1</formula>
    </cfRule>
    <cfRule type="expression" dxfId="109" priority="149" stopIfTrue="1">
      <formula>$AG$179=4</formula>
    </cfRule>
  </conditionalFormatting>
  <conditionalFormatting sqref="AJ186">
    <cfRule type="expression" dxfId="108" priority="134" stopIfTrue="1">
      <formula>$AJ$179=5</formula>
    </cfRule>
    <cfRule type="expression" dxfId="107" priority="135" stopIfTrue="1">
      <formula>$AJ$179=1</formula>
    </cfRule>
    <cfRule type="expression" dxfId="106" priority="148" stopIfTrue="1">
      <formula>$AJ$179=4</formula>
    </cfRule>
  </conditionalFormatting>
  <conditionalFormatting sqref="AM186">
    <cfRule type="expression" dxfId="105" priority="131" stopIfTrue="1">
      <formula>$AM$179=5</formula>
    </cfRule>
    <cfRule type="expression" dxfId="104" priority="132" stopIfTrue="1">
      <formula>$AM$179=1</formula>
    </cfRule>
    <cfRule type="expression" dxfId="103" priority="147" stopIfTrue="1">
      <formula>$AM$179=4</formula>
    </cfRule>
  </conditionalFormatting>
  <conditionalFormatting sqref="AP186">
    <cfRule type="expression" dxfId="102" priority="129" stopIfTrue="1">
      <formula>$AP$179=5</formula>
    </cfRule>
    <cfRule type="expression" dxfId="101" priority="139" stopIfTrue="1">
      <formula>$AP$179=1</formula>
    </cfRule>
    <cfRule type="expression" dxfId="100" priority="146" stopIfTrue="1">
      <formula>$AP$179=4</formula>
    </cfRule>
  </conditionalFormatting>
  <conditionalFormatting sqref="AS186">
    <cfRule type="expression" dxfId="99" priority="127" stopIfTrue="1">
      <formula>$AS$179=5</formula>
    </cfRule>
    <cfRule type="expression" dxfId="98" priority="140" stopIfTrue="1">
      <formula>$AS$179=1</formula>
    </cfRule>
    <cfRule type="expression" dxfId="97" priority="145" stopIfTrue="1">
      <formula>$AS$179=4</formula>
    </cfRule>
  </conditionalFormatting>
  <conditionalFormatting sqref="AV186">
    <cfRule type="expression" dxfId="96" priority="125" stopIfTrue="1">
      <formula>$AV$179=5</formula>
    </cfRule>
    <cfRule type="expression" dxfId="95" priority="141" stopIfTrue="1">
      <formula>$AV$179=1</formula>
    </cfRule>
    <cfRule type="expression" dxfId="94" priority="144" stopIfTrue="1">
      <formula>$AV$179=4</formula>
    </cfRule>
  </conditionalFormatting>
  <conditionalFormatting sqref="AY186">
    <cfRule type="expression" dxfId="93" priority="123" stopIfTrue="1">
      <formula>$AY$179=5</formula>
    </cfRule>
    <cfRule type="expression" dxfId="92" priority="142" stopIfTrue="1">
      <formula>$AY$179=1</formula>
    </cfRule>
    <cfRule type="expression" dxfId="91" priority="143" stopIfTrue="1">
      <formula>$AY$179=4</formula>
    </cfRule>
  </conditionalFormatting>
  <conditionalFormatting sqref="AF186:AH187">
    <cfRule type="expression" dxfId="90" priority="136" stopIfTrue="1">
      <formula>$AF$179&gt;" "</formula>
    </cfRule>
  </conditionalFormatting>
  <conditionalFormatting sqref="AI186:AK187">
    <cfRule type="expression" dxfId="89" priority="133" stopIfTrue="1">
      <formula>$AI$179&gt;" "</formula>
    </cfRule>
  </conditionalFormatting>
  <conditionalFormatting sqref="AL186:AN187">
    <cfRule type="expression" dxfId="88" priority="130" stopIfTrue="1">
      <formula>$AL$179&gt;" "</formula>
    </cfRule>
  </conditionalFormatting>
  <conditionalFormatting sqref="AR186:AT187">
    <cfRule type="expression" dxfId="87" priority="126" stopIfTrue="1">
      <formula>$AR$179&gt;" "</formula>
    </cfRule>
  </conditionalFormatting>
  <conditionalFormatting sqref="AU186:AW187">
    <cfRule type="expression" dxfId="86" priority="124" stopIfTrue="1">
      <formula>$AU$179&gt;" "</formula>
    </cfRule>
  </conditionalFormatting>
  <conditionalFormatting sqref="AX192:AZ193">
    <cfRule type="expression" dxfId="85" priority="94" stopIfTrue="1">
      <formula>$AX$179&gt;" "</formula>
    </cfRule>
  </conditionalFormatting>
  <conditionalFormatting sqref="AG192">
    <cfRule type="expression" dxfId="84" priority="109" stopIfTrue="1">
      <formula>$AG$179=5</formula>
    </cfRule>
    <cfRule type="expression" dxfId="83" priority="110" stopIfTrue="1">
      <formula>$AG$179=1</formula>
    </cfRule>
    <cfRule type="expression" dxfId="82" priority="121" stopIfTrue="1">
      <formula>$AG$179=4</formula>
    </cfRule>
  </conditionalFormatting>
  <conditionalFormatting sqref="AJ192">
    <cfRule type="expression" dxfId="81" priority="106" stopIfTrue="1">
      <formula>$AJ$179=5</formula>
    </cfRule>
    <cfRule type="expression" dxfId="80" priority="107" stopIfTrue="1">
      <formula>$AJ$179=1</formula>
    </cfRule>
    <cfRule type="expression" dxfId="79" priority="120" stopIfTrue="1">
      <formula>$AJ$179=4</formula>
    </cfRule>
  </conditionalFormatting>
  <conditionalFormatting sqref="AM192">
    <cfRule type="expression" dxfId="78" priority="103" stopIfTrue="1">
      <formula>$AM$179=5</formula>
    </cfRule>
    <cfRule type="expression" dxfId="77" priority="104" stopIfTrue="1">
      <formula>$AM$179=1</formula>
    </cfRule>
    <cfRule type="expression" dxfId="76" priority="119" stopIfTrue="1">
      <formula>$AM$179=4</formula>
    </cfRule>
  </conditionalFormatting>
  <conditionalFormatting sqref="AP192">
    <cfRule type="expression" dxfId="75" priority="101" stopIfTrue="1">
      <formula>$AP$179=5</formula>
    </cfRule>
    <cfRule type="expression" dxfId="74" priority="111" stopIfTrue="1">
      <formula>$AP$179=1</formula>
    </cfRule>
    <cfRule type="expression" dxfId="73" priority="118" stopIfTrue="1">
      <formula>$AP$179=4</formula>
    </cfRule>
  </conditionalFormatting>
  <conditionalFormatting sqref="AS192">
    <cfRule type="expression" dxfId="72" priority="99" stopIfTrue="1">
      <formula>$AS$179=5</formula>
    </cfRule>
    <cfRule type="expression" dxfId="71" priority="112" stopIfTrue="1">
      <formula>$AS$179=1</formula>
    </cfRule>
    <cfRule type="expression" dxfId="70" priority="117" stopIfTrue="1">
      <formula>$AS$179=4</formula>
    </cfRule>
  </conditionalFormatting>
  <conditionalFormatting sqref="AV192">
    <cfRule type="expression" dxfId="69" priority="97" stopIfTrue="1">
      <formula>$AV$179=5</formula>
    </cfRule>
    <cfRule type="expression" dxfId="68" priority="113" stopIfTrue="1">
      <formula>$AV$179=1</formula>
    </cfRule>
    <cfRule type="expression" dxfId="67" priority="116" stopIfTrue="1">
      <formula>$AV$179=4</formula>
    </cfRule>
  </conditionalFormatting>
  <conditionalFormatting sqref="AY192">
    <cfRule type="expression" dxfId="66" priority="95" stopIfTrue="1">
      <formula>$AY$179=5</formula>
    </cfRule>
    <cfRule type="expression" dxfId="65" priority="114" stopIfTrue="1">
      <formula>$AY$179=1</formula>
    </cfRule>
    <cfRule type="expression" dxfId="64" priority="115" stopIfTrue="1">
      <formula>$AY$179=4</formula>
    </cfRule>
  </conditionalFormatting>
  <conditionalFormatting sqref="AF192:AH193">
    <cfRule type="expression" dxfId="63" priority="108" stopIfTrue="1">
      <formula>$AF$179&gt;" "</formula>
    </cfRule>
  </conditionalFormatting>
  <conditionalFormatting sqref="AI192:AK193">
    <cfRule type="expression" dxfId="62" priority="105" stopIfTrue="1">
      <formula>$AI$179&gt;" "</formula>
    </cfRule>
  </conditionalFormatting>
  <conditionalFormatting sqref="AL192:AN193">
    <cfRule type="expression" dxfId="61" priority="102" stopIfTrue="1">
      <formula>$AL$179&gt;" "</formula>
    </cfRule>
  </conditionalFormatting>
  <conditionalFormatting sqref="AR192:AT193">
    <cfRule type="expression" dxfId="60" priority="98" stopIfTrue="1">
      <formula>$AR$179&gt;" "</formula>
    </cfRule>
  </conditionalFormatting>
  <conditionalFormatting sqref="AU192:AW193">
    <cfRule type="expression" dxfId="59" priority="96" stopIfTrue="1">
      <formula>$AU$179&gt;" "</formula>
    </cfRule>
  </conditionalFormatting>
  <conditionalFormatting sqref="AX195:AZ196">
    <cfRule type="expression" dxfId="58" priority="38" stopIfTrue="1">
      <formula>$AX$179&gt;" "</formula>
    </cfRule>
  </conditionalFormatting>
  <conditionalFormatting sqref="AG195">
    <cfRule type="expression" dxfId="57" priority="53" stopIfTrue="1">
      <formula>$AG$179=5</formula>
    </cfRule>
    <cfRule type="expression" dxfId="56" priority="54" stopIfTrue="1">
      <formula>$AG$179=1</formula>
    </cfRule>
    <cfRule type="expression" dxfId="55" priority="65" stopIfTrue="1">
      <formula>$AG$179=4</formula>
    </cfRule>
  </conditionalFormatting>
  <conditionalFormatting sqref="AJ195">
    <cfRule type="expression" dxfId="54" priority="50" stopIfTrue="1">
      <formula>$AJ$179=5</formula>
    </cfRule>
    <cfRule type="expression" dxfId="53" priority="51" stopIfTrue="1">
      <formula>$AJ$179=1</formula>
    </cfRule>
    <cfRule type="expression" dxfId="52" priority="64" stopIfTrue="1">
      <formula>$AJ$179=4</formula>
    </cfRule>
  </conditionalFormatting>
  <conditionalFormatting sqref="AM195">
    <cfRule type="expression" dxfId="51" priority="47" stopIfTrue="1">
      <formula>$AM$179=5</formula>
    </cfRule>
    <cfRule type="expression" dxfId="50" priority="48" stopIfTrue="1">
      <formula>$AM$179=1</formula>
    </cfRule>
    <cfRule type="expression" dxfId="49" priority="63" stopIfTrue="1">
      <formula>$AM$179=4</formula>
    </cfRule>
  </conditionalFormatting>
  <conditionalFormatting sqref="AP195">
    <cfRule type="expression" dxfId="48" priority="45" stopIfTrue="1">
      <formula>$AP$179=5</formula>
    </cfRule>
    <cfRule type="expression" dxfId="47" priority="55" stopIfTrue="1">
      <formula>$AP$179=1</formula>
    </cfRule>
    <cfRule type="expression" dxfId="46" priority="62" stopIfTrue="1">
      <formula>$AP$179=4</formula>
    </cfRule>
  </conditionalFormatting>
  <conditionalFormatting sqref="AS195">
    <cfRule type="expression" dxfId="45" priority="43" stopIfTrue="1">
      <formula>$AS$179=5</formula>
    </cfRule>
    <cfRule type="expression" dxfId="44" priority="56" stopIfTrue="1">
      <formula>$AS$179=1</formula>
    </cfRule>
    <cfRule type="expression" dxfId="43" priority="61" stopIfTrue="1">
      <formula>$AS$179=4</formula>
    </cfRule>
  </conditionalFormatting>
  <conditionalFormatting sqref="AV195">
    <cfRule type="expression" dxfId="42" priority="41" stopIfTrue="1">
      <formula>$AV$179=5</formula>
    </cfRule>
    <cfRule type="expression" dxfId="41" priority="57" stopIfTrue="1">
      <formula>$AV$179=1</formula>
    </cfRule>
    <cfRule type="expression" dxfId="40" priority="60" stopIfTrue="1">
      <formula>$AV$179=4</formula>
    </cfRule>
  </conditionalFormatting>
  <conditionalFormatting sqref="AY195">
    <cfRule type="expression" dxfId="39" priority="39" stopIfTrue="1">
      <formula>$AY$179=5</formula>
    </cfRule>
    <cfRule type="expression" dxfId="38" priority="58" stopIfTrue="1">
      <formula>$AY$179=1</formula>
    </cfRule>
    <cfRule type="expression" dxfId="37" priority="59" stopIfTrue="1">
      <formula>$AY$179=4</formula>
    </cfRule>
  </conditionalFormatting>
  <conditionalFormatting sqref="AF195:AH196">
    <cfRule type="expression" dxfId="36" priority="52" stopIfTrue="1">
      <formula>$AF$179&gt;" "</formula>
    </cfRule>
  </conditionalFormatting>
  <conditionalFormatting sqref="AI195:AK196">
    <cfRule type="expression" dxfId="35" priority="49" stopIfTrue="1">
      <formula>$AI$179&gt;" "</formula>
    </cfRule>
  </conditionalFormatting>
  <conditionalFormatting sqref="AL195:AN196">
    <cfRule type="expression" dxfId="34" priority="46" stopIfTrue="1">
      <formula>$AL$179&gt;" "</formula>
    </cfRule>
  </conditionalFormatting>
  <conditionalFormatting sqref="AR195:AT196">
    <cfRule type="expression" dxfId="33" priority="42" stopIfTrue="1">
      <formula>$AR$179&gt;" "</formula>
    </cfRule>
  </conditionalFormatting>
  <conditionalFormatting sqref="AU195:AW196">
    <cfRule type="expression" dxfId="32" priority="40" stopIfTrue="1">
      <formula>$AU$179&gt;" "</formula>
    </cfRule>
  </conditionalFormatting>
  <conditionalFormatting sqref="AN188">
    <cfRule type="cellIs" dxfId="31" priority="32" stopIfTrue="1" operator="equal">
      <formula>26</formula>
    </cfRule>
  </conditionalFormatting>
  <conditionalFormatting sqref="AQ188:AQ190">
    <cfRule type="cellIs" dxfId="30" priority="31" stopIfTrue="1" operator="equal">
      <formula>26</formula>
    </cfRule>
  </conditionalFormatting>
  <conditionalFormatting sqref="AT188:AT190">
    <cfRule type="cellIs" dxfId="29" priority="30" stopIfTrue="1" operator="equal">
      <formula>26</formula>
    </cfRule>
  </conditionalFormatting>
  <conditionalFormatting sqref="AW188:AW190">
    <cfRule type="cellIs" dxfId="28" priority="29" stopIfTrue="1" operator="equal">
      <formula>26</formula>
    </cfRule>
  </conditionalFormatting>
  <conditionalFormatting sqref="AZ188:AZ190">
    <cfRule type="cellIs" dxfId="27" priority="28" stopIfTrue="1" operator="equal">
      <formula>26</formula>
    </cfRule>
  </conditionalFormatting>
  <conditionalFormatting sqref="AX189:AZ190">
    <cfRule type="expression" dxfId="26" priority="1" stopIfTrue="1">
      <formula>$AX$179&gt;" "</formula>
    </cfRule>
  </conditionalFormatting>
  <conditionalFormatting sqref="AG189">
    <cfRule type="expression" dxfId="25" priority="15" stopIfTrue="1">
      <formula>$AG$179=5</formula>
    </cfRule>
    <cfRule type="expression" dxfId="24" priority="16" stopIfTrue="1">
      <formula>$AG$179=1</formula>
    </cfRule>
    <cfRule type="expression" dxfId="23" priority="27" stopIfTrue="1">
      <formula>$AG$179=4</formula>
    </cfRule>
  </conditionalFormatting>
  <conditionalFormatting sqref="AJ189">
    <cfRule type="expression" dxfId="22" priority="12" stopIfTrue="1">
      <formula>$AJ$179=5</formula>
    </cfRule>
    <cfRule type="expression" dxfId="21" priority="13" stopIfTrue="1">
      <formula>$AJ$179=1</formula>
    </cfRule>
    <cfRule type="expression" dxfId="20" priority="26" stopIfTrue="1">
      <formula>$AJ$179=4</formula>
    </cfRule>
  </conditionalFormatting>
  <conditionalFormatting sqref="AM189">
    <cfRule type="expression" dxfId="19" priority="9" stopIfTrue="1">
      <formula>$AM$179=5</formula>
    </cfRule>
    <cfRule type="expression" dxfId="18" priority="10" stopIfTrue="1">
      <formula>$AM$179=1</formula>
    </cfRule>
    <cfRule type="expression" dxfId="17" priority="25" stopIfTrue="1">
      <formula>$AM$179=4</formula>
    </cfRule>
  </conditionalFormatting>
  <conditionalFormatting sqref="AP189">
    <cfRule type="expression" dxfId="16" priority="7" stopIfTrue="1">
      <formula>$AP$179=5</formula>
    </cfRule>
    <cfRule type="expression" dxfId="15" priority="17" stopIfTrue="1">
      <formula>$AP$179=1</formula>
    </cfRule>
    <cfRule type="expression" dxfId="14" priority="24" stopIfTrue="1">
      <formula>$AP$179=4</formula>
    </cfRule>
  </conditionalFormatting>
  <conditionalFormatting sqref="AS189">
    <cfRule type="expression" dxfId="13" priority="6" stopIfTrue="1">
      <formula>$AS$179=5</formula>
    </cfRule>
    <cfRule type="expression" dxfId="12" priority="18" stopIfTrue="1">
      <formula>$AS$179=1</formula>
    </cfRule>
    <cfRule type="expression" dxfId="11" priority="23" stopIfTrue="1">
      <formula>$AS$179=4</formula>
    </cfRule>
  </conditionalFormatting>
  <conditionalFormatting sqref="AV189">
    <cfRule type="expression" dxfId="10" priority="4" stopIfTrue="1">
      <formula>$AV$179=5</formula>
    </cfRule>
    <cfRule type="expression" dxfId="9" priority="19" stopIfTrue="1">
      <formula>$AV$179=1</formula>
    </cfRule>
    <cfRule type="expression" dxfId="8" priority="22" stopIfTrue="1">
      <formula>$AV$179=4</formula>
    </cfRule>
  </conditionalFormatting>
  <conditionalFormatting sqref="AY189">
    <cfRule type="expression" dxfId="7" priority="2" stopIfTrue="1">
      <formula>$AY$179=5</formula>
    </cfRule>
    <cfRule type="expression" dxfId="6" priority="20" stopIfTrue="1">
      <formula>$AY$179=1</formula>
    </cfRule>
    <cfRule type="expression" dxfId="5" priority="21" stopIfTrue="1">
      <formula>$AY$179=4</formula>
    </cfRule>
  </conditionalFormatting>
  <conditionalFormatting sqref="AF189:AH190">
    <cfRule type="expression" dxfId="4" priority="14" stopIfTrue="1">
      <formula>$AF$179&gt;" "</formula>
    </cfRule>
  </conditionalFormatting>
  <conditionalFormatting sqref="AI189:AK190">
    <cfRule type="expression" dxfId="3" priority="11" stopIfTrue="1">
      <formula>$AI$179&gt;" "</formula>
    </cfRule>
  </conditionalFormatting>
  <conditionalFormatting sqref="AL189:AN190">
    <cfRule type="expression" dxfId="2" priority="8" stopIfTrue="1">
      <formula>$AL$179&gt;" "</formula>
    </cfRule>
  </conditionalFormatting>
  <conditionalFormatting sqref="AR189:AT190">
    <cfRule type="expression" dxfId="1" priority="5" stopIfTrue="1">
      <formula>$AR$179&gt;" "</formula>
    </cfRule>
  </conditionalFormatting>
  <conditionalFormatting sqref="AU189:AW190">
    <cfRule type="expression" dxfId="0" priority="3" stopIfTrue="1">
      <formula>$AU$179&gt;" "</formula>
    </cfRule>
  </conditionalFormatting>
  <pageMargins left="0.25" right="0.25" top="0.5" bottom="0.5" header="0.5" footer="0.5"/>
  <pageSetup scale="54" orientation="portrait" r:id="rId1"/>
  <headerFooter alignWithMargins="0"/>
  <ignoredErrors>
    <ignoredError sqref="AF156" emptyCellReference="1"/>
    <ignoredError sqref="M4 M118" formula="1"/>
  </ignoredErrors>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H126"/>
  <sheetViews>
    <sheetView zoomScale="75" zoomScaleNormal="75" zoomScaleSheetLayoutView="100" workbookViewId="0">
      <pane ySplit="1" topLeftCell="A2" activePane="bottomLeft" state="frozen"/>
      <selection activeCell="O14" sqref="O14"/>
      <selection pane="bottomLeft" activeCell="O22" sqref="O22"/>
    </sheetView>
  </sheetViews>
  <sheetFormatPr defaultColWidth="11.42578125" defaultRowHeight="15" x14ac:dyDescent="0.2"/>
  <cols>
    <col min="1" max="1" width="14.140625" style="22" customWidth="1"/>
    <col min="2" max="2" width="8" style="22" customWidth="1"/>
    <col min="3" max="3" width="26.7109375" style="22" customWidth="1"/>
    <col min="4" max="4" width="20.7109375" style="22" customWidth="1"/>
    <col min="5" max="5" width="18" style="143" hidden="1" customWidth="1"/>
    <col min="6" max="12" width="3.42578125" style="22" customWidth="1"/>
    <col min="13" max="15" width="11.42578125" style="22" customWidth="1"/>
    <col min="16" max="16" width="8.7109375" style="22" customWidth="1"/>
    <col min="17" max="17" width="11.42578125" style="22" customWidth="1"/>
    <col min="18" max="18" width="14.28515625" style="22" customWidth="1"/>
    <col min="19" max="19" width="16.42578125" style="22" customWidth="1"/>
    <col min="20" max="20" width="8.42578125" style="22" customWidth="1"/>
    <col min="21" max="21" width="25.7109375" style="22" customWidth="1"/>
    <col min="22" max="22" width="13" style="22" customWidth="1"/>
    <col min="23" max="23" width="12.42578125" style="22" customWidth="1"/>
    <col min="24" max="25" width="10" style="22" bestFit="1" customWidth="1"/>
    <col min="26" max="26" width="9.85546875" style="22" bestFit="1" customWidth="1"/>
    <col min="27" max="27" width="10" style="22" bestFit="1" customWidth="1"/>
    <col min="28" max="16384" width="11.42578125" style="22"/>
  </cols>
  <sheetData>
    <row r="1" spans="1:34" ht="17.100000000000001" customHeight="1" x14ac:dyDescent="0.2">
      <c r="A1" s="88" t="s">
        <v>76</v>
      </c>
      <c r="B1" s="88" t="s">
        <v>77</v>
      </c>
      <c r="C1" s="88" t="s">
        <v>61</v>
      </c>
      <c r="D1" s="133" t="s">
        <v>267</v>
      </c>
      <c r="E1" s="88" t="s">
        <v>127</v>
      </c>
      <c r="F1" s="89"/>
      <c r="G1" s="89"/>
      <c r="H1" s="89"/>
      <c r="I1" s="89"/>
      <c r="J1" s="89"/>
      <c r="K1" s="89"/>
      <c r="L1" s="90"/>
      <c r="M1" s="85"/>
      <c r="N1" s="85"/>
      <c r="O1" s="85"/>
      <c r="P1" s="85"/>
      <c r="Q1" s="85"/>
      <c r="R1" s="85"/>
      <c r="S1" s="85"/>
      <c r="T1" s="86"/>
      <c r="U1" s="86"/>
    </row>
    <row r="2" spans="1:34" ht="17.100000000000001" customHeight="1" x14ac:dyDescent="0.3">
      <c r="A2" s="23"/>
      <c r="B2" s="23"/>
      <c r="C2" s="24"/>
      <c r="D2" s="34"/>
      <c r="E2" s="158"/>
      <c r="F2" s="34"/>
      <c r="G2" s="34"/>
      <c r="H2" s="34"/>
      <c r="I2" s="34"/>
      <c r="J2" s="34"/>
      <c r="K2" s="34"/>
      <c r="L2" s="34"/>
      <c r="M2" s="85"/>
      <c r="N2" s="85"/>
      <c r="O2" s="85"/>
      <c r="P2" s="85"/>
      <c r="Q2" s="85"/>
      <c r="R2" s="85"/>
      <c r="S2" s="619"/>
      <c r="T2" s="86"/>
      <c r="U2" s="86"/>
      <c r="W2" s="22" t="s">
        <v>235</v>
      </c>
      <c r="X2" s="22" t="s">
        <v>236</v>
      </c>
      <c r="Y2" s="22" t="s">
        <v>68</v>
      </c>
      <c r="Z2" s="22" t="s">
        <v>237</v>
      </c>
      <c r="AA2" s="22" t="s">
        <v>238</v>
      </c>
      <c r="AB2" s="22" t="s">
        <v>239</v>
      </c>
      <c r="AC2" s="22" t="s">
        <v>240</v>
      </c>
    </row>
    <row r="3" spans="1:34" ht="17.100000000000001" customHeight="1" x14ac:dyDescent="0.2">
      <c r="A3" s="557" t="s">
        <v>78</v>
      </c>
      <c r="B3" s="557"/>
      <c r="C3" s="558" t="s">
        <v>79</v>
      </c>
      <c r="D3" s="557"/>
      <c r="E3" s="80"/>
      <c r="F3" s="81"/>
      <c r="G3" s="81"/>
      <c r="H3" s="81"/>
      <c r="I3" s="81"/>
      <c r="J3" s="81"/>
      <c r="K3" s="81"/>
      <c r="L3" s="81"/>
      <c r="M3" s="85"/>
      <c r="N3" s="85"/>
      <c r="O3" s="85"/>
      <c r="P3" s="85"/>
      <c r="Q3" s="85"/>
      <c r="R3" s="85"/>
      <c r="S3" s="85"/>
      <c r="T3" s="85"/>
      <c r="U3" s="86"/>
    </row>
    <row r="4" spans="1:34" ht="17.100000000000001" customHeight="1" x14ac:dyDescent="0.3">
      <c r="A4" s="625">
        <v>71324028</v>
      </c>
      <c r="B4" s="626">
        <v>10</v>
      </c>
      <c r="C4" s="621" t="s">
        <v>302</v>
      </c>
      <c r="D4" s="641" t="s">
        <v>262</v>
      </c>
      <c r="E4" s="159" t="s">
        <v>128</v>
      </c>
      <c r="F4" s="82"/>
      <c r="G4" s="82"/>
      <c r="H4" s="82"/>
      <c r="I4" s="82"/>
      <c r="J4" s="82"/>
      <c r="K4" s="82"/>
      <c r="L4" s="82"/>
      <c r="M4" s="85"/>
      <c r="N4" s="85"/>
      <c r="O4" s="85"/>
      <c r="P4" s="85"/>
      <c r="Q4" s="85"/>
      <c r="R4" s="80"/>
      <c r="S4" s="80"/>
      <c r="T4" s="80"/>
      <c r="U4" s="81"/>
      <c r="V4" s="159"/>
      <c r="W4" s="82"/>
      <c r="X4" s="82"/>
      <c r="Y4" s="82"/>
      <c r="Z4" s="82"/>
      <c r="AA4" s="82"/>
      <c r="AB4" s="82"/>
      <c r="AC4" s="82"/>
    </row>
    <row r="5" spans="1:34" ht="17.100000000000001" customHeight="1" x14ac:dyDescent="0.3">
      <c r="A5" s="629">
        <v>95603579</v>
      </c>
      <c r="B5" s="628">
        <v>10</v>
      </c>
      <c r="C5" s="622" t="s">
        <v>80</v>
      </c>
      <c r="D5" s="642" t="s">
        <v>259</v>
      </c>
      <c r="E5" s="159"/>
      <c r="F5" s="82"/>
      <c r="G5" s="82"/>
      <c r="H5" s="82"/>
      <c r="I5" s="82"/>
      <c r="J5" s="82"/>
      <c r="K5" s="82"/>
      <c r="L5" s="82"/>
      <c r="M5" s="85"/>
      <c r="N5" s="85"/>
      <c r="O5" s="85"/>
      <c r="P5" s="85"/>
      <c r="Q5" s="85"/>
      <c r="R5" s="80"/>
      <c r="S5" s="80"/>
      <c r="T5" s="80"/>
      <c r="U5" s="586"/>
      <c r="V5" s="586"/>
      <c r="W5" s="82"/>
      <c r="X5" s="82"/>
      <c r="Y5" s="82"/>
      <c r="Z5" s="82"/>
      <c r="AA5" s="82"/>
      <c r="AB5" s="82"/>
      <c r="AC5" s="82"/>
      <c r="AD5" s="82"/>
    </row>
    <row r="6" spans="1:34" ht="17.100000000000001" customHeight="1" x14ac:dyDescent="0.3">
      <c r="A6" s="627">
        <v>95586177</v>
      </c>
      <c r="B6" s="628">
        <v>10</v>
      </c>
      <c r="C6" s="622" t="s">
        <v>149</v>
      </c>
      <c r="D6" s="642" t="s">
        <v>260</v>
      </c>
      <c r="E6" s="159" t="s">
        <v>129</v>
      </c>
      <c r="F6" s="82"/>
      <c r="G6" s="82"/>
      <c r="H6" s="82"/>
      <c r="I6" s="82"/>
      <c r="J6" s="82"/>
      <c r="K6" s="82"/>
      <c r="L6" s="82"/>
      <c r="M6" s="85"/>
      <c r="N6" s="85"/>
      <c r="O6" s="85"/>
      <c r="P6" s="85"/>
      <c r="Q6" s="85"/>
      <c r="R6" s="462"/>
      <c r="S6" s="462"/>
      <c r="T6" s="462"/>
      <c r="W6" s="462"/>
      <c r="X6" s="462"/>
      <c r="Y6" s="82"/>
      <c r="Z6" s="82"/>
      <c r="AA6" s="462"/>
      <c r="AB6" s="462"/>
      <c r="AC6" s="462"/>
      <c r="AD6" s="82"/>
    </row>
    <row r="7" spans="1:34" ht="17.100000000000001" customHeight="1" x14ac:dyDescent="0.3">
      <c r="A7" s="627">
        <v>95782057</v>
      </c>
      <c r="B7" s="628">
        <v>10</v>
      </c>
      <c r="C7" s="622" t="s">
        <v>245</v>
      </c>
      <c r="D7" s="643" t="s">
        <v>260</v>
      </c>
      <c r="E7" s="159"/>
      <c r="F7" s="82"/>
      <c r="G7" s="82"/>
      <c r="H7" s="82"/>
      <c r="I7" s="82"/>
      <c r="J7" s="82"/>
      <c r="K7" s="82"/>
      <c r="L7" s="82"/>
      <c r="M7" s="85"/>
      <c r="N7" s="85"/>
      <c r="O7" s="85"/>
      <c r="P7" s="85"/>
      <c r="Q7" s="85"/>
      <c r="R7" s="135"/>
      <c r="S7" s="135"/>
      <c r="T7" s="135"/>
      <c r="W7" s="159"/>
      <c r="X7" s="82"/>
      <c r="Y7" s="82"/>
      <c r="Z7" s="82"/>
      <c r="AA7" s="82"/>
      <c r="AB7" s="82"/>
      <c r="AC7" s="82"/>
      <c r="AD7" s="82"/>
    </row>
    <row r="8" spans="1:34" ht="17.100000000000001" customHeight="1" x14ac:dyDescent="0.3">
      <c r="A8" s="627">
        <v>95674066</v>
      </c>
      <c r="B8" s="628">
        <v>10</v>
      </c>
      <c r="C8" s="622" t="s">
        <v>202</v>
      </c>
      <c r="D8" s="643" t="s">
        <v>261</v>
      </c>
      <c r="E8" s="463"/>
      <c r="F8" s="462"/>
      <c r="G8" s="462"/>
      <c r="H8" s="462"/>
      <c r="I8" s="462"/>
      <c r="J8" s="82"/>
      <c r="K8" s="82"/>
      <c r="L8" s="82"/>
      <c r="M8" s="85"/>
      <c r="N8" s="85"/>
      <c r="O8" s="85"/>
      <c r="P8" s="85"/>
      <c r="Q8" s="85"/>
      <c r="R8" s="135"/>
      <c r="S8" s="135"/>
      <c r="T8" s="135"/>
      <c r="W8" s="159"/>
      <c r="X8" s="82"/>
      <c r="Y8" s="82"/>
      <c r="Z8" s="82"/>
      <c r="AA8" s="82"/>
      <c r="AB8" s="82"/>
      <c r="AC8" s="82"/>
      <c r="AD8" s="82"/>
    </row>
    <row r="9" spans="1:34" ht="17.100000000000001" customHeight="1" x14ac:dyDescent="0.3">
      <c r="A9" s="627">
        <v>70755759</v>
      </c>
      <c r="B9" s="628">
        <v>10</v>
      </c>
      <c r="C9" s="622" t="s">
        <v>234</v>
      </c>
      <c r="D9" s="643" t="s">
        <v>263</v>
      </c>
      <c r="E9" s="159"/>
      <c r="F9" s="82"/>
      <c r="G9" s="82"/>
      <c r="H9" s="82"/>
      <c r="I9" s="82"/>
      <c r="J9" s="82"/>
      <c r="K9" s="82"/>
      <c r="L9" s="82"/>
      <c r="M9" s="85"/>
      <c r="N9" s="85"/>
      <c r="O9" s="85"/>
      <c r="P9" s="85"/>
      <c r="Q9" s="85"/>
      <c r="R9" s="135"/>
      <c r="S9" s="135"/>
      <c r="T9" s="135"/>
      <c r="W9" s="463"/>
      <c r="X9" s="462"/>
      <c r="Y9" s="462"/>
      <c r="Z9" s="462"/>
      <c r="AA9" s="462"/>
      <c r="AB9" s="82"/>
      <c r="AC9" s="82"/>
      <c r="AD9" s="82"/>
    </row>
    <row r="10" spans="1:34" ht="17.100000000000001" customHeight="1" x14ac:dyDescent="0.3">
      <c r="A10" s="627">
        <v>95630318</v>
      </c>
      <c r="B10" s="628">
        <v>10</v>
      </c>
      <c r="C10" s="622" t="s">
        <v>150</v>
      </c>
      <c r="D10" s="643" t="s">
        <v>261</v>
      </c>
      <c r="E10" s="463"/>
      <c r="F10" s="82"/>
      <c r="G10" s="82"/>
      <c r="H10" s="82"/>
      <c r="I10" s="82"/>
      <c r="J10" s="82"/>
      <c r="K10" s="82"/>
      <c r="L10" s="82"/>
      <c r="M10" s="85"/>
      <c r="N10" s="85"/>
      <c r="O10" s="85"/>
      <c r="P10" s="85"/>
      <c r="Q10" s="85"/>
      <c r="R10" s="135"/>
      <c r="S10" s="135"/>
      <c r="T10" s="135"/>
      <c r="W10" s="159"/>
      <c r="X10" s="82"/>
      <c r="Y10" s="82"/>
      <c r="Z10" s="82"/>
      <c r="AA10" s="82"/>
      <c r="AB10" s="82"/>
      <c r="AC10" s="82"/>
      <c r="AD10" s="82"/>
    </row>
    <row r="11" spans="1:34" ht="17.100000000000001" customHeight="1" x14ac:dyDescent="0.3">
      <c r="A11" s="629">
        <v>70214754</v>
      </c>
      <c r="B11" s="628">
        <v>10</v>
      </c>
      <c r="C11" s="622" t="s">
        <v>198</v>
      </c>
      <c r="D11" s="643" t="s">
        <v>261</v>
      </c>
      <c r="E11" s="463"/>
      <c r="F11" s="462"/>
      <c r="G11" s="462"/>
      <c r="H11" s="462"/>
      <c r="I11" s="82"/>
      <c r="J11" s="82"/>
      <c r="K11" s="82"/>
      <c r="L11" s="82"/>
      <c r="M11" s="85"/>
      <c r="N11" s="85"/>
      <c r="O11" s="85"/>
      <c r="P11" s="85"/>
      <c r="R11" s="135"/>
      <c r="S11" s="135"/>
      <c r="T11" s="135"/>
      <c r="U11" s="586"/>
      <c r="V11" s="498"/>
      <c r="W11" s="463"/>
      <c r="X11" s="462"/>
      <c r="Y11" s="82"/>
      <c r="Z11" s="82"/>
      <c r="AA11" s="82"/>
      <c r="AB11" s="82"/>
      <c r="AC11" s="82"/>
      <c r="AD11" s="82"/>
      <c r="AF11" s="82"/>
      <c r="AG11" s="82"/>
      <c r="AH11" s="85"/>
    </row>
    <row r="12" spans="1:34" ht="17.100000000000001" customHeight="1" x14ac:dyDescent="0.3">
      <c r="A12" s="627">
        <v>95618367</v>
      </c>
      <c r="B12" s="628">
        <v>10</v>
      </c>
      <c r="C12" s="622" t="s">
        <v>257</v>
      </c>
      <c r="D12" s="643" t="s">
        <v>263</v>
      </c>
      <c r="E12" s="159"/>
      <c r="F12" s="82"/>
      <c r="G12" s="82"/>
      <c r="H12" s="82"/>
      <c r="I12" s="82"/>
      <c r="J12" s="82"/>
      <c r="K12" s="82"/>
      <c r="L12" s="82"/>
      <c r="M12" s="85"/>
      <c r="N12" s="85"/>
      <c r="O12" s="85"/>
      <c r="P12" s="85"/>
      <c r="R12" s="135"/>
      <c r="S12" s="135"/>
      <c r="T12" s="135"/>
      <c r="U12" s="586"/>
      <c r="V12" s="498"/>
      <c r="W12" s="463"/>
      <c r="X12" s="462"/>
      <c r="Y12" s="462"/>
      <c r="Z12" s="462"/>
      <c r="AA12" s="82"/>
      <c r="AB12" s="82"/>
      <c r="AC12" s="82"/>
      <c r="AD12" s="82"/>
      <c r="AE12" s="86"/>
      <c r="AF12" s="82"/>
      <c r="AG12" s="82"/>
      <c r="AH12" s="85"/>
    </row>
    <row r="13" spans="1:34" ht="17.100000000000001" customHeight="1" x14ac:dyDescent="0.3">
      <c r="A13" s="627">
        <v>95783319</v>
      </c>
      <c r="B13" s="628">
        <v>10</v>
      </c>
      <c r="C13" s="622" t="s">
        <v>188</v>
      </c>
      <c r="D13" s="643" t="s">
        <v>262</v>
      </c>
      <c r="E13" s="159"/>
      <c r="F13" s="82"/>
      <c r="G13" s="82"/>
      <c r="H13" s="82"/>
      <c r="I13" s="82"/>
      <c r="J13" s="82"/>
      <c r="K13" s="82"/>
      <c r="L13" s="82"/>
      <c r="M13" s="85"/>
      <c r="N13" s="85"/>
      <c r="O13" s="85"/>
      <c r="P13" s="85"/>
      <c r="R13" s="80"/>
      <c r="S13" s="80"/>
      <c r="T13" s="80"/>
      <c r="U13" s="586"/>
      <c r="V13" s="591"/>
      <c r="W13" s="500"/>
      <c r="X13" s="82"/>
      <c r="Y13" s="82"/>
      <c r="Z13" s="82"/>
      <c r="AA13" s="82"/>
      <c r="AB13" s="82"/>
      <c r="AC13" s="82"/>
      <c r="AD13" s="82"/>
      <c r="AE13" s="80"/>
      <c r="AF13" s="82"/>
      <c r="AG13" s="82"/>
    </row>
    <row r="14" spans="1:34" ht="18.75" x14ac:dyDescent="0.3">
      <c r="A14" s="627">
        <v>70224073</v>
      </c>
      <c r="B14" s="628">
        <v>10</v>
      </c>
      <c r="C14" s="622" t="s">
        <v>249</v>
      </c>
      <c r="D14" s="643" t="s">
        <v>265</v>
      </c>
      <c r="E14" s="160"/>
      <c r="F14" s="82"/>
      <c r="G14" s="82"/>
      <c r="H14" s="82"/>
      <c r="I14" s="82"/>
      <c r="J14" s="82"/>
      <c r="K14" s="82"/>
      <c r="L14" s="82"/>
      <c r="Q14" s="85"/>
      <c r="R14" s="135"/>
      <c r="S14" s="135"/>
      <c r="T14" s="135"/>
      <c r="U14" s="586"/>
      <c r="V14" s="498"/>
      <c r="W14" s="500"/>
      <c r="X14" s="502"/>
      <c r="Y14" s="502"/>
      <c r="Z14" s="503"/>
      <c r="AA14" s="502"/>
      <c r="AB14" s="82"/>
      <c r="AC14" s="82"/>
      <c r="AD14" s="82"/>
      <c r="AE14" s="80"/>
      <c r="AF14" s="82"/>
      <c r="AG14" s="82"/>
      <c r="AH14" s="86"/>
    </row>
    <row r="15" spans="1:34" ht="17.100000000000001" customHeight="1" x14ac:dyDescent="0.3">
      <c r="A15" s="627">
        <v>95501687</v>
      </c>
      <c r="B15" s="628">
        <v>10</v>
      </c>
      <c r="C15" s="622" t="s">
        <v>243</v>
      </c>
      <c r="D15" s="643" t="s">
        <v>264</v>
      </c>
      <c r="E15" s="160"/>
      <c r="F15" s="82"/>
      <c r="G15" s="82"/>
      <c r="H15" s="82"/>
      <c r="I15" s="82"/>
      <c r="J15" s="82"/>
      <c r="K15" s="82"/>
      <c r="L15" s="82"/>
      <c r="M15" s="86"/>
      <c r="N15" s="86"/>
      <c r="O15" s="86"/>
      <c r="P15" s="86"/>
      <c r="Q15" s="135"/>
      <c r="R15" s="80"/>
      <c r="S15" s="80"/>
      <c r="T15" s="80"/>
      <c r="U15" s="586"/>
      <c r="V15" s="498"/>
      <c r="X15" s="82"/>
      <c r="Y15" s="82"/>
      <c r="Z15" s="82"/>
      <c r="AA15" s="82"/>
      <c r="AB15" s="82"/>
      <c r="AC15" s="82"/>
      <c r="AD15" s="82"/>
      <c r="AE15" s="80"/>
      <c r="AF15" s="82"/>
      <c r="AG15" s="82"/>
      <c r="AH15" s="80"/>
    </row>
    <row r="16" spans="1:34" ht="17.100000000000001" customHeight="1" x14ac:dyDescent="0.3">
      <c r="A16" s="627">
        <v>95618367</v>
      </c>
      <c r="B16" s="628">
        <v>10</v>
      </c>
      <c r="C16" s="622" t="s">
        <v>288</v>
      </c>
      <c r="D16" s="641" t="s">
        <v>264</v>
      </c>
      <c r="E16" s="159"/>
      <c r="F16" s="82"/>
      <c r="G16" s="82"/>
      <c r="H16" s="82"/>
      <c r="I16" s="82"/>
      <c r="J16" s="82"/>
      <c r="K16" s="82"/>
      <c r="L16" s="82"/>
      <c r="M16" s="80"/>
      <c r="N16" s="80"/>
      <c r="O16" s="80"/>
      <c r="P16" s="80"/>
      <c r="Q16" s="135"/>
      <c r="R16" s="80"/>
      <c r="S16" s="80"/>
      <c r="T16" s="80"/>
      <c r="U16" s="586"/>
      <c r="V16" s="498"/>
      <c r="X16" s="82"/>
      <c r="Y16" s="82"/>
      <c r="Z16" s="82"/>
      <c r="AA16" s="82"/>
      <c r="AB16" s="82"/>
      <c r="AC16" s="82"/>
      <c r="AD16" s="82"/>
      <c r="AE16" s="80"/>
      <c r="AF16" s="82"/>
      <c r="AG16" s="82"/>
    </row>
    <row r="17" spans="1:31" ht="17.100000000000001" customHeight="1" x14ac:dyDescent="0.3">
      <c r="A17" s="627">
        <v>71324029</v>
      </c>
      <c r="B17" s="628">
        <v>10</v>
      </c>
      <c r="C17" s="622" t="s">
        <v>297</v>
      </c>
      <c r="D17" s="641" t="s">
        <v>263</v>
      </c>
      <c r="E17" s="159"/>
      <c r="F17" s="82"/>
      <c r="G17" s="82"/>
      <c r="H17" s="82"/>
      <c r="I17" s="82"/>
      <c r="J17" s="82"/>
      <c r="K17" s="82"/>
      <c r="L17" s="82"/>
      <c r="M17" s="80"/>
      <c r="N17" s="80"/>
      <c r="O17" s="80"/>
      <c r="P17" s="80"/>
      <c r="Q17" s="135"/>
      <c r="R17" s="80"/>
      <c r="S17" s="80"/>
      <c r="T17" s="80"/>
      <c r="U17" s="586"/>
      <c r="V17" s="498"/>
      <c r="X17" s="82"/>
      <c r="Y17" s="82"/>
      <c r="Z17" s="82"/>
      <c r="AA17" s="82"/>
      <c r="AB17" s="82"/>
      <c r="AC17" s="82"/>
      <c r="AD17" s="82"/>
    </row>
    <row r="18" spans="1:31" ht="17.100000000000001" customHeight="1" x14ac:dyDescent="0.3">
      <c r="A18" s="627">
        <v>71324026</v>
      </c>
      <c r="B18" s="628">
        <v>10</v>
      </c>
      <c r="C18" s="622" t="s">
        <v>256</v>
      </c>
      <c r="D18" s="641" t="s">
        <v>265</v>
      </c>
      <c r="E18" s="159"/>
      <c r="F18" s="82"/>
      <c r="G18" s="82"/>
      <c r="H18" s="82"/>
      <c r="I18" s="82"/>
      <c r="J18" s="82"/>
      <c r="K18" s="82"/>
      <c r="L18" s="82"/>
      <c r="M18" s="80"/>
      <c r="N18" s="80"/>
      <c r="O18" s="80"/>
      <c r="P18" s="80"/>
      <c r="Q18" s="135"/>
      <c r="R18" s="80"/>
      <c r="S18" s="80"/>
      <c r="T18" s="80"/>
      <c r="U18" s="586"/>
      <c r="V18" s="498"/>
      <c r="X18" s="82"/>
      <c r="Y18" s="82"/>
      <c r="Z18" s="82"/>
      <c r="AA18" s="82"/>
      <c r="AB18" s="82"/>
      <c r="AC18" s="82"/>
      <c r="AD18" s="82"/>
    </row>
    <row r="19" spans="1:31" ht="17.100000000000001" customHeight="1" x14ac:dyDescent="0.3">
      <c r="A19" s="627">
        <v>95731743</v>
      </c>
      <c r="B19" s="628">
        <v>10</v>
      </c>
      <c r="C19" s="622" t="s">
        <v>298</v>
      </c>
      <c r="D19" s="641" t="s">
        <v>259</v>
      </c>
      <c r="E19" s="159"/>
      <c r="F19" s="82"/>
      <c r="G19" s="82"/>
      <c r="H19" s="82"/>
      <c r="I19" s="82"/>
      <c r="J19" s="82"/>
      <c r="K19" s="82"/>
      <c r="L19" s="82"/>
      <c r="M19" s="80"/>
      <c r="N19" s="80"/>
      <c r="O19" s="80"/>
      <c r="P19" s="80"/>
      <c r="Q19" s="135"/>
      <c r="R19" s="80"/>
      <c r="S19" s="80"/>
      <c r="T19" s="80"/>
      <c r="U19" s="586"/>
      <c r="V19" s="498"/>
      <c r="X19" s="82"/>
      <c r="Y19" s="82"/>
      <c r="Z19" s="82"/>
      <c r="AA19" s="82"/>
      <c r="AB19" s="82"/>
      <c r="AC19" s="82"/>
      <c r="AD19" s="82"/>
    </row>
    <row r="20" spans="1:31" ht="17.100000000000001" customHeight="1" x14ac:dyDescent="0.3">
      <c r="A20" s="658">
        <v>95735491</v>
      </c>
      <c r="B20" s="659">
        <v>10</v>
      </c>
      <c r="C20" s="660" t="s">
        <v>299</v>
      </c>
      <c r="D20" s="661" t="s">
        <v>259</v>
      </c>
      <c r="E20" s="159"/>
      <c r="F20" s="82"/>
      <c r="G20" s="82"/>
      <c r="H20" s="82"/>
      <c r="I20" s="82"/>
      <c r="J20" s="82"/>
      <c r="K20" s="82"/>
      <c r="L20" s="82"/>
      <c r="M20" s="80"/>
      <c r="N20" s="80"/>
      <c r="O20" s="80"/>
      <c r="P20" s="80"/>
      <c r="Q20" s="135"/>
      <c r="R20" s="80"/>
      <c r="S20" s="80"/>
      <c r="T20" s="80"/>
      <c r="U20" s="586"/>
      <c r="V20" s="498"/>
      <c r="X20" s="82"/>
      <c r="Y20" s="82"/>
      <c r="Z20" s="82"/>
      <c r="AA20" s="82"/>
      <c r="AB20" s="82"/>
      <c r="AC20" s="82"/>
      <c r="AD20" s="82"/>
    </row>
    <row r="21" spans="1:31" ht="17.100000000000001" customHeight="1" x14ac:dyDescent="0.3">
      <c r="A21" s="658">
        <v>95842831</v>
      </c>
      <c r="B21" s="628">
        <v>10</v>
      </c>
      <c r="C21" s="660" t="s">
        <v>341</v>
      </c>
      <c r="D21" s="661" t="s">
        <v>262</v>
      </c>
      <c r="E21" s="159"/>
      <c r="F21" s="82"/>
      <c r="G21" s="82"/>
      <c r="H21" s="82"/>
      <c r="I21" s="82"/>
      <c r="J21" s="82"/>
      <c r="K21" s="82"/>
      <c r="L21" s="82"/>
      <c r="M21" s="80"/>
      <c r="N21" s="80"/>
      <c r="O21" s="80"/>
      <c r="P21" s="80"/>
      <c r="Q21" s="135"/>
      <c r="R21" s="80"/>
      <c r="S21" s="80"/>
      <c r="T21" s="80"/>
      <c r="U21" s="586"/>
      <c r="V21" s="498"/>
      <c r="X21" s="82"/>
      <c r="Y21" s="82"/>
      <c r="Z21" s="82"/>
      <c r="AA21" s="82"/>
      <c r="AB21" s="82"/>
      <c r="AC21" s="82"/>
      <c r="AD21" s="82"/>
    </row>
    <row r="22" spans="1:31" ht="17.100000000000001" customHeight="1" x14ac:dyDescent="0.3">
      <c r="A22" s="658">
        <v>95699640</v>
      </c>
      <c r="B22" s="659">
        <v>10</v>
      </c>
      <c r="C22" s="660" t="s">
        <v>345</v>
      </c>
      <c r="D22" s="661" t="s">
        <v>262</v>
      </c>
      <c r="E22" s="160"/>
      <c r="F22" s="82"/>
      <c r="G22" s="82"/>
      <c r="H22" s="82"/>
      <c r="I22" s="82"/>
      <c r="J22" s="82"/>
      <c r="K22" s="82"/>
      <c r="L22" s="82"/>
      <c r="M22" s="80"/>
      <c r="N22" s="80"/>
      <c r="O22" s="80"/>
      <c r="P22" s="80"/>
      <c r="Q22" s="135"/>
      <c r="R22" s="80"/>
      <c r="S22" s="80"/>
      <c r="T22" s="80"/>
      <c r="U22" s="586"/>
      <c r="V22" s="498"/>
      <c r="X22" s="82"/>
      <c r="Y22" s="82"/>
      <c r="Z22" s="82"/>
      <c r="AA22" s="82"/>
      <c r="AB22" s="82"/>
      <c r="AC22" s="82"/>
      <c r="AD22" s="82"/>
      <c r="AE22" s="82"/>
    </row>
    <row r="23" spans="1:31" ht="17.100000000000001" customHeight="1" x14ac:dyDescent="0.3">
      <c r="A23" s="658">
        <v>70432729</v>
      </c>
      <c r="B23" s="628">
        <v>10</v>
      </c>
      <c r="C23" s="622" t="s">
        <v>339</v>
      </c>
      <c r="D23" s="641" t="s">
        <v>262</v>
      </c>
      <c r="E23" s="160"/>
      <c r="F23" s="82"/>
      <c r="G23" s="82"/>
      <c r="H23" s="82"/>
      <c r="I23" s="82"/>
      <c r="J23" s="82"/>
      <c r="K23" s="82"/>
      <c r="L23" s="82"/>
      <c r="M23" s="80"/>
      <c r="N23" s="80"/>
      <c r="O23" s="80"/>
      <c r="P23" s="80"/>
      <c r="Q23" s="135"/>
      <c r="R23" s="80"/>
      <c r="S23" s="80"/>
      <c r="T23" s="80"/>
      <c r="U23" s="586"/>
      <c r="V23" s="498"/>
      <c r="X23" s="82"/>
      <c r="Y23" s="82"/>
      <c r="Z23" s="82"/>
      <c r="AA23" s="82"/>
      <c r="AB23" s="82"/>
      <c r="AC23" s="82"/>
      <c r="AD23" s="82"/>
      <c r="AE23" s="82"/>
    </row>
    <row r="24" spans="1:31" ht="17.100000000000001" customHeight="1" x14ac:dyDescent="0.3">
      <c r="A24" s="658">
        <v>71305072</v>
      </c>
      <c r="B24" s="659">
        <v>10</v>
      </c>
      <c r="C24" s="622" t="s">
        <v>340</v>
      </c>
      <c r="D24" s="641" t="s">
        <v>265</v>
      </c>
      <c r="E24" s="160"/>
      <c r="F24" s="82"/>
      <c r="G24" s="82"/>
      <c r="H24" s="82"/>
      <c r="I24" s="82"/>
      <c r="J24" s="82"/>
      <c r="K24" s="82"/>
      <c r="L24" s="82"/>
      <c r="M24" s="80"/>
      <c r="N24" s="80"/>
      <c r="O24" s="80"/>
      <c r="P24" s="80"/>
      <c r="Q24" s="135"/>
      <c r="R24" s="80"/>
      <c r="S24" s="80"/>
      <c r="T24" s="80"/>
      <c r="U24" s="586"/>
      <c r="V24" s="498"/>
      <c r="X24" s="82"/>
      <c r="Y24" s="82"/>
      <c r="Z24" s="82"/>
      <c r="AA24" s="82"/>
      <c r="AB24" s="82"/>
      <c r="AC24" s="82"/>
      <c r="AD24" s="82"/>
      <c r="AE24" s="82"/>
    </row>
    <row r="25" spans="1:31" ht="17.100000000000001" customHeight="1" x14ac:dyDescent="0.3">
      <c r="A25" s="658">
        <v>95618151</v>
      </c>
      <c r="B25" s="659">
        <v>10</v>
      </c>
      <c r="C25" s="622" t="s">
        <v>346</v>
      </c>
      <c r="D25" s="641" t="s">
        <v>262</v>
      </c>
      <c r="E25" s="160"/>
      <c r="F25" s="82"/>
      <c r="G25" s="82"/>
      <c r="H25" s="82"/>
      <c r="I25" s="82"/>
      <c r="J25" s="82"/>
      <c r="K25" s="82"/>
      <c r="L25" s="82"/>
      <c r="M25" s="80"/>
      <c r="N25" s="80"/>
      <c r="O25" s="80"/>
      <c r="P25" s="80"/>
      <c r="Q25" s="135"/>
      <c r="R25" s="80"/>
      <c r="S25" s="80"/>
      <c r="T25" s="80"/>
      <c r="U25" s="586"/>
      <c r="V25" s="498"/>
      <c r="X25" s="82"/>
      <c r="Y25" s="82"/>
      <c r="Z25" s="82"/>
      <c r="AA25" s="82"/>
      <c r="AB25" s="82"/>
      <c r="AC25" s="82"/>
      <c r="AD25" s="82"/>
      <c r="AE25" s="82"/>
    </row>
    <row r="26" spans="1:31" ht="17.100000000000001" customHeight="1" x14ac:dyDescent="0.3">
      <c r="A26" s="658"/>
      <c r="B26" s="659"/>
      <c r="C26" s="622"/>
      <c r="D26" s="641"/>
      <c r="E26" s="160"/>
      <c r="F26" s="82"/>
      <c r="G26" s="82"/>
      <c r="H26" s="82"/>
      <c r="I26" s="82"/>
      <c r="J26" s="82"/>
      <c r="K26" s="82"/>
      <c r="L26" s="82"/>
      <c r="M26" s="80"/>
      <c r="N26" s="80"/>
      <c r="O26" s="80"/>
      <c r="P26" s="80"/>
      <c r="Q26" s="135"/>
      <c r="R26" s="80"/>
      <c r="S26" s="80"/>
      <c r="T26" s="80"/>
      <c r="U26" s="586"/>
      <c r="V26" s="498"/>
      <c r="X26" s="82"/>
      <c r="Y26" s="82"/>
      <c r="Z26" s="82"/>
      <c r="AA26" s="82"/>
      <c r="AB26" s="82"/>
      <c r="AC26" s="82"/>
      <c r="AD26" s="82"/>
      <c r="AE26" s="82"/>
    </row>
    <row r="27" spans="1:31" ht="17.100000000000001" customHeight="1" x14ac:dyDescent="0.3">
      <c r="A27" s="658"/>
      <c r="B27" s="659"/>
      <c r="C27" s="622"/>
      <c r="D27" s="641"/>
      <c r="E27" s="160"/>
      <c r="F27" s="82"/>
      <c r="G27" s="82"/>
      <c r="H27" s="82"/>
      <c r="I27" s="82"/>
      <c r="J27" s="82"/>
      <c r="K27" s="82"/>
      <c r="L27" s="82"/>
      <c r="M27" s="80"/>
      <c r="N27" s="80"/>
      <c r="O27" s="80"/>
      <c r="P27" s="80"/>
      <c r="Q27" s="135"/>
      <c r="R27" s="80"/>
      <c r="S27" s="80"/>
      <c r="T27" s="80"/>
      <c r="U27" s="586"/>
      <c r="V27" s="498"/>
      <c r="X27" s="82"/>
      <c r="Y27" s="82"/>
      <c r="Z27" s="82"/>
      <c r="AA27" s="82"/>
      <c r="AB27" s="82"/>
      <c r="AC27" s="82"/>
      <c r="AD27" s="82"/>
      <c r="AE27" s="82"/>
    </row>
    <row r="28" spans="1:31" ht="17.100000000000001" customHeight="1" x14ac:dyDescent="0.3">
      <c r="A28" s="627"/>
      <c r="B28" s="628"/>
      <c r="C28" s="622"/>
      <c r="D28" s="641"/>
      <c r="E28" s="160"/>
      <c r="F28" s="82"/>
      <c r="G28" s="82"/>
      <c r="H28" s="82"/>
      <c r="I28" s="82"/>
      <c r="J28" s="82"/>
      <c r="K28" s="82"/>
      <c r="L28" s="82"/>
      <c r="M28" s="80"/>
      <c r="N28" s="80"/>
      <c r="O28" s="80"/>
      <c r="P28" s="80"/>
      <c r="Q28" s="135"/>
      <c r="R28" s="80"/>
      <c r="S28" s="80"/>
      <c r="T28" s="80"/>
      <c r="U28" s="586"/>
      <c r="V28" s="498"/>
      <c r="X28" s="82"/>
      <c r="Y28" s="82"/>
      <c r="Z28" s="82"/>
      <c r="AA28" s="82"/>
      <c r="AB28" s="82"/>
      <c r="AC28" s="82"/>
      <c r="AD28" s="82"/>
      <c r="AE28" s="82"/>
    </row>
    <row r="29" spans="1:31" ht="17.100000000000001" customHeight="1" x14ac:dyDescent="0.3">
      <c r="A29" s="627"/>
      <c r="B29" s="628"/>
      <c r="C29" s="622"/>
      <c r="D29" s="641"/>
      <c r="E29" s="160"/>
      <c r="F29" s="82"/>
      <c r="G29" s="82"/>
      <c r="H29" s="82"/>
      <c r="I29" s="82"/>
      <c r="J29" s="82"/>
      <c r="K29" s="82"/>
      <c r="L29" s="82"/>
      <c r="M29" s="80"/>
      <c r="N29" s="80"/>
      <c r="O29" s="80"/>
      <c r="P29" s="80"/>
      <c r="Q29" s="135"/>
      <c r="R29" s="80"/>
      <c r="S29" s="80"/>
      <c r="T29" s="80"/>
      <c r="U29" s="586"/>
      <c r="V29" s="498"/>
      <c r="X29" s="82"/>
      <c r="Y29" s="82"/>
      <c r="Z29" s="82"/>
      <c r="AA29" s="82"/>
      <c r="AB29" s="82"/>
      <c r="AC29" s="82"/>
      <c r="AD29" s="82"/>
      <c r="AE29" s="82"/>
    </row>
    <row r="30" spans="1:31" ht="17.100000000000001" customHeight="1" x14ac:dyDescent="0.3">
      <c r="A30" s="630"/>
      <c r="B30" s="631"/>
      <c r="C30" s="624"/>
      <c r="D30" s="645"/>
      <c r="E30" s="160"/>
      <c r="F30" s="82"/>
      <c r="G30" s="82"/>
      <c r="H30" s="82"/>
      <c r="I30" s="82"/>
      <c r="J30" s="82"/>
      <c r="K30" s="82"/>
      <c r="L30" s="82"/>
      <c r="M30" s="80"/>
      <c r="N30" s="135"/>
      <c r="O30" s="80"/>
      <c r="P30" s="81"/>
      <c r="Q30" s="81"/>
      <c r="R30" s="80"/>
      <c r="S30" s="80"/>
      <c r="T30" s="80"/>
      <c r="U30" s="586"/>
      <c r="V30" s="498"/>
      <c r="X30" s="82"/>
      <c r="Y30" s="82"/>
      <c r="Z30" s="82"/>
      <c r="AA30" s="82"/>
      <c r="AB30" s="82"/>
      <c r="AC30" s="82"/>
      <c r="AD30" s="82"/>
      <c r="AE30" s="82"/>
    </row>
    <row r="31" spans="1:31" ht="17.100000000000001" customHeight="1" x14ac:dyDescent="0.3">
      <c r="A31" s="587" t="s">
        <v>276</v>
      </c>
      <c r="B31" s="587"/>
      <c r="C31" s="588" t="s">
        <v>332</v>
      </c>
      <c r="D31" s="559"/>
      <c r="E31" s="160"/>
      <c r="F31" s="82"/>
      <c r="G31" s="82"/>
      <c r="H31" s="82"/>
      <c r="I31" s="82"/>
      <c r="J31" s="82"/>
      <c r="K31" s="82"/>
      <c r="L31" s="82"/>
      <c r="M31" s="80"/>
      <c r="N31" s="80"/>
      <c r="O31" s="80"/>
      <c r="P31" s="81"/>
      <c r="R31" s="80"/>
      <c r="S31" s="80"/>
      <c r="T31" s="80"/>
      <c r="U31" s="586"/>
      <c r="V31" s="498"/>
      <c r="X31" s="82"/>
      <c r="Y31" s="82"/>
      <c r="Z31" s="82"/>
      <c r="AA31" s="82"/>
      <c r="AB31" s="82"/>
      <c r="AC31" s="82"/>
      <c r="AD31" s="82"/>
      <c r="AE31" s="82"/>
    </row>
    <row r="32" spans="1:31" ht="17.100000000000001" customHeight="1" x14ac:dyDescent="0.3">
      <c r="A32" s="632">
        <v>70234856</v>
      </c>
      <c r="B32" s="626">
        <v>9</v>
      </c>
      <c r="C32" s="621" t="s">
        <v>310</v>
      </c>
      <c r="D32" s="644" t="s">
        <v>263</v>
      </c>
      <c r="E32" s="160"/>
      <c r="F32" s="82"/>
      <c r="G32" s="82"/>
      <c r="H32" s="82"/>
      <c r="I32" s="82"/>
      <c r="J32" s="82"/>
      <c r="K32" s="82"/>
      <c r="L32" s="82"/>
      <c r="M32" s="80"/>
      <c r="N32" s="135"/>
      <c r="O32" s="135"/>
      <c r="P32" s="135"/>
      <c r="Q32" s="80"/>
      <c r="R32" s="80"/>
      <c r="S32" s="80"/>
      <c r="T32" s="80"/>
      <c r="U32" s="586"/>
      <c r="V32" s="498"/>
      <c r="X32" s="82"/>
      <c r="Y32" s="82"/>
      <c r="Z32" s="82"/>
      <c r="AA32" s="82"/>
      <c r="AB32" s="82"/>
      <c r="AC32" s="82"/>
      <c r="AD32" s="82"/>
      <c r="AE32" s="82"/>
    </row>
    <row r="33" spans="1:31" ht="17.100000000000001" customHeight="1" x14ac:dyDescent="0.3">
      <c r="A33" s="627">
        <v>95615023</v>
      </c>
      <c r="B33" s="628">
        <v>9</v>
      </c>
      <c r="C33" s="622" t="s">
        <v>305</v>
      </c>
      <c r="D33" s="641" t="s">
        <v>264</v>
      </c>
      <c r="E33" s="159"/>
      <c r="F33" s="82"/>
      <c r="G33" s="82"/>
      <c r="H33" s="82"/>
      <c r="I33" s="82"/>
      <c r="J33" s="82"/>
      <c r="K33" s="82"/>
      <c r="L33" s="82"/>
      <c r="M33" s="80"/>
      <c r="N33" s="80"/>
      <c r="O33" s="80"/>
      <c r="P33" s="81"/>
      <c r="Q33" s="498"/>
      <c r="R33" s="80"/>
      <c r="S33" s="80"/>
      <c r="T33" s="80"/>
      <c r="U33" s="586"/>
      <c r="V33" s="498"/>
      <c r="X33" s="82"/>
      <c r="Y33" s="82"/>
      <c r="Z33" s="82"/>
      <c r="AA33" s="82"/>
      <c r="AB33" s="82"/>
      <c r="AC33" s="82"/>
      <c r="AD33" s="82"/>
      <c r="AE33" s="82"/>
    </row>
    <row r="34" spans="1:31" ht="17.100000000000001" customHeight="1" x14ac:dyDescent="0.3">
      <c r="A34" s="627">
        <v>70214765</v>
      </c>
      <c r="B34" s="628">
        <v>9</v>
      </c>
      <c r="C34" s="622" t="s">
        <v>170</v>
      </c>
      <c r="D34" s="640" t="s">
        <v>260</v>
      </c>
      <c r="E34" s="160"/>
      <c r="F34" s="82"/>
      <c r="G34" s="82"/>
      <c r="H34" s="82"/>
      <c r="I34" s="82"/>
      <c r="J34" s="82"/>
      <c r="K34" s="82"/>
      <c r="L34" s="82"/>
      <c r="M34" s="80"/>
      <c r="N34" s="135"/>
      <c r="O34" s="80"/>
      <c r="P34" s="81"/>
      <c r="Q34" s="498"/>
      <c r="R34" s="80"/>
      <c r="S34" s="80"/>
      <c r="T34" s="80"/>
      <c r="U34" s="586"/>
      <c r="V34" s="498"/>
      <c r="X34" s="82"/>
      <c r="Y34" s="82"/>
      <c r="Z34" s="82"/>
      <c r="AA34" s="82"/>
      <c r="AB34" s="82"/>
      <c r="AC34" s="82"/>
      <c r="AD34" s="82"/>
      <c r="AE34" s="82"/>
    </row>
    <row r="35" spans="1:31" ht="17.100000000000001" customHeight="1" x14ac:dyDescent="0.3">
      <c r="A35" s="629">
        <v>95697011</v>
      </c>
      <c r="B35" s="628">
        <v>9</v>
      </c>
      <c r="C35" s="622" t="s">
        <v>151</v>
      </c>
      <c r="D35" s="641" t="s">
        <v>259</v>
      </c>
      <c r="E35" s="160"/>
      <c r="F35" s="82"/>
      <c r="G35" s="82"/>
      <c r="H35" s="82"/>
      <c r="I35" s="82"/>
      <c r="J35" s="82"/>
      <c r="K35" s="82"/>
      <c r="L35" s="82"/>
      <c r="M35" s="80"/>
      <c r="N35" s="135"/>
      <c r="O35" s="80"/>
      <c r="P35" s="81"/>
      <c r="Q35" s="498"/>
      <c r="R35" s="80"/>
      <c r="S35" s="80"/>
      <c r="T35" s="80"/>
      <c r="U35" s="586"/>
      <c r="V35" s="498"/>
      <c r="X35" s="501"/>
      <c r="Y35" s="501"/>
      <c r="Z35" s="501"/>
      <c r="AA35" s="501"/>
      <c r="AB35" s="82"/>
      <c r="AC35" s="82"/>
      <c r="AD35" s="82"/>
      <c r="AE35" s="82"/>
    </row>
    <row r="36" spans="1:31" ht="17.100000000000001" customHeight="1" x14ac:dyDescent="0.3">
      <c r="A36" s="629">
        <v>95475534</v>
      </c>
      <c r="B36" s="628">
        <v>9</v>
      </c>
      <c r="C36" s="622" t="s">
        <v>272</v>
      </c>
      <c r="D36" s="641" t="s">
        <v>261</v>
      </c>
      <c r="E36" s="160"/>
      <c r="F36" s="82"/>
      <c r="G36" s="82"/>
      <c r="H36" s="82"/>
      <c r="I36" s="82"/>
      <c r="J36" s="82"/>
      <c r="K36" s="82"/>
      <c r="L36" s="82"/>
      <c r="M36" s="80"/>
      <c r="N36" s="135"/>
      <c r="O36" s="80"/>
      <c r="P36" s="81"/>
      <c r="Q36" s="498"/>
      <c r="R36" s="80"/>
      <c r="S36" s="80"/>
      <c r="T36" s="80"/>
      <c r="U36" s="586"/>
      <c r="V36" s="498"/>
      <c r="X36" s="82"/>
      <c r="Y36" s="82"/>
      <c r="Z36" s="82"/>
      <c r="AA36" s="82"/>
      <c r="AB36" s="82"/>
      <c r="AC36" s="82"/>
      <c r="AD36" s="82"/>
      <c r="AE36" s="82"/>
    </row>
    <row r="37" spans="1:31" ht="17.100000000000001" customHeight="1" x14ac:dyDescent="0.3">
      <c r="A37" s="627">
        <v>95526948</v>
      </c>
      <c r="B37" s="628">
        <v>9</v>
      </c>
      <c r="C37" s="622" t="s">
        <v>203</v>
      </c>
      <c r="D37" s="641" t="s">
        <v>259</v>
      </c>
      <c r="E37" s="160"/>
      <c r="F37" s="82"/>
      <c r="G37" s="82"/>
      <c r="H37" s="82"/>
      <c r="J37" s="82"/>
      <c r="K37" s="82"/>
      <c r="L37" s="82"/>
      <c r="M37" s="80"/>
      <c r="N37" s="80"/>
      <c r="O37" s="80"/>
      <c r="P37" s="81"/>
      <c r="Q37" s="498"/>
      <c r="R37" s="80"/>
      <c r="S37" s="80"/>
      <c r="T37" s="80"/>
      <c r="U37" s="586"/>
      <c r="V37" s="498"/>
      <c r="X37" s="82"/>
      <c r="Y37" s="82"/>
      <c r="Z37" s="82"/>
      <c r="AA37" s="82"/>
      <c r="AB37" s="82"/>
      <c r="AC37" s="82"/>
      <c r="AD37" s="82"/>
      <c r="AE37" s="82"/>
    </row>
    <row r="38" spans="1:31" ht="17.100000000000001" customHeight="1" x14ac:dyDescent="0.3">
      <c r="A38" s="633">
        <v>96838720</v>
      </c>
      <c r="B38" s="628">
        <v>9</v>
      </c>
      <c r="C38" s="622" t="s">
        <v>251</v>
      </c>
      <c r="D38" s="641" t="s">
        <v>265</v>
      </c>
      <c r="E38" s="160"/>
      <c r="F38" s="82"/>
      <c r="G38" s="82"/>
      <c r="H38" s="82"/>
      <c r="I38" s="82"/>
      <c r="J38" s="82"/>
      <c r="K38" s="82"/>
      <c r="L38" s="82"/>
      <c r="M38" s="80"/>
      <c r="N38" s="135"/>
      <c r="O38" s="80"/>
      <c r="P38" s="81"/>
      <c r="Q38" s="498"/>
      <c r="R38" s="80"/>
      <c r="S38" s="80"/>
      <c r="T38" s="80"/>
      <c r="U38" s="586"/>
      <c r="V38" s="498"/>
      <c r="X38" s="82"/>
      <c r="Y38" s="82"/>
      <c r="Z38" s="82"/>
      <c r="AA38" s="82"/>
      <c r="AB38" s="82"/>
      <c r="AC38" s="82"/>
      <c r="AD38" s="82"/>
      <c r="AE38" s="82"/>
    </row>
    <row r="39" spans="1:31" ht="17.100000000000001" customHeight="1" x14ac:dyDescent="0.3">
      <c r="A39" s="627">
        <v>95697011</v>
      </c>
      <c r="B39" s="628">
        <v>9</v>
      </c>
      <c r="C39" s="622" t="s">
        <v>255</v>
      </c>
      <c r="D39" s="641" t="s">
        <v>261</v>
      </c>
      <c r="E39" s="160"/>
      <c r="F39" s="82"/>
      <c r="G39" s="82"/>
      <c r="H39" s="82"/>
      <c r="I39" s="82"/>
      <c r="J39" s="82"/>
      <c r="K39" s="82"/>
      <c r="L39" s="82"/>
      <c r="M39" s="80"/>
      <c r="N39" s="80"/>
      <c r="O39" s="80"/>
      <c r="P39" s="81"/>
      <c r="Q39" s="498"/>
      <c r="R39" s="80"/>
      <c r="S39" s="80"/>
      <c r="T39" s="80"/>
      <c r="U39" s="586"/>
      <c r="V39" s="498"/>
      <c r="X39" s="82"/>
      <c r="Y39" s="82"/>
      <c r="Z39" s="82"/>
      <c r="AA39" s="82"/>
      <c r="AB39" s="82"/>
      <c r="AC39" s="82"/>
      <c r="AD39" s="82"/>
    </row>
    <row r="40" spans="1:31" ht="17.100000000000001" customHeight="1" x14ac:dyDescent="0.3">
      <c r="A40" s="627">
        <v>71324049</v>
      </c>
      <c r="B40" s="628">
        <v>9</v>
      </c>
      <c r="C40" s="622" t="s">
        <v>329</v>
      </c>
      <c r="D40" s="641" t="s">
        <v>264</v>
      </c>
      <c r="E40" s="160"/>
      <c r="F40" s="82"/>
      <c r="G40" s="82"/>
      <c r="H40" s="82"/>
      <c r="I40" s="82"/>
      <c r="J40" s="82"/>
      <c r="K40" s="82"/>
      <c r="L40" s="82"/>
      <c r="M40" s="80"/>
      <c r="N40" s="80"/>
      <c r="O40" s="80"/>
      <c r="P40" s="81"/>
      <c r="Q40" s="498"/>
      <c r="R40" s="80"/>
      <c r="S40" s="80"/>
      <c r="T40" s="80"/>
      <c r="U40" s="586"/>
      <c r="V40" s="498"/>
      <c r="X40" s="82"/>
      <c r="Y40" s="82"/>
      <c r="Z40" s="82"/>
      <c r="AA40" s="82"/>
      <c r="AB40" s="82"/>
      <c r="AC40" s="82"/>
      <c r="AD40" s="82"/>
    </row>
    <row r="41" spans="1:31" ht="17.100000000000001" customHeight="1" x14ac:dyDescent="0.3">
      <c r="A41" s="627">
        <v>95608457</v>
      </c>
      <c r="B41" s="628">
        <v>9</v>
      </c>
      <c r="C41" s="622" t="s">
        <v>335</v>
      </c>
      <c r="D41" s="641" t="s">
        <v>262</v>
      </c>
      <c r="E41" s="160"/>
      <c r="F41" s="82"/>
      <c r="G41" s="82"/>
      <c r="H41" s="82"/>
      <c r="I41" s="82"/>
      <c r="J41" s="82"/>
      <c r="K41" s="82"/>
      <c r="L41" s="82"/>
      <c r="M41" s="80"/>
      <c r="N41" s="80"/>
      <c r="O41" s="80"/>
      <c r="P41" s="81"/>
      <c r="Q41" s="498"/>
      <c r="R41" s="80"/>
      <c r="S41" s="80"/>
      <c r="T41" s="80"/>
      <c r="U41" s="586"/>
      <c r="V41" s="498"/>
      <c r="X41" s="82"/>
      <c r="Y41" s="82"/>
      <c r="Z41" s="82"/>
      <c r="AA41" s="82"/>
      <c r="AB41" s="82"/>
      <c r="AC41" s="82"/>
      <c r="AD41" s="82"/>
    </row>
    <row r="42" spans="1:31" ht="17.100000000000001" customHeight="1" x14ac:dyDescent="0.3">
      <c r="A42" s="627">
        <v>95719781</v>
      </c>
      <c r="B42" s="628">
        <v>9</v>
      </c>
      <c r="C42" s="622" t="s">
        <v>338</v>
      </c>
      <c r="D42" s="641" t="s">
        <v>265</v>
      </c>
      <c r="E42" s="160"/>
      <c r="F42" s="82"/>
      <c r="G42" s="82"/>
      <c r="H42" s="82"/>
      <c r="I42" s="82"/>
      <c r="J42" s="82"/>
      <c r="K42" s="82"/>
      <c r="L42" s="82"/>
      <c r="M42" s="80"/>
      <c r="N42" s="80"/>
      <c r="O42" s="80"/>
      <c r="P42" s="81"/>
      <c r="Q42" s="498"/>
      <c r="R42" s="80"/>
      <c r="S42" s="80"/>
      <c r="T42" s="80"/>
      <c r="U42" s="586"/>
      <c r="V42" s="498"/>
      <c r="X42" s="82"/>
      <c r="Y42" s="82"/>
      <c r="Z42" s="82"/>
      <c r="AA42" s="82"/>
      <c r="AB42" s="82"/>
      <c r="AC42" s="82"/>
      <c r="AD42" s="82"/>
    </row>
    <row r="43" spans="1:31" ht="17.100000000000001" customHeight="1" x14ac:dyDescent="0.3">
      <c r="A43" s="629">
        <v>71324108</v>
      </c>
      <c r="B43" s="628">
        <v>7</v>
      </c>
      <c r="C43" s="622" t="s">
        <v>308</v>
      </c>
      <c r="D43" s="641" t="s">
        <v>264</v>
      </c>
      <c r="E43" s="160"/>
      <c r="F43" s="82"/>
      <c r="G43" s="82"/>
      <c r="H43" s="82"/>
      <c r="I43" s="82"/>
      <c r="J43" s="82"/>
      <c r="K43" s="82"/>
      <c r="L43" s="82"/>
      <c r="M43" s="80"/>
      <c r="N43" s="80"/>
      <c r="O43" s="80"/>
      <c r="P43" s="81"/>
      <c r="Q43" s="498"/>
      <c r="R43" s="80"/>
      <c r="S43" s="80"/>
      <c r="T43" s="80"/>
      <c r="U43" s="586"/>
      <c r="V43" s="498"/>
      <c r="X43" s="82"/>
      <c r="Y43" s="82"/>
      <c r="Z43" s="82"/>
      <c r="AA43" s="82"/>
      <c r="AB43" s="82"/>
      <c r="AC43" s="82"/>
      <c r="AD43" s="82"/>
    </row>
    <row r="44" spans="1:31" ht="17.100000000000001" customHeight="1" x14ac:dyDescent="0.3">
      <c r="A44" s="629">
        <v>71324109</v>
      </c>
      <c r="B44" s="628">
        <v>7</v>
      </c>
      <c r="C44" s="622" t="s">
        <v>307</v>
      </c>
      <c r="D44" s="641" t="s">
        <v>264</v>
      </c>
      <c r="E44" s="160"/>
      <c r="F44" s="82"/>
      <c r="G44" s="82"/>
      <c r="H44" s="82"/>
      <c r="I44" s="82"/>
      <c r="J44" s="82"/>
      <c r="K44" s="82"/>
      <c r="L44" s="82"/>
      <c r="M44" s="80"/>
      <c r="N44" s="80"/>
      <c r="O44" s="80"/>
      <c r="P44" s="81"/>
      <c r="Q44" s="498"/>
      <c r="R44" s="80"/>
      <c r="S44" s="80"/>
      <c r="T44" s="80"/>
      <c r="U44" s="586"/>
      <c r="V44" s="498"/>
      <c r="X44" s="82"/>
      <c r="Y44" s="82"/>
      <c r="Z44" s="82"/>
      <c r="AA44" s="82"/>
      <c r="AB44" s="82"/>
      <c r="AC44" s="82"/>
      <c r="AD44" s="82"/>
    </row>
    <row r="45" spans="1:31" ht="17.100000000000001" customHeight="1" x14ac:dyDescent="0.3">
      <c r="A45" s="629">
        <v>70152088</v>
      </c>
      <c r="B45" s="628">
        <v>7</v>
      </c>
      <c r="C45" s="622" t="s">
        <v>187</v>
      </c>
      <c r="D45" s="661" t="s">
        <v>266</v>
      </c>
      <c r="E45" s="160"/>
      <c r="F45" s="82"/>
      <c r="G45" s="82"/>
      <c r="H45" s="82"/>
      <c r="I45" s="82"/>
      <c r="J45" s="82"/>
      <c r="K45" s="82"/>
      <c r="L45" s="82"/>
      <c r="M45" s="80"/>
      <c r="N45" s="80"/>
      <c r="O45" s="80"/>
      <c r="P45" s="81"/>
      <c r="Q45" s="498"/>
      <c r="R45" s="80"/>
      <c r="S45" s="80"/>
      <c r="T45" s="80"/>
      <c r="U45" s="586"/>
      <c r="V45" s="498"/>
      <c r="X45" s="82"/>
      <c r="Y45" s="82"/>
      <c r="Z45" s="82"/>
      <c r="AA45" s="82"/>
      <c r="AB45" s="82"/>
      <c r="AC45" s="82"/>
      <c r="AD45" s="82"/>
    </row>
    <row r="46" spans="1:31" ht="17.100000000000001" customHeight="1" x14ac:dyDescent="0.3">
      <c r="A46" s="629">
        <v>71324110</v>
      </c>
      <c r="B46" s="628">
        <v>7</v>
      </c>
      <c r="C46" s="622" t="s">
        <v>306</v>
      </c>
      <c r="D46" s="641" t="s">
        <v>262</v>
      </c>
      <c r="E46" s="160"/>
      <c r="F46" s="82"/>
      <c r="G46" s="82"/>
      <c r="H46" s="82"/>
      <c r="I46" s="82"/>
      <c r="J46" s="82"/>
      <c r="K46" s="82"/>
      <c r="L46" s="82"/>
      <c r="M46" s="80"/>
      <c r="N46" s="80"/>
      <c r="O46" s="80"/>
      <c r="P46" s="81"/>
      <c r="Q46" s="498"/>
      <c r="R46" s="80"/>
      <c r="S46" s="80"/>
      <c r="T46" s="80"/>
      <c r="U46" s="586"/>
      <c r="V46" s="498"/>
      <c r="X46" s="82"/>
      <c r="Y46" s="82"/>
      <c r="Z46" s="82"/>
      <c r="AA46" s="82"/>
      <c r="AB46" s="82"/>
      <c r="AC46" s="82"/>
      <c r="AD46" s="82"/>
    </row>
    <row r="47" spans="1:31" ht="17.100000000000001" customHeight="1" x14ac:dyDescent="0.3">
      <c r="A47" s="709">
        <v>95688120</v>
      </c>
      <c r="B47" s="659">
        <v>7</v>
      </c>
      <c r="C47" s="660" t="s">
        <v>248</v>
      </c>
      <c r="D47" s="661" t="s">
        <v>264</v>
      </c>
      <c r="E47" s="160"/>
      <c r="F47" s="82"/>
      <c r="G47" s="82"/>
      <c r="H47" s="82"/>
      <c r="J47" s="82"/>
      <c r="K47" s="82"/>
      <c r="L47" s="82"/>
      <c r="M47" s="80"/>
      <c r="N47" s="135"/>
      <c r="O47" s="80"/>
      <c r="P47" s="81"/>
      <c r="Q47" s="498"/>
      <c r="R47" s="80"/>
      <c r="S47" s="80"/>
      <c r="T47" s="80"/>
      <c r="U47" s="586"/>
      <c r="V47" s="498"/>
      <c r="X47" s="82"/>
      <c r="Y47" s="82"/>
      <c r="Z47" s="82"/>
      <c r="AA47" s="82"/>
      <c r="AB47" s="82"/>
      <c r="AC47" s="82"/>
      <c r="AD47" s="82"/>
    </row>
    <row r="48" spans="1:31" ht="17.100000000000001" customHeight="1" x14ac:dyDescent="0.3">
      <c r="A48" s="627">
        <v>71324109</v>
      </c>
      <c r="B48" s="628">
        <v>7</v>
      </c>
      <c r="C48" s="622" t="s">
        <v>336</v>
      </c>
      <c r="D48" s="641" t="s">
        <v>264</v>
      </c>
      <c r="E48" s="160"/>
      <c r="F48" s="82"/>
      <c r="G48" s="82"/>
      <c r="H48" s="82"/>
      <c r="J48" s="82"/>
      <c r="K48" s="82"/>
      <c r="L48" s="82"/>
      <c r="M48" s="80"/>
      <c r="N48" s="135"/>
      <c r="O48" s="80"/>
      <c r="P48" s="81"/>
      <c r="Q48" s="498"/>
      <c r="R48" s="80"/>
      <c r="S48" s="80"/>
      <c r="T48" s="80"/>
      <c r="U48" s="586"/>
      <c r="V48" s="498"/>
      <c r="X48" s="82"/>
      <c r="Y48" s="82"/>
      <c r="Z48" s="82"/>
      <c r="AA48" s="82"/>
      <c r="AB48" s="82"/>
      <c r="AC48" s="82"/>
      <c r="AD48" s="82"/>
    </row>
    <row r="49" spans="1:30" ht="17.100000000000001" customHeight="1" x14ac:dyDescent="0.3">
      <c r="A49" s="709"/>
      <c r="B49" s="659"/>
      <c r="C49" s="660"/>
      <c r="D49" s="661"/>
      <c r="E49" s="160"/>
      <c r="F49" s="82"/>
      <c r="G49" s="82"/>
      <c r="H49" s="82"/>
      <c r="J49" s="82"/>
      <c r="K49" s="82"/>
      <c r="L49" s="82"/>
      <c r="M49" s="80"/>
      <c r="N49" s="135"/>
      <c r="O49" s="80"/>
      <c r="P49" s="81"/>
      <c r="Q49" s="498"/>
      <c r="R49" s="80"/>
      <c r="S49" s="80"/>
      <c r="T49" s="80"/>
      <c r="U49" s="586"/>
      <c r="V49" s="498"/>
      <c r="X49" s="82"/>
      <c r="Y49" s="82"/>
      <c r="Z49" s="82"/>
      <c r="AA49" s="82"/>
      <c r="AB49" s="82"/>
      <c r="AC49" s="82"/>
      <c r="AD49" s="82"/>
    </row>
    <row r="50" spans="1:30" ht="17.100000000000001" customHeight="1" x14ac:dyDescent="0.3">
      <c r="A50" s="627"/>
      <c r="B50" s="628"/>
      <c r="C50" s="622"/>
      <c r="D50" s="641"/>
      <c r="E50" s="160"/>
      <c r="F50" s="82"/>
      <c r="G50" s="82"/>
      <c r="H50" s="82"/>
      <c r="J50" s="82"/>
      <c r="K50" s="82"/>
      <c r="L50" s="82"/>
      <c r="M50" s="80"/>
      <c r="N50" s="80"/>
      <c r="O50" s="80"/>
      <c r="P50" s="81"/>
      <c r="Q50" s="498"/>
      <c r="R50" s="80"/>
      <c r="X50" s="82"/>
      <c r="Y50" s="82"/>
      <c r="Z50" s="82"/>
      <c r="AA50" s="82"/>
      <c r="AB50" s="82"/>
      <c r="AC50" s="82"/>
      <c r="AD50" s="82"/>
    </row>
    <row r="51" spans="1:30" ht="17.100000000000001" customHeight="1" x14ac:dyDescent="0.3">
      <c r="A51" s="709"/>
      <c r="B51" s="659"/>
      <c r="C51" s="660"/>
      <c r="D51" s="661"/>
      <c r="E51" s="160"/>
      <c r="F51" s="82"/>
      <c r="G51" s="82"/>
      <c r="H51" s="82"/>
      <c r="J51" s="82"/>
      <c r="K51" s="82"/>
      <c r="L51" s="82"/>
      <c r="M51" s="80"/>
      <c r="N51" s="80"/>
      <c r="O51" s="80"/>
      <c r="P51" s="81"/>
      <c r="Q51" s="498"/>
      <c r="R51" s="80"/>
      <c r="S51" s="80"/>
      <c r="T51" s="80"/>
      <c r="U51" s="586"/>
      <c r="V51" s="498"/>
      <c r="X51" s="82"/>
      <c r="Y51" s="82"/>
      <c r="Z51" s="82"/>
      <c r="AA51" s="82"/>
      <c r="AB51" s="82"/>
      <c r="AC51" s="82"/>
      <c r="AD51" s="82"/>
    </row>
    <row r="52" spans="1:30" ht="17.100000000000001" customHeight="1" x14ac:dyDescent="0.3">
      <c r="A52" s="629"/>
      <c r="B52" s="628"/>
      <c r="C52" s="622"/>
      <c r="D52" s="661"/>
      <c r="E52" s="160"/>
      <c r="F52" s="82"/>
      <c r="G52" s="82"/>
      <c r="H52" s="82"/>
      <c r="J52" s="82"/>
      <c r="K52" s="82"/>
      <c r="L52" s="82"/>
      <c r="M52" s="80"/>
      <c r="N52" s="80"/>
      <c r="O52" s="80"/>
      <c r="P52" s="81"/>
      <c r="Q52" s="498"/>
      <c r="R52" s="80"/>
      <c r="S52" s="80"/>
      <c r="T52" s="80"/>
      <c r="U52" s="586"/>
      <c r="V52" s="498"/>
      <c r="X52" s="82"/>
      <c r="Y52" s="82"/>
      <c r="Z52" s="82"/>
      <c r="AA52" s="82"/>
      <c r="AB52" s="82"/>
      <c r="AC52" s="82"/>
      <c r="AD52" s="82"/>
    </row>
    <row r="53" spans="1:30" ht="17.100000000000001" customHeight="1" x14ac:dyDescent="0.3">
      <c r="A53" s="629"/>
      <c r="B53" s="628"/>
      <c r="C53" s="622"/>
      <c r="D53" s="661"/>
      <c r="E53" s="160"/>
      <c r="F53" s="82"/>
      <c r="G53" s="82"/>
      <c r="H53" s="82"/>
      <c r="J53" s="82"/>
      <c r="K53" s="82"/>
      <c r="L53" s="82"/>
      <c r="M53" s="80"/>
      <c r="N53" s="80"/>
      <c r="O53" s="80"/>
      <c r="P53" s="81"/>
      <c r="Q53" s="498"/>
      <c r="R53" s="80"/>
      <c r="S53" s="80"/>
      <c r="T53" s="80"/>
      <c r="U53" s="586"/>
      <c r="V53" s="498"/>
      <c r="X53" s="82"/>
      <c r="Y53" s="82"/>
      <c r="Z53" s="82"/>
      <c r="AA53" s="82"/>
      <c r="AB53" s="82"/>
      <c r="AC53" s="82"/>
      <c r="AD53" s="82"/>
    </row>
    <row r="54" spans="1:30" ht="17.100000000000001" customHeight="1" x14ac:dyDescent="0.3">
      <c r="A54" s="629" t="s">
        <v>56</v>
      </c>
      <c r="B54" s="628" t="s">
        <v>56</v>
      </c>
      <c r="C54" s="622" t="s">
        <v>56</v>
      </c>
      <c r="D54" s="661"/>
      <c r="E54" s="160"/>
      <c r="F54" s="82"/>
      <c r="G54" s="82"/>
      <c r="H54" s="82"/>
      <c r="J54" s="82"/>
      <c r="K54" s="82"/>
      <c r="L54" s="82"/>
      <c r="M54" s="80"/>
      <c r="N54" s="80"/>
      <c r="O54" s="80"/>
      <c r="P54" s="81"/>
      <c r="Q54" s="498"/>
      <c r="R54" s="80"/>
      <c r="S54" s="80"/>
      <c r="T54" s="80"/>
      <c r="U54" s="586"/>
      <c r="V54" s="498"/>
      <c r="X54" s="82"/>
      <c r="Y54" s="82"/>
      <c r="Z54" s="82"/>
      <c r="AA54" s="82"/>
      <c r="AB54" s="82"/>
      <c r="AC54" s="82"/>
      <c r="AD54" s="82"/>
    </row>
    <row r="55" spans="1:30" ht="17.100000000000001" customHeight="1" x14ac:dyDescent="0.3">
      <c r="A55" s="634" t="s">
        <v>56</v>
      </c>
      <c r="B55" s="631" t="s">
        <v>56</v>
      </c>
      <c r="C55" s="624" t="s">
        <v>56</v>
      </c>
      <c r="D55" s="645"/>
      <c r="E55" s="160"/>
      <c r="F55" s="82"/>
      <c r="G55" s="82"/>
      <c r="H55" s="82"/>
      <c r="I55" s="82"/>
      <c r="J55" s="82"/>
      <c r="K55" s="82"/>
      <c r="L55" s="82"/>
      <c r="M55" s="80"/>
      <c r="N55" s="135"/>
      <c r="O55" s="80"/>
      <c r="P55" s="81"/>
      <c r="Q55" s="498"/>
      <c r="R55" s="80"/>
      <c r="S55" s="80"/>
      <c r="T55" s="80"/>
      <c r="U55" s="81"/>
      <c r="V55" s="462"/>
      <c r="W55" s="159"/>
      <c r="X55" s="82"/>
      <c r="Y55" s="82"/>
      <c r="Z55" s="82"/>
      <c r="AA55" s="82"/>
      <c r="AB55" s="82"/>
      <c r="AC55" s="82"/>
      <c r="AD55" s="82"/>
    </row>
    <row r="56" spans="1:30" ht="17.100000000000001" customHeight="1" x14ac:dyDescent="0.3">
      <c r="A56" s="587" t="s">
        <v>81</v>
      </c>
      <c r="B56" s="587"/>
      <c r="C56" s="588" t="s">
        <v>122</v>
      </c>
      <c r="D56" s="592"/>
      <c r="E56" s="159"/>
      <c r="F56" s="81"/>
      <c r="G56" s="81"/>
      <c r="H56" s="81"/>
      <c r="I56" s="81"/>
      <c r="J56" s="81"/>
      <c r="K56" s="81"/>
      <c r="L56" s="81"/>
      <c r="M56" s="80"/>
      <c r="N56" s="135"/>
      <c r="O56" s="80"/>
      <c r="P56" s="81"/>
      <c r="Q56" s="498"/>
      <c r="R56" s="80"/>
      <c r="S56" s="80"/>
      <c r="T56" s="80"/>
      <c r="U56" s="586"/>
      <c r="V56" s="593"/>
    </row>
    <row r="57" spans="1:30" ht="17.100000000000001" customHeight="1" x14ac:dyDescent="0.3">
      <c r="A57" s="629">
        <v>95796890</v>
      </c>
      <c r="B57" s="628">
        <v>9</v>
      </c>
      <c r="C57" s="695" t="s">
        <v>196</v>
      </c>
      <c r="D57" s="696" t="s">
        <v>264</v>
      </c>
      <c r="E57" s="159"/>
      <c r="F57" s="82"/>
      <c r="G57" s="82"/>
      <c r="H57" s="82"/>
      <c r="I57" s="82"/>
      <c r="J57" s="82"/>
      <c r="K57" s="82"/>
      <c r="L57" s="82"/>
      <c r="M57" s="80"/>
      <c r="N57" s="80"/>
      <c r="O57" s="80"/>
      <c r="P57" s="81"/>
      <c r="Q57" s="161"/>
      <c r="R57" s="80"/>
      <c r="S57" s="80"/>
      <c r="T57" s="80"/>
      <c r="U57" s="590"/>
      <c r="V57" s="593"/>
      <c r="W57" s="82"/>
      <c r="X57" s="82"/>
      <c r="Y57" s="82"/>
    </row>
    <row r="58" spans="1:30" ht="17.100000000000001" customHeight="1" x14ac:dyDescent="0.3">
      <c r="A58" s="709"/>
      <c r="B58" s="659"/>
      <c r="C58" s="714"/>
      <c r="D58" s="715"/>
      <c r="E58" s="159"/>
      <c r="F58" s="82"/>
      <c r="G58" s="82"/>
      <c r="H58" s="82"/>
      <c r="I58" s="82"/>
      <c r="J58" s="82"/>
      <c r="K58" s="82"/>
      <c r="L58" s="82"/>
      <c r="M58" s="80"/>
      <c r="N58" s="80"/>
      <c r="O58" s="80"/>
      <c r="P58" s="81"/>
      <c r="Q58" s="161"/>
      <c r="R58" s="80"/>
      <c r="S58" s="80"/>
      <c r="T58" s="80"/>
      <c r="U58" s="586"/>
      <c r="V58" s="591"/>
      <c r="W58" s="82"/>
      <c r="X58" s="82"/>
      <c r="Y58" s="82"/>
    </row>
    <row r="59" spans="1:30" ht="17.100000000000001" customHeight="1" x14ac:dyDescent="0.3">
      <c r="A59" s="629"/>
      <c r="B59" s="628"/>
      <c r="C59" s="695"/>
      <c r="D59" s="696"/>
      <c r="E59" s="159"/>
      <c r="F59" s="82"/>
      <c r="G59" s="82"/>
      <c r="H59" s="82"/>
      <c r="I59" s="82"/>
      <c r="J59" s="82"/>
      <c r="K59" s="82"/>
      <c r="L59" s="82"/>
      <c r="M59" s="80"/>
      <c r="N59" s="80"/>
      <c r="O59" s="80"/>
      <c r="P59" s="81"/>
      <c r="Q59" s="161"/>
      <c r="R59" s="80"/>
      <c r="S59" s="80"/>
      <c r="T59" s="80"/>
      <c r="U59" s="586"/>
      <c r="V59" s="591"/>
      <c r="W59" s="82"/>
      <c r="X59" s="82"/>
      <c r="Y59" s="82"/>
    </row>
    <row r="60" spans="1:30" ht="17.100000000000001" customHeight="1" x14ac:dyDescent="0.3">
      <c r="A60" s="709"/>
      <c r="B60" s="659"/>
      <c r="C60" s="714"/>
      <c r="D60" s="715"/>
      <c r="E60" s="159"/>
      <c r="F60" s="82"/>
      <c r="G60" s="82"/>
      <c r="H60" s="82"/>
      <c r="I60" s="82"/>
      <c r="J60" s="82"/>
      <c r="K60" s="82"/>
      <c r="L60" s="82"/>
      <c r="M60" s="80"/>
      <c r="N60" s="80"/>
      <c r="O60" s="80"/>
      <c r="P60" s="138"/>
      <c r="Q60" s="161"/>
      <c r="R60" s="80"/>
      <c r="S60" s="80"/>
      <c r="T60" s="80"/>
      <c r="U60" s="586"/>
      <c r="V60" s="591"/>
      <c r="W60" s="82"/>
      <c r="X60" s="82"/>
      <c r="Y60" s="82"/>
    </row>
    <row r="61" spans="1:30" ht="17.100000000000001" customHeight="1" x14ac:dyDescent="0.3">
      <c r="A61" s="716" t="s">
        <v>56</v>
      </c>
      <c r="B61" s="659"/>
      <c r="C61" s="714" t="s">
        <v>56</v>
      </c>
      <c r="D61" s="715"/>
      <c r="E61" s="159"/>
      <c r="F61" s="82"/>
      <c r="G61" s="82"/>
      <c r="H61" s="82"/>
      <c r="I61" s="82"/>
      <c r="J61" s="82"/>
      <c r="K61" s="82"/>
      <c r="L61" s="82"/>
      <c r="M61" s="80"/>
      <c r="N61" s="80"/>
      <c r="O61" s="80"/>
      <c r="P61" s="138"/>
      <c r="Q61" s="161"/>
      <c r="R61" s="80"/>
      <c r="S61" s="80"/>
      <c r="T61" s="80"/>
      <c r="U61" s="586"/>
      <c r="V61" s="591"/>
      <c r="W61" s="82"/>
      <c r="X61" s="82"/>
      <c r="Y61" s="82"/>
    </row>
    <row r="62" spans="1:30" ht="17.100000000000001" customHeight="1" x14ac:dyDescent="0.3">
      <c r="A62" s="717" t="s">
        <v>56</v>
      </c>
      <c r="B62" s="718"/>
      <c r="C62" s="718" t="s">
        <v>56</v>
      </c>
      <c r="D62" s="719"/>
      <c r="E62" s="159"/>
      <c r="F62" s="82"/>
      <c r="G62" s="82"/>
      <c r="H62" s="82"/>
      <c r="I62" s="82"/>
      <c r="J62" s="82"/>
      <c r="K62" s="82"/>
      <c r="L62" s="82"/>
      <c r="M62" s="80"/>
      <c r="N62" s="80"/>
      <c r="O62" s="80"/>
      <c r="P62" s="80"/>
      <c r="Q62" s="80"/>
      <c r="R62" s="80"/>
      <c r="S62" s="80"/>
      <c r="T62" s="80"/>
      <c r="U62" s="586"/>
      <c r="V62" s="593"/>
    </row>
    <row r="63" spans="1:30" ht="17.100000000000001" customHeight="1" x14ac:dyDescent="0.3">
      <c r="A63" s="587" t="s">
        <v>82</v>
      </c>
      <c r="B63" s="587"/>
      <c r="C63" s="588" t="s">
        <v>123</v>
      </c>
      <c r="D63" s="592"/>
      <c r="E63" s="161"/>
      <c r="F63" s="81"/>
      <c r="G63" s="81"/>
      <c r="H63" s="81"/>
      <c r="I63" s="81"/>
      <c r="J63" s="81"/>
      <c r="K63" s="81"/>
      <c r="L63" s="81"/>
      <c r="M63" s="80"/>
      <c r="N63" s="80"/>
      <c r="O63" s="80"/>
      <c r="P63" s="80"/>
      <c r="Q63" s="80"/>
      <c r="R63" s="80"/>
      <c r="S63" s="80"/>
      <c r="T63" s="80"/>
      <c r="U63" s="586"/>
      <c r="V63" s="593"/>
    </row>
    <row r="64" spans="1:30" ht="17.100000000000001" customHeight="1" x14ac:dyDescent="0.3">
      <c r="A64" s="632">
        <v>70222754</v>
      </c>
      <c r="B64" s="626">
        <v>5</v>
      </c>
      <c r="C64" s="621" t="s">
        <v>145</v>
      </c>
      <c r="D64" s="635" t="s">
        <v>264</v>
      </c>
      <c r="E64" s="161"/>
      <c r="F64" s="82"/>
      <c r="G64" s="82"/>
      <c r="H64" s="82"/>
      <c r="I64" s="82"/>
      <c r="J64" s="82"/>
      <c r="K64" s="82"/>
      <c r="L64" s="82"/>
      <c r="M64" s="80"/>
      <c r="N64" s="80"/>
      <c r="O64" s="80"/>
      <c r="P64" s="80"/>
      <c r="Q64" s="80"/>
      <c r="R64" s="80"/>
      <c r="S64" s="80"/>
      <c r="T64" s="80"/>
      <c r="U64" s="586"/>
      <c r="V64" s="593"/>
    </row>
    <row r="65" spans="1:29" ht="17.100000000000001" customHeight="1" x14ac:dyDescent="0.3">
      <c r="A65" s="712">
        <v>95626567</v>
      </c>
      <c r="B65" s="639">
        <v>4</v>
      </c>
      <c r="C65" s="622" t="s">
        <v>348</v>
      </c>
      <c r="D65" s="640" t="s">
        <v>260</v>
      </c>
      <c r="E65" s="161"/>
      <c r="F65" s="82"/>
      <c r="G65" s="82"/>
      <c r="H65" s="82"/>
      <c r="I65" s="82"/>
      <c r="J65" s="82"/>
      <c r="K65" s="82"/>
      <c r="L65" s="82"/>
      <c r="M65" s="80"/>
      <c r="N65" s="80"/>
      <c r="O65" s="80"/>
      <c r="P65" s="80"/>
      <c r="Q65" s="80"/>
      <c r="R65" s="80"/>
      <c r="S65" s="80"/>
      <c r="T65" s="80"/>
      <c r="U65" s="586"/>
      <c r="V65" s="591"/>
    </row>
    <row r="66" spans="1:29" ht="17.100000000000001" customHeight="1" x14ac:dyDescent="0.3">
      <c r="A66" s="712">
        <v>95849818</v>
      </c>
      <c r="B66" s="639">
        <v>4</v>
      </c>
      <c r="C66" s="622" t="s">
        <v>83</v>
      </c>
      <c r="D66" s="640" t="s">
        <v>260</v>
      </c>
      <c r="E66" s="161"/>
      <c r="F66" s="82"/>
      <c r="G66" s="82"/>
      <c r="H66" s="82"/>
      <c r="I66" s="82"/>
      <c r="J66" s="82"/>
      <c r="K66" s="82"/>
      <c r="L66" s="82"/>
      <c r="M66" s="80"/>
      <c r="N66" s="80"/>
      <c r="O66" s="80"/>
      <c r="P66" s="80"/>
      <c r="Q66" s="80"/>
      <c r="R66" s="80"/>
      <c r="S66" s="80"/>
      <c r="T66" s="80"/>
      <c r="U66" s="586"/>
      <c r="V66" s="591"/>
    </row>
    <row r="67" spans="1:29" ht="17.100000000000001" customHeight="1" x14ac:dyDescent="0.3">
      <c r="A67" s="637">
        <v>95774943</v>
      </c>
      <c r="B67" s="638">
        <v>4</v>
      </c>
      <c r="C67" s="623" t="s">
        <v>84</v>
      </c>
      <c r="D67" s="636" t="s">
        <v>259</v>
      </c>
      <c r="E67" s="161"/>
      <c r="F67" s="82"/>
      <c r="G67" s="82"/>
      <c r="H67" s="82"/>
      <c r="I67" s="82"/>
      <c r="J67" s="82"/>
      <c r="K67" s="82"/>
      <c r="L67" s="82"/>
      <c r="M67" s="80"/>
      <c r="N67" s="80"/>
      <c r="O67" s="80"/>
      <c r="P67" s="80"/>
      <c r="Q67" s="80"/>
      <c r="R67" s="80"/>
      <c r="S67" s="80"/>
      <c r="T67" s="80"/>
      <c r="U67" s="586"/>
      <c r="V67" s="591"/>
    </row>
    <row r="68" spans="1:29" ht="17.100000000000001" customHeight="1" x14ac:dyDescent="0.3">
      <c r="A68" s="629">
        <v>71324007</v>
      </c>
      <c r="B68" s="639">
        <v>4</v>
      </c>
      <c r="C68" s="622" t="s">
        <v>303</v>
      </c>
      <c r="D68" s="640" t="s">
        <v>264</v>
      </c>
      <c r="E68" s="161"/>
      <c r="F68" s="82"/>
      <c r="G68" s="82"/>
      <c r="H68" s="82"/>
      <c r="I68" s="82"/>
      <c r="J68" s="82"/>
      <c r="K68" s="82"/>
      <c r="L68" s="82"/>
      <c r="M68" s="80"/>
      <c r="N68" s="80"/>
      <c r="O68" s="80"/>
      <c r="P68" s="80"/>
      <c r="Q68" s="80"/>
      <c r="R68" s="80"/>
      <c r="S68" s="80"/>
      <c r="T68" s="80"/>
      <c r="U68" s="586"/>
      <c r="V68" s="591"/>
    </row>
    <row r="69" spans="1:29" ht="17.100000000000001" customHeight="1" x14ac:dyDescent="0.3">
      <c r="A69" s="629">
        <v>71324010</v>
      </c>
      <c r="B69" s="639">
        <v>4</v>
      </c>
      <c r="C69" s="622" t="s">
        <v>309</v>
      </c>
      <c r="D69" s="640" t="s">
        <v>261</v>
      </c>
      <c r="F69" s="82"/>
      <c r="G69" s="82"/>
      <c r="H69" s="82"/>
      <c r="I69" s="82"/>
      <c r="J69" s="82"/>
      <c r="K69" s="82"/>
      <c r="L69" s="82"/>
      <c r="M69" s="80"/>
      <c r="N69" s="80"/>
      <c r="O69" s="80"/>
      <c r="P69" s="80"/>
      <c r="Q69" s="80"/>
      <c r="R69" s="80"/>
      <c r="S69" s="80"/>
      <c r="T69" s="80"/>
      <c r="U69" s="586"/>
      <c r="V69" s="591"/>
      <c r="W69" s="82"/>
      <c r="X69" s="82"/>
      <c r="Y69" s="82"/>
      <c r="Z69" s="82"/>
    </row>
    <row r="70" spans="1:29" ht="17.100000000000001" customHeight="1" x14ac:dyDescent="0.3">
      <c r="A70" s="629">
        <v>95773817</v>
      </c>
      <c r="B70" s="628">
        <v>4</v>
      </c>
      <c r="C70" s="622" t="s">
        <v>132</v>
      </c>
      <c r="D70" s="636" t="s">
        <v>263</v>
      </c>
      <c r="E70" s="161"/>
      <c r="F70" s="82"/>
      <c r="G70" s="82"/>
      <c r="H70" s="82"/>
      <c r="I70" s="82"/>
      <c r="J70" s="82"/>
      <c r="K70" s="82"/>
      <c r="L70" s="82"/>
      <c r="M70" s="80"/>
      <c r="N70" s="80"/>
      <c r="O70" s="80"/>
      <c r="P70" s="80"/>
      <c r="Q70" s="80"/>
      <c r="R70" s="80"/>
      <c r="S70" s="80"/>
      <c r="T70" s="80"/>
      <c r="U70" s="586"/>
      <c r="V70" s="591"/>
      <c r="W70" s="82"/>
      <c r="X70" s="82"/>
      <c r="Y70" s="82"/>
      <c r="Z70" s="82"/>
      <c r="AA70" s="82"/>
      <c r="AB70" s="82"/>
      <c r="AC70" s="80"/>
    </row>
    <row r="71" spans="1:29" ht="17.100000000000001" customHeight="1" x14ac:dyDescent="0.3">
      <c r="A71" s="629">
        <v>71161032</v>
      </c>
      <c r="B71" s="628">
        <v>4</v>
      </c>
      <c r="C71" s="622" t="s">
        <v>304</v>
      </c>
      <c r="D71" s="636" t="s">
        <v>265</v>
      </c>
      <c r="E71" s="161"/>
      <c r="F71" s="82"/>
      <c r="G71" s="82"/>
      <c r="H71" s="82"/>
      <c r="I71" s="82"/>
      <c r="J71" s="82"/>
      <c r="K71" s="82"/>
      <c r="L71" s="82"/>
      <c r="M71" s="80"/>
      <c r="N71" s="80"/>
      <c r="O71" s="80"/>
      <c r="P71" s="80"/>
      <c r="Q71" s="80"/>
      <c r="R71" s="80"/>
      <c r="S71" s="80"/>
      <c r="T71" s="80"/>
      <c r="W71" s="82"/>
      <c r="X71" s="82"/>
      <c r="Y71" s="82"/>
      <c r="Z71" s="82"/>
      <c r="AA71" s="82"/>
      <c r="AB71" s="82"/>
      <c r="AC71" s="80"/>
    </row>
    <row r="72" spans="1:29" ht="17.100000000000001" customHeight="1" x14ac:dyDescent="0.3">
      <c r="A72" s="629">
        <v>95752673</v>
      </c>
      <c r="B72" s="639">
        <v>4</v>
      </c>
      <c r="C72" s="622" t="s">
        <v>330</v>
      </c>
      <c r="D72" s="640" t="s">
        <v>262</v>
      </c>
      <c r="E72" s="143">
        <v>2406604</v>
      </c>
      <c r="M72" s="80"/>
      <c r="N72" s="80"/>
      <c r="O72" s="80"/>
      <c r="P72" s="80"/>
      <c r="Q72" s="80"/>
      <c r="R72" s="80"/>
      <c r="S72" s="80"/>
      <c r="T72" s="80"/>
      <c r="W72" s="82"/>
      <c r="X72" s="82"/>
      <c r="Y72" s="82"/>
      <c r="Z72" s="82"/>
      <c r="AA72" s="82"/>
      <c r="AB72" s="82"/>
      <c r="AC72" s="80"/>
    </row>
    <row r="73" spans="1:29" ht="17.100000000000001" customHeight="1" x14ac:dyDescent="0.3">
      <c r="A73" s="712">
        <v>95875566</v>
      </c>
      <c r="B73" s="639">
        <v>4</v>
      </c>
      <c r="C73" s="622" t="s">
        <v>349</v>
      </c>
      <c r="D73" s="640" t="s">
        <v>259</v>
      </c>
      <c r="E73" s="143">
        <v>1950541</v>
      </c>
      <c r="F73" s="136"/>
      <c r="G73" s="136"/>
      <c r="J73" s="174"/>
      <c r="M73" s="80"/>
      <c r="N73" s="80"/>
      <c r="O73" s="80"/>
      <c r="P73" s="80"/>
      <c r="Q73" s="81"/>
      <c r="R73" s="80"/>
      <c r="S73" s="80"/>
      <c r="T73" s="80"/>
      <c r="W73" s="82"/>
      <c r="X73" s="82"/>
      <c r="Y73" s="82"/>
      <c r="Z73" s="82"/>
    </row>
    <row r="74" spans="1:29" ht="17.100000000000001" customHeight="1" x14ac:dyDescent="0.3">
      <c r="A74" s="712">
        <v>71290575</v>
      </c>
      <c r="B74" s="639">
        <v>4</v>
      </c>
      <c r="C74" s="622" t="s">
        <v>352</v>
      </c>
      <c r="D74" s="640" t="s">
        <v>261</v>
      </c>
      <c r="F74" s="136"/>
      <c r="G74" s="136"/>
      <c r="J74" s="174"/>
      <c r="M74" s="80"/>
      <c r="N74" s="80"/>
      <c r="O74" s="80"/>
      <c r="P74" s="80"/>
      <c r="Q74" s="81"/>
      <c r="R74" s="80"/>
      <c r="S74" s="80"/>
      <c r="T74" s="80"/>
      <c r="W74" s="82"/>
      <c r="X74" s="82"/>
      <c r="Y74" s="82"/>
      <c r="Z74" s="82"/>
    </row>
    <row r="75" spans="1:29" ht="17.100000000000001" customHeight="1" x14ac:dyDescent="0.2">
      <c r="A75" s="713">
        <v>71288997</v>
      </c>
      <c r="B75" s="639">
        <v>4</v>
      </c>
      <c r="C75" s="660" t="s">
        <v>321</v>
      </c>
      <c r="D75" s="711" t="s">
        <v>264</v>
      </c>
      <c r="F75" s="136"/>
      <c r="G75" s="136"/>
      <c r="J75" s="174"/>
      <c r="M75" s="80"/>
      <c r="N75" s="564"/>
      <c r="O75" s="81"/>
      <c r="P75" s="499"/>
      <c r="Q75" s="81"/>
      <c r="R75" s="80"/>
      <c r="S75" s="80"/>
      <c r="T75" s="80"/>
    </row>
    <row r="76" spans="1:29" ht="17.100000000000001" customHeight="1" x14ac:dyDescent="0.2">
      <c r="A76" s="712">
        <v>70956380</v>
      </c>
      <c r="B76" s="639">
        <v>4</v>
      </c>
      <c r="C76" s="622" t="s">
        <v>350</v>
      </c>
      <c r="D76" s="640" t="s">
        <v>262</v>
      </c>
      <c r="F76" s="136"/>
      <c r="G76" s="136"/>
      <c r="J76" s="174"/>
      <c r="M76" s="80"/>
      <c r="N76" s="564"/>
      <c r="O76" s="81"/>
      <c r="P76" s="499"/>
      <c r="Q76" s="81"/>
      <c r="R76" s="80"/>
      <c r="S76" s="80"/>
      <c r="T76" s="80"/>
      <c r="X76" s="174"/>
    </row>
    <row r="77" spans="1:29" ht="17.100000000000001" customHeight="1" x14ac:dyDescent="0.2">
      <c r="A77" s="712">
        <v>70432735</v>
      </c>
      <c r="B77" s="639">
        <v>4</v>
      </c>
      <c r="C77" s="622" t="s">
        <v>351</v>
      </c>
      <c r="D77" s="640" t="s">
        <v>262</v>
      </c>
      <c r="J77" s="174"/>
      <c r="M77" s="80"/>
      <c r="N77" s="564"/>
      <c r="O77" s="81"/>
      <c r="P77" s="499"/>
      <c r="Q77" s="80"/>
      <c r="R77" s="80"/>
      <c r="S77" s="80"/>
      <c r="T77" s="80"/>
      <c r="U77" s="80"/>
    </row>
    <row r="78" spans="1:29" ht="17.100000000000001" customHeight="1" x14ac:dyDescent="0.2">
      <c r="A78" s="713">
        <v>71160180</v>
      </c>
      <c r="B78" s="639">
        <v>4</v>
      </c>
      <c r="C78" s="660" t="s">
        <v>353</v>
      </c>
      <c r="D78" s="711" t="s">
        <v>263</v>
      </c>
      <c r="J78" s="174"/>
      <c r="M78" s="80"/>
      <c r="N78" s="564"/>
      <c r="O78" s="81"/>
      <c r="P78" s="499"/>
      <c r="Q78" s="80"/>
      <c r="R78" s="80"/>
      <c r="S78" s="80"/>
      <c r="T78" s="80"/>
      <c r="U78" s="80"/>
    </row>
    <row r="79" spans="1:29" ht="17.100000000000001" customHeight="1" x14ac:dyDescent="0.2">
      <c r="A79" s="712" t="s">
        <v>282</v>
      </c>
      <c r="B79" s="639" t="s">
        <v>56</v>
      </c>
      <c r="C79" s="622" t="s">
        <v>283</v>
      </c>
      <c r="D79" s="640" t="s">
        <v>263</v>
      </c>
      <c r="J79" s="174"/>
      <c r="M79" s="80"/>
      <c r="N79" s="564"/>
      <c r="O79" s="81"/>
      <c r="P79" s="499"/>
      <c r="Q79" s="80"/>
      <c r="R79" s="80"/>
      <c r="S79" s="80"/>
      <c r="T79" s="80"/>
      <c r="U79" s="80"/>
    </row>
    <row r="80" spans="1:29" ht="17.100000000000001" customHeight="1" x14ac:dyDescent="0.2">
      <c r="A80" s="712" t="s">
        <v>282</v>
      </c>
      <c r="B80" s="639" t="s">
        <v>56</v>
      </c>
      <c r="C80" s="622" t="s">
        <v>284</v>
      </c>
      <c r="D80" s="640" t="s">
        <v>261</v>
      </c>
      <c r="J80" s="174"/>
      <c r="M80" s="80"/>
      <c r="N80" s="564"/>
      <c r="O80" s="81"/>
      <c r="P80" s="499"/>
      <c r="Q80" s="80"/>
      <c r="R80" s="80"/>
      <c r="S80" s="80"/>
      <c r="T80" s="80"/>
      <c r="U80" s="80"/>
    </row>
    <row r="81" spans="1:21" ht="17.100000000000001" customHeight="1" x14ac:dyDescent="0.2">
      <c r="A81" s="712" t="s">
        <v>282</v>
      </c>
      <c r="B81" s="639" t="s">
        <v>56</v>
      </c>
      <c r="C81" s="622" t="s">
        <v>285</v>
      </c>
      <c r="D81" s="640" t="s">
        <v>262</v>
      </c>
      <c r="J81" s="174"/>
      <c r="M81" s="80"/>
      <c r="N81" s="564"/>
      <c r="O81" s="81"/>
      <c r="P81" s="499"/>
      <c r="Q81" s="80"/>
      <c r="R81" s="80"/>
      <c r="S81" s="80"/>
      <c r="T81" s="80"/>
      <c r="U81" s="80"/>
    </row>
    <row r="82" spans="1:21" ht="18.75" x14ac:dyDescent="0.2">
      <c r="A82" s="713" t="s">
        <v>282</v>
      </c>
      <c r="B82" s="639" t="s">
        <v>56</v>
      </c>
      <c r="C82" s="660" t="s">
        <v>286</v>
      </c>
      <c r="D82" s="711" t="s">
        <v>265</v>
      </c>
      <c r="M82" s="80"/>
      <c r="N82" s="80"/>
      <c r="O82" s="80"/>
      <c r="P82" s="80"/>
      <c r="Q82" s="80"/>
      <c r="R82" s="80"/>
      <c r="S82" s="80"/>
      <c r="T82" s="80"/>
      <c r="U82" s="80"/>
    </row>
    <row r="83" spans="1:21" ht="17.100000000000001" customHeight="1" x14ac:dyDescent="0.3">
      <c r="A83" s="23"/>
      <c r="B83" s="35"/>
      <c r="C83" s="35"/>
      <c r="D83" s="35"/>
      <c r="E83" s="162"/>
      <c r="F83" s="35"/>
      <c r="G83" s="35"/>
      <c r="H83" s="35"/>
      <c r="I83" s="35"/>
      <c r="J83" s="35"/>
      <c r="K83" s="35"/>
      <c r="L83" s="35"/>
      <c r="M83" s="80"/>
      <c r="N83" s="80"/>
      <c r="O83" s="80"/>
      <c r="P83" s="80"/>
      <c r="Q83" s="80"/>
      <c r="R83" s="80"/>
      <c r="S83" s="80"/>
      <c r="T83" s="80"/>
      <c r="U83" s="80"/>
    </row>
    <row r="84" spans="1:21" ht="17.100000000000001" customHeight="1" x14ac:dyDescent="0.3">
      <c r="A84" s="153"/>
      <c r="B84" s="84"/>
      <c r="C84" s="83" t="s">
        <v>56</v>
      </c>
      <c r="D84" s="82"/>
      <c r="E84" s="161"/>
      <c r="F84" s="82"/>
      <c r="G84" s="82"/>
      <c r="H84" s="82"/>
      <c r="I84" s="82"/>
      <c r="J84" s="82"/>
      <c r="K84" s="82"/>
      <c r="L84" s="82"/>
      <c r="M84" s="80"/>
      <c r="N84" s="80"/>
      <c r="O84" s="80"/>
      <c r="P84" s="80"/>
      <c r="Q84" s="80"/>
      <c r="R84" s="80"/>
      <c r="S84" s="80"/>
      <c r="T84" s="80"/>
      <c r="U84" s="80"/>
    </row>
    <row r="85" spans="1:21" ht="17.100000000000001" customHeight="1" x14ac:dyDescent="0.3">
      <c r="A85" s="83" t="s">
        <v>247</v>
      </c>
      <c r="B85" s="84"/>
      <c r="C85" s="594" t="s">
        <v>134</v>
      </c>
      <c r="D85" s="591" t="s">
        <v>259</v>
      </c>
      <c r="E85" s="84"/>
      <c r="F85" s="82"/>
      <c r="G85" s="82"/>
      <c r="H85" s="82"/>
      <c r="I85" s="82"/>
      <c r="J85" s="82"/>
      <c r="K85" s="82"/>
      <c r="L85" s="82"/>
      <c r="M85" s="80"/>
      <c r="N85" s="80"/>
      <c r="O85" s="80"/>
      <c r="P85" s="80"/>
      <c r="Q85" s="80"/>
      <c r="R85" s="80"/>
      <c r="S85" s="80"/>
      <c r="T85" s="80"/>
      <c r="U85" s="80"/>
    </row>
    <row r="86" spans="1:21" ht="17.100000000000001" customHeight="1" x14ac:dyDescent="0.3">
      <c r="A86" s="83" t="s">
        <v>85</v>
      </c>
      <c r="B86" s="84"/>
      <c r="C86" s="594" t="s">
        <v>376</v>
      </c>
      <c r="D86" s="591" t="s">
        <v>264</v>
      </c>
      <c r="E86" s="84"/>
      <c r="F86" s="82"/>
      <c r="G86" s="82"/>
      <c r="H86" s="82"/>
      <c r="I86" s="82"/>
      <c r="J86" s="82"/>
      <c r="K86" s="82"/>
      <c r="L86" s="82"/>
      <c r="M86" s="80"/>
      <c r="N86" s="80"/>
      <c r="O86" s="80"/>
      <c r="P86" s="80"/>
      <c r="Q86" s="80"/>
      <c r="R86" s="80"/>
      <c r="S86" s="80"/>
      <c r="T86" s="80"/>
      <c r="U86" s="80"/>
    </row>
    <row r="87" spans="1:21" ht="17.100000000000001" customHeight="1" x14ac:dyDescent="0.3">
      <c r="A87" s="83" t="s">
        <v>85</v>
      </c>
      <c r="B87" s="84"/>
      <c r="C87" s="594" t="s">
        <v>279</v>
      </c>
      <c r="D87" s="591" t="s">
        <v>260</v>
      </c>
      <c r="E87" s="84"/>
      <c r="F87" s="82"/>
      <c r="G87" s="82"/>
      <c r="H87" s="82"/>
      <c r="I87" s="82"/>
      <c r="J87" s="82"/>
      <c r="K87" s="82"/>
      <c r="L87" s="82"/>
      <c r="M87" s="80"/>
      <c r="N87" s="80"/>
      <c r="O87" s="80"/>
      <c r="P87" s="80"/>
      <c r="Q87" s="80"/>
      <c r="R87" s="80"/>
      <c r="S87" s="80"/>
      <c r="T87" s="80"/>
      <c r="U87" s="80"/>
    </row>
    <row r="88" spans="1:21" ht="17.100000000000001" customHeight="1" x14ac:dyDescent="0.3">
      <c r="A88" s="83" t="s">
        <v>86</v>
      </c>
      <c r="B88" s="84"/>
      <c r="C88" s="586" t="s">
        <v>356</v>
      </c>
      <c r="D88" s="591" t="s">
        <v>259</v>
      </c>
      <c r="E88" s="84"/>
      <c r="F88" s="82"/>
      <c r="G88" s="82"/>
      <c r="H88" s="82"/>
      <c r="I88" s="82"/>
      <c r="J88" s="82"/>
      <c r="K88" s="82"/>
      <c r="L88" s="82"/>
      <c r="M88" s="80"/>
      <c r="N88" s="80"/>
      <c r="O88" s="80"/>
      <c r="P88" s="80"/>
      <c r="Q88" s="80"/>
      <c r="R88" s="80"/>
      <c r="S88" s="80"/>
      <c r="T88" s="80"/>
      <c r="U88" s="80"/>
    </row>
    <row r="89" spans="1:21" ht="17.100000000000001" customHeight="1" x14ac:dyDescent="0.3">
      <c r="A89" s="83" t="s">
        <v>86</v>
      </c>
      <c r="B89" s="84"/>
      <c r="C89" s="586" t="s">
        <v>346</v>
      </c>
      <c r="D89" s="591" t="s">
        <v>263</v>
      </c>
      <c r="F89" s="82"/>
      <c r="G89" s="82"/>
      <c r="H89" s="82"/>
      <c r="I89" s="82"/>
      <c r="J89" s="82"/>
      <c r="K89" s="82"/>
      <c r="L89" s="82"/>
      <c r="M89" s="80"/>
      <c r="N89" s="80"/>
      <c r="O89" s="80"/>
      <c r="P89" s="80"/>
      <c r="Q89" s="80"/>
      <c r="R89" s="80"/>
      <c r="S89" s="80"/>
      <c r="T89" s="80"/>
      <c r="U89" s="80"/>
    </row>
    <row r="90" spans="1:21" ht="17.100000000000001" customHeight="1" x14ac:dyDescent="0.3">
      <c r="A90" s="83"/>
      <c r="B90" s="84"/>
      <c r="C90" s="586"/>
      <c r="D90" s="595"/>
      <c r="F90" s="82"/>
      <c r="G90" s="82"/>
      <c r="H90" s="82"/>
      <c r="I90" s="82"/>
      <c r="J90" s="82"/>
      <c r="K90" s="82"/>
      <c r="L90" s="82"/>
      <c r="M90" s="80"/>
      <c r="N90" s="80"/>
      <c r="O90" s="80"/>
      <c r="P90" s="80"/>
      <c r="Q90" s="80"/>
      <c r="R90" s="80"/>
      <c r="S90" s="80"/>
      <c r="T90" s="80"/>
      <c r="U90" s="80"/>
    </row>
    <row r="91" spans="1:21" ht="17.100000000000001" customHeight="1" x14ac:dyDescent="0.3">
      <c r="A91" s="83"/>
      <c r="B91" s="84"/>
      <c r="C91" s="589"/>
      <c r="D91" s="595"/>
      <c r="F91" s="82"/>
      <c r="G91" s="82"/>
      <c r="H91" s="82"/>
      <c r="I91" s="82"/>
      <c r="J91" s="82"/>
      <c r="K91" s="82"/>
      <c r="L91" s="82"/>
      <c r="M91" s="80"/>
      <c r="N91" s="80"/>
      <c r="O91" s="80"/>
      <c r="P91" s="80"/>
      <c r="Q91" s="80"/>
      <c r="R91" s="80"/>
      <c r="S91" s="80"/>
      <c r="T91" s="80"/>
      <c r="U91" s="80"/>
    </row>
    <row r="92" spans="1:21" ht="17.100000000000001" customHeight="1" x14ac:dyDescent="0.3">
      <c r="A92" s="83"/>
      <c r="B92" s="84"/>
      <c r="C92" s="81"/>
      <c r="D92" s="134"/>
      <c r="F92" s="82"/>
      <c r="G92" s="82"/>
      <c r="H92" s="82"/>
      <c r="I92" s="82"/>
      <c r="J92" s="82"/>
      <c r="K92" s="82"/>
      <c r="L92" s="82"/>
      <c r="M92" s="80"/>
      <c r="N92" s="80"/>
      <c r="O92" s="80"/>
      <c r="P92" s="80"/>
      <c r="Q92" s="80"/>
      <c r="R92" s="80"/>
      <c r="S92" s="80"/>
      <c r="T92" s="80"/>
      <c r="U92" s="80"/>
    </row>
    <row r="93" spans="1:21" ht="17.100000000000001" customHeight="1" x14ac:dyDescent="0.3">
      <c r="A93" s="35"/>
      <c r="B93" s="35"/>
      <c r="C93" s="35" t="s">
        <v>56</v>
      </c>
      <c r="D93" s="35"/>
      <c r="E93" s="162"/>
      <c r="F93" s="35"/>
      <c r="G93" s="35"/>
      <c r="H93" s="35"/>
      <c r="I93" s="35"/>
      <c r="J93" s="35"/>
      <c r="K93" s="35"/>
      <c r="L93" s="35"/>
      <c r="M93" s="80"/>
      <c r="N93" s="80"/>
      <c r="O93" s="80"/>
      <c r="P93" s="80"/>
      <c r="Q93" s="80"/>
      <c r="R93" s="80"/>
      <c r="S93" s="80"/>
      <c r="T93" s="80"/>
      <c r="U93" s="80"/>
    </row>
    <row r="94" spans="1:21" ht="17.100000000000001" customHeight="1" x14ac:dyDescent="0.3">
      <c r="A94" s="87"/>
      <c r="B94" s="87"/>
      <c r="C94" s="87"/>
      <c r="D94" s="87"/>
      <c r="E94" s="163"/>
      <c r="F94" s="87"/>
      <c r="G94" s="87"/>
      <c r="H94" s="87"/>
      <c r="I94" s="87"/>
      <c r="J94" s="87"/>
      <c r="K94" s="87"/>
      <c r="L94" s="87"/>
      <c r="M94" s="80"/>
      <c r="N94" s="80"/>
      <c r="O94" s="80"/>
      <c r="P94" s="80"/>
      <c r="Q94" s="80"/>
      <c r="R94" s="80"/>
      <c r="S94" s="80"/>
      <c r="T94" s="80"/>
      <c r="U94" s="80"/>
    </row>
    <row r="95" spans="1:21" ht="17.100000000000001" customHeight="1" x14ac:dyDescent="0.3">
      <c r="A95" s="87"/>
      <c r="B95" s="87"/>
      <c r="C95" s="87"/>
      <c r="D95" s="87"/>
      <c r="E95" s="163"/>
      <c r="F95" s="87"/>
      <c r="G95" s="87"/>
      <c r="H95" s="87"/>
      <c r="I95" s="87"/>
      <c r="J95" s="87"/>
      <c r="K95" s="87"/>
      <c r="L95" s="87"/>
      <c r="M95" s="80"/>
      <c r="N95" s="80"/>
      <c r="O95" s="80"/>
      <c r="P95" s="80"/>
      <c r="Q95" s="80"/>
      <c r="R95" s="80"/>
      <c r="S95" s="80"/>
      <c r="T95" s="80"/>
      <c r="U95" s="80"/>
    </row>
    <row r="96" spans="1:21" ht="17.100000000000001" customHeight="1" x14ac:dyDescent="0.3">
      <c r="A96" s="87"/>
      <c r="B96" s="87"/>
      <c r="C96" s="87"/>
      <c r="D96" s="87"/>
      <c r="E96" s="163"/>
      <c r="F96" s="87"/>
      <c r="G96" s="87"/>
      <c r="H96" s="87"/>
      <c r="I96" s="87"/>
      <c r="J96" s="87"/>
      <c r="K96" s="87"/>
      <c r="L96" s="87"/>
      <c r="M96" s="80"/>
      <c r="N96" s="80"/>
      <c r="O96" s="80"/>
      <c r="P96" s="80"/>
      <c r="Q96" s="80"/>
      <c r="R96" s="80"/>
      <c r="S96" s="80"/>
      <c r="T96" s="80"/>
      <c r="U96" s="80"/>
    </row>
    <row r="97" spans="1:21" ht="17.100000000000001" customHeight="1" x14ac:dyDescent="0.3">
      <c r="A97" s="87"/>
      <c r="B97" s="87"/>
      <c r="C97" s="87"/>
      <c r="D97" s="87"/>
      <c r="E97" s="163"/>
      <c r="F97" s="87"/>
      <c r="G97" s="87"/>
      <c r="H97" s="87"/>
      <c r="I97" s="87"/>
      <c r="J97" s="87"/>
      <c r="K97" s="87"/>
      <c r="L97" s="87"/>
      <c r="M97" s="80"/>
      <c r="N97" s="80"/>
      <c r="O97" s="80"/>
      <c r="P97" s="80"/>
      <c r="Q97" s="80"/>
      <c r="R97" s="80"/>
      <c r="S97" s="80"/>
      <c r="T97" s="80"/>
      <c r="U97" s="80"/>
    </row>
    <row r="98" spans="1:21" ht="17.100000000000001" customHeight="1" x14ac:dyDescent="0.3">
      <c r="A98" s="87"/>
      <c r="B98" s="87"/>
      <c r="C98" s="87"/>
      <c r="D98" s="87"/>
      <c r="E98" s="163"/>
      <c r="F98" s="87"/>
      <c r="G98" s="87"/>
      <c r="H98" s="87"/>
      <c r="I98" s="87"/>
      <c r="J98" s="87"/>
      <c r="K98" s="87"/>
      <c r="L98" s="87"/>
      <c r="M98" s="80"/>
      <c r="N98" s="80"/>
      <c r="O98" s="80"/>
      <c r="P98" s="80"/>
      <c r="Q98" s="80"/>
      <c r="R98" s="80"/>
      <c r="S98" s="80"/>
      <c r="T98" s="80"/>
      <c r="U98" s="80"/>
    </row>
    <row r="99" spans="1:21" ht="17.100000000000001" customHeight="1" x14ac:dyDescent="0.2">
      <c r="A99" s="85"/>
      <c r="B99" s="85"/>
      <c r="C99" s="85"/>
      <c r="D99" s="85"/>
      <c r="E99" s="164"/>
      <c r="F99" s="85"/>
      <c r="G99" s="85"/>
      <c r="H99" s="85"/>
      <c r="I99" s="85"/>
      <c r="J99" s="85"/>
      <c r="K99" s="85"/>
      <c r="L99" s="85"/>
      <c r="M99" s="80"/>
      <c r="N99" s="80"/>
      <c r="O99" s="80"/>
      <c r="P99" s="80"/>
      <c r="Q99" s="80"/>
      <c r="R99" s="80"/>
      <c r="S99" s="80"/>
      <c r="T99" s="80"/>
      <c r="U99" s="80"/>
    </row>
    <row r="100" spans="1:21" ht="17.100000000000001" customHeight="1" x14ac:dyDescent="0.2">
      <c r="A100" s="85"/>
      <c r="B100" s="85"/>
      <c r="C100" s="85"/>
      <c r="D100" s="85"/>
      <c r="E100" s="164"/>
      <c r="F100" s="85"/>
      <c r="G100" s="85"/>
      <c r="H100" s="85"/>
      <c r="I100" s="85"/>
      <c r="J100" s="85"/>
      <c r="K100" s="85"/>
      <c r="L100" s="85"/>
      <c r="M100" s="80"/>
      <c r="N100" s="80"/>
      <c r="O100" s="80"/>
      <c r="P100" s="80"/>
      <c r="Q100" s="80"/>
      <c r="R100" s="80"/>
      <c r="S100" s="80"/>
      <c r="T100" s="80"/>
      <c r="U100" s="80"/>
    </row>
    <row r="101" spans="1:21" ht="17.100000000000001" customHeight="1" x14ac:dyDescent="0.2">
      <c r="A101" s="85"/>
      <c r="B101" s="85"/>
      <c r="C101" s="85"/>
      <c r="D101" s="85"/>
      <c r="E101" s="164"/>
      <c r="F101" s="85"/>
      <c r="G101" s="85"/>
      <c r="H101" s="85"/>
      <c r="I101" s="85"/>
      <c r="J101" s="85"/>
      <c r="K101" s="85"/>
      <c r="L101" s="85"/>
      <c r="M101" s="80"/>
      <c r="N101" s="80"/>
      <c r="O101" s="80"/>
      <c r="P101" s="80"/>
      <c r="Q101" s="80"/>
      <c r="R101" s="80"/>
      <c r="S101" s="80"/>
      <c r="T101" s="80"/>
      <c r="U101" s="80"/>
    </row>
    <row r="102" spans="1:21" ht="17.100000000000001" customHeight="1" x14ac:dyDescent="0.2">
      <c r="A102" s="85"/>
      <c r="B102" s="85"/>
      <c r="C102" s="85"/>
      <c r="D102" s="85"/>
      <c r="E102" s="164"/>
      <c r="F102" s="85"/>
      <c r="G102" s="85"/>
      <c r="H102" s="85"/>
      <c r="I102" s="85"/>
      <c r="J102" s="85"/>
      <c r="K102" s="85"/>
      <c r="L102" s="85"/>
      <c r="M102" s="80"/>
      <c r="N102" s="80"/>
      <c r="O102" s="80"/>
      <c r="P102" s="80"/>
      <c r="Q102" s="80"/>
      <c r="R102" s="80"/>
      <c r="S102" s="80"/>
      <c r="T102" s="80"/>
      <c r="U102" s="80"/>
    </row>
    <row r="103" spans="1:21" ht="17.100000000000001" customHeight="1" x14ac:dyDescent="0.2">
      <c r="A103" s="85"/>
      <c r="B103" s="85"/>
      <c r="C103" s="85"/>
      <c r="D103" s="85"/>
      <c r="E103" s="164"/>
      <c r="F103" s="85"/>
      <c r="G103" s="85"/>
      <c r="H103" s="85"/>
      <c r="I103" s="85"/>
      <c r="J103" s="85"/>
      <c r="K103" s="85"/>
      <c r="L103" s="85"/>
      <c r="M103" s="80"/>
      <c r="N103" s="80"/>
      <c r="O103" s="80"/>
      <c r="P103" s="80"/>
      <c r="Q103" s="80"/>
      <c r="R103" s="80"/>
      <c r="S103" s="80"/>
      <c r="T103" s="80"/>
      <c r="U103" s="80"/>
    </row>
    <row r="104" spans="1:21" ht="17.100000000000001" customHeight="1" x14ac:dyDescent="0.2">
      <c r="A104" s="85"/>
      <c r="B104" s="85"/>
      <c r="C104" s="85"/>
      <c r="D104" s="85"/>
      <c r="E104" s="164"/>
      <c r="F104" s="85"/>
      <c r="G104" s="85"/>
      <c r="H104" s="85"/>
      <c r="I104" s="85"/>
      <c r="J104" s="85"/>
      <c r="K104" s="85"/>
      <c r="L104" s="85"/>
      <c r="M104" s="80"/>
      <c r="N104" s="80"/>
      <c r="O104" s="80"/>
      <c r="P104" s="80"/>
      <c r="Q104" s="80"/>
      <c r="R104" s="80"/>
      <c r="S104" s="80"/>
      <c r="T104" s="80"/>
      <c r="U104" s="80"/>
    </row>
    <row r="105" spans="1:21" ht="17.100000000000001" customHeight="1" x14ac:dyDescent="0.2">
      <c r="A105" s="85"/>
      <c r="B105" s="85"/>
      <c r="C105" s="85"/>
      <c r="D105" s="85"/>
      <c r="E105" s="164"/>
      <c r="F105" s="85"/>
      <c r="G105" s="85"/>
      <c r="H105" s="85"/>
      <c r="I105" s="85"/>
      <c r="J105" s="85"/>
      <c r="K105" s="85"/>
      <c r="L105" s="85"/>
      <c r="M105" s="80"/>
      <c r="N105" s="80"/>
      <c r="O105" s="80"/>
      <c r="P105" s="80"/>
      <c r="Q105" s="80"/>
      <c r="R105" s="80"/>
      <c r="S105" s="80"/>
      <c r="T105" s="80"/>
      <c r="U105" s="80"/>
    </row>
    <row r="106" spans="1:21" ht="17.100000000000001" customHeight="1" x14ac:dyDescent="0.2">
      <c r="A106" s="85"/>
      <c r="B106" s="85"/>
      <c r="C106" s="85"/>
      <c r="D106" s="85"/>
      <c r="E106" s="164"/>
      <c r="F106" s="85"/>
      <c r="G106" s="85"/>
      <c r="H106" s="85"/>
      <c r="I106" s="85"/>
      <c r="J106" s="85"/>
      <c r="K106" s="85"/>
      <c r="L106" s="85"/>
      <c r="M106" s="80"/>
      <c r="N106" s="80"/>
      <c r="O106" s="80"/>
      <c r="P106" s="80"/>
      <c r="Q106" s="80"/>
      <c r="R106" s="80"/>
      <c r="S106" s="80"/>
      <c r="T106" s="80"/>
      <c r="U106" s="80"/>
    </row>
    <row r="107" spans="1:21" ht="17.100000000000001" customHeight="1" x14ac:dyDescent="0.2">
      <c r="A107" s="79"/>
      <c r="B107" s="79"/>
      <c r="C107" s="79"/>
      <c r="D107" s="79"/>
      <c r="E107" s="165"/>
      <c r="F107" s="79"/>
      <c r="G107" s="79"/>
      <c r="H107" s="79"/>
      <c r="I107" s="79"/>
      <c r="J107" s="79"/>
      <c r="K107" s="79"/>
      <c r="L107" s="79"/>
      <c r="M107" s="80"/>
      <c r="N107" s="80"/>
      <c r="O107" s="80"/>
      <c r="P107" s="80"/>
      <c r="Q107" s="80"/>
      <c r="R107" s="80"/>
      <c r="S107" s="80"/>
      <c r="T107" s="80"/>
      <c r="U107" s="80"/>
    </row>
    <row r="108" spans="1:21" ht="17.100000000000001" customHeight="1" x14ac:dyDescent="0.2">
      <c r="A108" s="79"/>
      <c r="B108" s="79"/>
      <c r="C108" s="79"/>
      <c r="D108" s="79"/>
      <c r="E108" s="165"/>
      <c r="F108" s="79"/>
      <c r="G108" s="79"/>
      <c r="H108" s="79"/>
      <c r="I108" s="79"/>
      <c r="J108" s="79"/>
      <c r="K108" s="79"/>
      <c r="L108" s="79"/>
      <c r="M108" s="80"/>
      <c r="N108" s="80"/>
      <c r="O108" s="80"/>
      <c r="P108" s="80"/>
      <c r="Q108" s="80"/>
      <c r="R108" s="80"/>
      <c r="S108" s="80"/>
      <c r="T108" s="80"/>
      <c r="U108" s="80"/>
    </row>
    <row r="109" spans="1:21" ht="17.100000000000001" customHeight="1" x14ac:dyDescent="0.2">
      <c r="A109" s="79"/>
      <c r="B109" s="79"/>
      <c r="C109" s="79"/>
      <c r="D109" s="79"/>
      <c r="E109" s="165"/>
      <c r="F109" s="79"/>
      <c r="G109" s="79"/>
      <c r="H109" s="79"/>
      <c r="I109" s="79"/>
      <c r="J109" s="79"/>
      <c r="K109" s="79"/>
      <c r="L109" s="79"/>
      <c r="M109" s="80"/>
      <c r="N109" s="80"/>
      <c r="O109" s="80"/>
      <c r="P109" s="80"/>
      <c r="Q109" s="80"/>
      <c r="R109" s="80"/>
      <c r="S109" s="80"/>
      <c r="T109" s="80"/>
      <c r="U109" s="80"/>
    </row>
    <row r="110" spans="1:21" ht="17.100000000000001" customHeight="1" x14ac:dyDescent="0.2">
      <c r="A110" s="79"/>
      <c r="B110" s="79"/>
      <c r="C110" s="79"/>
      <c r="D110" s="79"/>
      <c r="E110" s="165"/>
      <c r="F110" s="79"/>
      <c r="G110" s="79"/>
      <c r="H110" s="79"/>
      <c r="I110" s="79"/>
      <c r="J110" s="79"/>
      <c r="K110" s="79"/>
      <c r="L110" s="79"/>
      <c r="M110" s="80"/>
      <c r="N110" s="80"/>
      <c r="O110" s="80"/>
      <c r="P110" s="80"/>
      <c r="Q110" s="80"/>
      <c r="R110" s="80"/>
      <c r="S110" s="80"/>
      <c r="T110" s="80"/>
      <c r="U110" s="80"/>
    </row>
    <row r="111" spans="1:21" ht="17.100000000000001" customHeight="1" x14ac:dyDescent="0.2">
      <c r="A111" s="79"/>
      <c r="B111" s="79"/>
      <c r="C111" s="79"/>
      <c r="D111" s="79"/>
      <c r="E111" s="165"/>
      <c r="F111" s="79"/>
      <c r="G111" s="79"/>
      <c r="H111" s="79"/>
      <c r="I111" s="79"/>
      <c r="J111" s="79"/>
      <c r="K111" s="79"/>
      <c r="L111" s="79"/>
      <c r="M111" s="79"/>
      <c r="N111" s="79"/>
      <c r="O111" s="79"/>
      <c r="P111" s="79"/>
      <c r="Q111" s="79"/>
      <c r="R111" s="79"/>
      <c r="S111" s="79"/>
    </row>
    <row r="112" spans="1:21" x14ac:dyDescent="0.2">
      <c r="A112" s="79"/>
      <c r="B112" s="79"/>
      <c r="C112" s="79"/>
      <c r="D112" s="79"/>
      <c r="E112" s="165"/>
      <c r="F112" s="79"/>
      <c r="G112" s="79"/>
      <c r="H112" s="79"/>
      <c r="I112" s="79"/>
      <c r="J112" s="79"/>
      <c r="K112" s="79"/>
      <c r="L112" s="79"/>
      <c r="M112" s="79"/>
      <c r="N112" s="79"/>
      <c r="O112" s="79"/>
      <c r="P112" s="79"/>
      <c r="Q112" s="79"/>
      <c r="R112" s="79"/>
      <c r="S112" s="79"/>
    </row>
    <row r="113" spans="1:19" x14ac:dyDescent="0.2">
      <c r="A113" s="79"/>
      <c r="B113" s="79"/>
      <c r="C113" s="79"/>
      <c r="D113" s="79"/>
      <c r="E113" s="165"/>
      <c r="F113" s="79"/>
      <c r="G113" s="79"/>
      <c r="H113" s="79"/>
      <c r="I113" s="79"/>
      <c r="J113" s="79"/>
      <c r="K113" s="79"/>
      <c r="L113" s="79"/>
      <c r="M113" s="79"/>
      <c r="N113" s="79"/>
      <c r="O113" s="79"/>
      <c r="P113" s="79"/>
      <c r="Q113" s="79"/>
      <c r="R113" s="79"/>
      <c r="S113" s="79"/>
    </row>
    <row r="114" spans="1:19" x14ac:dyDescent="0.2">
      <c r="A114" s="79"/>
      <c r="B114" s="79"/>
      <c r="C114" s="79"/>
      <c r="D114" s="79"/>
      <c r="E114" s="165"/>
      <c r="F114" s="79"/>
      <c r="G114" s="79"/>
      <c r="H114" s="79"/>
      <c r="I114" s="79"/>
      <c r="J114" s="79"/>
      <c r="K114" s="79"/>
      <c r="L114" s="79"/>
      <c r="M114" s="79"/>
      <c r="N114" s="79"/>
      <c r="O114" s="79"/>
      <c r="P114" s="79"/>
      <c r="Q114" s="79"/>
      <c r="R114" s="79"/>
      <c r="S114" s="79"/>
    </row>
    <row r="115" spans="1:19" x14ac:dyDescent="0.2">
      <c r="A115" s="79"/>
      <c r="B115" s="79"/>
      <c r="C115" s="79"/>
      <c r="D115" s="79"/>
      <c r="E115" s="165"/>
      <c r="F115" s="79"/>
      <c r="G115" s="79"/>
      <c r="H115" s="79"/>
      <c r="I115" s="79"/>
      <c r="J115" s="79"/>
      <c r="K115" s="79"/>
      <c r="L115" s="79"/>
      <c r="M115" s="79"/>
      <c r="N115" s="79"/>
      <c r="O115" s="79"/>
      <c r="P115" s="79"/>
      <c r="Q115" s="79"/>
      <c r="R115" s="79"/>
      <c r="S115" s="79"/>
    </row>
    <row r="116" spans="1:19" x14ac:dyDescent="0.2">
      <c r="A116" s="79"/>
      <c r="B116" s="79"/>
      <c r="C116" s="79"/>
      <c r="D116" s="79"/>
      <c r="E116" s="165"/>
      <c r="F116" s="79"/>
      <c r="G116" s="79"/>
      <c r="H116" s="79"/>
      <c r="I116" s="79"/>
      <c r="J116" s="79"/>
      <c r="K116" s="79"/>
      <c r="L116" s="79"/>
      <c r="M116" s="79"/>
      <c r="N116" s="79"/>
      <c r="O116" s="79"/>
      <c r="P116" s="79"/>
      <c r="Q116" s="79"/>
      <c r="R116" s="79"/>
      <c r="S116" s="79"/>
    </row>
    <row r="117" spans="1:19" x14ac:dyDescent="0.2">
      <c r="A117" s="79"/>
      <c r="B117" s="79"/>
      <c r="C117" s="79"/>
      <c r="D117" s="79"/>
      <c r="E117" s="165"/>
      <c r="F117" s="79"/>
      <c r="G117" s="79"/>
      <c r="H117" s="79"/>
      <c r="I117" s="79"/>
      <c r="J117" s="79"/>
      <c r="K117" s="79"/>
      <c r="L117" s="79"/>
      <c r="M117" s="79"/>
      <c r="N117" s="79"/>
      <c r="O117" s="79"/>
      <c r="P117" s="79"/>
      <c r="Q117" s="79"/>
      <c r="R117" s="79"/>
      <c r="S117" s="79"/>
    </row>
    <row r="118" spans="1:19" x14ac:dyDescent="0.2">
      <c r="A118" s="79"/>
      <c r="B118" s="79"/>
      <c r="C118" s="79"/>
      <c r="D118" s="79"/>
      <c r="E118" s="165"/>
      <c r="F118" s="79"/>
      <c r="G118" s="79"/>
      <c r="H118" s="79"/>
      <c r="I118" s="79"/>
      <c r="J118" s="79"/>
      <c r="K118" s="79"/>
      <c r="L118" s="79"/>
      <c r="M118" s="79"/>
      <c r="N118" s="79"/>
      <c r="O118" s="79"/>
      <c r="P118" s="79"/>
      <c r="Q118" s="79"/>
      <c r="R118" s="79"/>
      <c r="S118" s="79"/>
    </row>
    <row r="119" spans="1:19" x14ac:dyDescent="0.2">
      <c r="A119" s="79"/>
      <c r="B119" s="79"/>
      <c r="C119" s="79"/>
      <c r="D119" s="79"/>
      <c r="E119" s="165"/>
      <c r="F119" s="79"/>
      <c r="G119" s="79"/>
      <c r="H119" s="79"/>
      <c r="I119" s="79"/>
      <c r="J119" s="79"/>
      <c r="K119" s="79"/>
      <c r="L119" s="79"/>
      <c r="M119" s="79"/>
      <c r="N119" s="79"/>
      <c r="O119" s="79"/>
      <c r="P119" s="79"/>
      <c r="Q119" s="79"/>
      <c r="R119" s="79"/>
      <c r="S119" s="79"/>
    </row>
    <row r="120" spans="1:19" x14ac:dyDescent="0.2">
      <c r="A120" s="79"/>
      <c r="B120" s="79"/>
      <c r="C120" s="79"/>
      <c r="D120" s="79"/>
      <c r="E120" s="165"/>
      <c r="F120" s="79"/>
      <c r="G120" s="79"/>
      <c r="H120" s="79"/>
      <c r="I120" s="79"/>
      <c r="J120" s="79"/>
      <c r="K120" s="79"/>
      <c r="L120" s="79"/>
      <c r="M120" s="79"/>
      <c r="N120" s="79"/>
      <c r="O120" s="79"/>
      <c r="P120" s="79"/>
      <c r="Q120" s="79"/>
      <c r="R120" s="79"/>
      <c r="S120" s="79"/>
    </row>
    <row r="121" spans="1:19" x14ac:dyDescent="0.2">
      <c r="A121" s="79"/>
      <c r="B121" s="79"/>
      <c r="C121" s="79"/>
      <c r="D121" s="79"/>
      <c r="E121" s="165"/>
      <c r="F121" s="79"/>
      <c r="G121" s="79"/>
      <c r="H121" s="79"/>
      <c r="I121" s="79"/>
      <c r="J121" s="79"/>
      <c r="K121" s="79"/>
      <c r="L121" s="79"/>
      <c r="M121" s="79"/>
      <c r="N121" s="79"/>
      <c r="O121" s="79"/>
      <c r="P121" s="79"/>
      <c r="Q121" s="79"/>
      <c r="R121" s="79"/>
      <c r="S121" s="79"/>
    </row>
    <row r="122" spans="1:19" x14ac:dyDescent="0.2">
      <c r="A122" s="79"/>
      <c r="B122" s="79"/>
      <c r="C122" s="79"/>
      <c r="D122" s="79"/>
      <c r="E122" s="165"/>
      <c r="F122" s="79"/>
      <c r="G122" s="79"/>
      <c r="H122" s="79"/>
      <c r="I122" s="79"/>
      <c r="J122" s="79"/>
      <c r="K122" s="79"/>
      <c r="L122" s="79"/>
      <c r="M122" s="79"/>
      <c r="N122" s="79"/>
      <c r="O122" s="79"/>
      <c r="P122" s="79"/>
      <c r="Q122" s="79"/>
      <c r="R122" s="79"/>
      <c r="S122" s="79"/>
    </row>
    <row r="123" spans="1:19" x14ac:dyDescent="0.2">
      <c r="A123" s="79"/>
      <c r="B123" s="79"/>
      <c r="C123" s="79"/>
      <c r="D123" s="79"/>
      <c r="E123" s="165"/>
      <c r="F123" s="79"/>
      <c r="G123" s="79"/>
      <c r="H123" s="79"/>
      <c r="I123" s="79"/>
      <c r="J123" s="79"/>
      <c r="K123" s="79"/>
      <c r="L123" s="79"/>
      <c r="M123" s="79"/>
      <c r="N123" s="79"/>
      <c r="O123" s="79"/>
      <c r="P123" s="79"/>
      <c r="Q123" s="79"/>
      <c r="R123" s="79"/>
      <c r="S123" s="79"/>
    </row>
    <row r="124" spans="1:19" x14ac:dyDescent="0.2">
      <c r="A124" s="79"/>
      <c r="B124" s="79"/>
      <c r="C124" s="79"/>
      <c r="D124" s="79"/>
      <c r="E124" s="165"/>
      <c r="F124" s="79"/>
      <c r="G124" s="79"/>
      <c r="H124" s="79"/>
      <c r="I124" s="79"/>
      <c r="J124" s="79"/>
      <c r="K124" s="79"/>
      <c r="L124" s="79"/>
      <c r="M124" s="79"/>
      <c r="N124" s="79"/>
      <c r="O124" s="79"/>
      <c r="P124" s="79"/>
      <c r="Q124" s="79"/>
      <c r="R124" s="79"/>
      <c r="S124" s="79"/>
    </row>
    <row r="125" spans="1:19" x14ac:dyDescent="0.2">
      <c r="A125" s="79"/>
      <c r="B125" s="79"/>
      <c r="C125" s="79"/>
      <c r="D125" s="79"/>
      <c r="E125" s="165"/>
      <c r="F125" s="79"/>
      <c r="G125" s="79"/>
      <c r="H125" s="79"/>
      <c r="I125" s="79"/>
      <c r="J125" s="79"/>
      <c r="K125" s="79"/>
      <c r="L125" s="79"/>
      <c r="M125" s="79"/>
      <c r="N125" s="79"/>
      <c r="O125" s="79"/>
      <c r="P125" s="79"/>
      <c r="Q125" s="79"/>
      <c r="R125" s="79"/>
      <c r="S125" s="79"/>
    </row>
    <row r="126" spans="1:19" x14ac:dyDescent="0.2">
      <c r="A126" s="79"/>
      <c r="B126" s="79"/>
      <c r="C126" s="79"/>
      <c r="D126" s="79"/>
      <c r="E126" s="165"/>
      <c r="F126" s="79"/>
      <c r="G126" s="79"/>
      <c r="H126" s="79"/>
      <c r="I126" s="79"/>
      <c r="J126" s="79"/>
      <c r="K126" s="79"/>
      <c r="L126" s="79"/>
      <c r="M126" s="79"/>
      <c r="N126" s="79"/>
      <c r="O126" s="79"/>
      <c r="P126" s="79"/>
      <c r="Q126" s="79"/>
      <c r="R126" s="79"/>
      <c r="S126" s="79"/>
    </row>
  </sheetData>
  <phoneticPr fontId="40" type="noConversion"/>
  <printOptions gridLines="1" gridLinesSet="0"/>
  <pageMargins left="0.75" right="0.75" top="1" bottom="1" header="0.5" footer="0.5"/>
  <pageSetup scale="62" orientation="portrait" horizontalDpi="1200" verticalDpi="1200"/>
  <headerFooter alignWithMargins="0">
    <oddHeader>&amp;A</oddHeader>
    <oddFooter>Page &amp;P</oddFooter>
  </headerFooter>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A1:Z54"/>
  <sheetViews>
    <sheetView workbookViewId="0">
      <selection activeCell="E7" sqref="E7"/>
    </sheetView>
  </sheetViews>
  <sheetFormatPr defaultColWidth="8.85546875" defaultRowHeight="12.75" x14ac:dyDescent="0.2"/>
  <sheetData>
    <row r="1" spans="1:26" ht="15" customHeight="1" x14ac:dyDescent="0.2">
      <c r="A1" s="104"/>
      <c r="B1" s="104"/>
      <c r="C1" s="104"/>
      <c r="D1" s="104"/>
      <c r="E1" s="104"/>
      <c r="F1" s="104"/>
      <c r="G1" s="104"/>
      <c r="H1" s="104"/>
      <c r="I1" s="104"/>
      <c r="J1" s="104"/>
      <c r="K1" s="104"/>
      <c r="L1" s="104"/>
      <c r="M1" s="104"/>
      <c r="N1" s="104"/>
      <c r="O1" s="104"/>
      <c r="P1" s="104"/>
      <c r="Q1" s="104"/>
      <c r="R1" s="104"/>
      <c r="S1" s="104"/>
      <c r="T1" s="104"/>
      <c r="U1" s="104"/>
      <c r="V1" s="104"/>
      <c r="W1" s="104"/>
      <c r="X1" s="104"/>
      <c r="Y1" s="104"/>
      <c r="Z1" s="104"/>
    </row>
    <row r="2" spans="1:26" ht="15" customHeight="1" x14ac:dyDescent="0.2">
      <c r="A2" s="104"/>
      <c r="B2" s="104"/>
      <c r="C2" s="104"/>
      <c r="D2" s="104"/>
      <c r="E2" s="104"/>
      <c r="F2" s="104"/>
      <c r="G2" s="104"/>
      <c r="H2" s="104"/>
      <c r="I2" s="104"/>
      <c r="J2" s="104"/>
      <c r="K2" s="104"/>
      <c r="L2" s="104"/>
      <c r="M2" s="104"/>
      <c r="N2" s="104"/>
      <c r="O2" s="104"/>
      <c r="P2" s="104"/>
      <c r="Q2" s="104"/>
      <c r="R2" s="104"/>
      <c r="S2" s="104"/>
      <c r="T2" s="104"/>
      <c r="U2" s="104"/>
      <c r="V2" s="104"/>
      <c r="W2" s="104"/>
      <c r="X2" s="104"/>
      <c r="Y2" s="104"/>
      <c r="Z2" s="104"/>
    </row>
    <row r="3" spans="1:26" ht="15" customHeight="1" x14ac:dyDescent="0.2">
      <c r="A3" s="104"/>
      <c r="B3" s="104"/>
      <c r="C3" s="105"/>
      <c r="D3" s="105"/>
      <c r="E3" s="105"/>
      <c r="F3" s="105"/>
      <c r="G3" s="104"/>
      <c r="H3" s="104"/>
      <c r="I3" s="104"/>
      <c r="J3" s="104"/>
      <c r="K3" s="104"/>
      <c r="L3" s="104"/>
      <c r="M3" s="104"/>
      <c r="N3" s="104"/>
      <c r="O3" s="104"/>
      <c r="P3" s="104"/>
      <c r="Q3" s="104"/>
      <c r="R3" s="104"/>
      <c r="S3" s="104"/>
      <c r="T3" s="104"/>
      <c r="U3" s="104"/>
      <c r="V3" s="104"/>
      <c r="W3" s="104"/>
      <c r="X3" s="104"/>
      <c r="Y3" s="104"/>
      <c r="Z3" s="104"/>
    </row>
    <row r="4" spans="1:26" ht="15" customHeight="1" x14ac:dyDescent="0.2">
      <c r="A4" s="104"/>
      <c r="B4" s="104"/>
      <c r="C4" s="105"/>
      <c r="D4" s="105"/>
      <c r="E4" s="105"/>
      <c r="F4" s="105"/>
      <c r="G4" s="104"/>
      <c r="H4" s="104"/>
      <c r="I4" s="104"/>
      <c r="J4" s="104"/>
      <c r="K4" s="104"/>
      <c r="L4" s="104"/>
      <c r="M4" s="104"/>
      <c r="N4" s="104"/>
      <c r="O4" s="104"/>
      <c r="P4" s="104"/>
      <c r="Q4" s="104"/>
      <c r="R4" s="104"/>
      <c r="S4" s="104"/>
      <c r="T4" s="104"/>
      <c r="U4" s="104"/>
      <c r="V4" s="104"/>
      <c r="W4" s="104"/>
      <c r="X4" s="104"/>
      <c r="Y4" s="104"/>
      <c r="Z4" s="104"/>
    </row>
    <row r="5" spans="1:26" ht="15" customHeight="1" x14ac:dyDescent="0.2">
      <c r="A5" s="104"/>
      <c r="B5" s="104"/>
      <c r="C5" s="105"/>
      <c r="D5" s="105"/>
      <c r="E5" s="105"/>
      <c r="F5" s="105"/>
      <c r="G5" s="104"/>
      <c r="H5" s="104"/>
      <c r="I5" s="104"/>
      <c r="J5" s="104"/>
      <c r="K5" s="104"/>
      <c r="L5" s="104"/>
      <c r="M5" s="104"/>
      <c r="N5" s="104"/>
      <c r="O5" s="104"/>
      <c r="P5" s="104"/>
      <c r="Q5" s="104"/>
      <c r="R5" s="104"/>
      <c r="S5" s="104"/>
      <c r="T5" s="104"/>
      <c r="U5" s="104"/>
      <c r="V5" s="104"/>
      <c r="W5" s="104"/>
      <c r="X5" s="104"/>
      <c r="Y5" s="104"/>
      <c r="Z5" s="104"/>
    </row>
    <row r="6" spans="1:26" ht="15" customHeight="1" x14ac:dyDescent="0.2">
      <c r="A6" s="104"/>
      <c r="B6" s="104"/>
      <c r="C6" s="105"/>
      <c r="D6" s="105"/>
      <c r="E6" s="105"/>
      <c r="F6" s="105"/>
      <c r="G6" s="104"/>
      <c r="H6" s="104"/>
      <c r="I6" s="104"/>
      <c r="J6" s="104"/>
      <c r="K6" s="104"/>
      <c r="L6" s="104"/>
      <c r="M6" s="104"/>
      <c r="N6" s="104"/>
      <c r="O6" s="104"/>
      <c r="P6" s="104"/>
      <c r="Q6" s="104"/>
      <c r="R6" s="104"/>
      <c r="S6" s="104"/>
      <c r="T6" s="104"/>
      <c r="U6" s="104"/>
      <c r="V6" s="104"/>
      <c r="W6" s="104"/>
      <c r="X6" s="104"/>
      <c r="Y6" s="104"/>
      <c r="Z6" s="104"/>
    </row>
    <row r="7" spans="1:26" ht="15" customHeight="1" x14ac:dyDescent="0.2">
      <c r="A7" s="104"/>
      <c r="B7" s="104"/>
      <c r="C7" s="105"/>
      <c r="D7" s="105"/>
      <c r="E7" s="105"/>
      <c r="F7" s="105"/>
      <c r="G7" s="104"/>
      <c r="H7" s="104"/>
      <c r="I7" s="104"/>
      <c r="J7" s="104"/>
      <c r="K7" s="104"/>
      <c r="L7" s="104"/>
      <c r="M7" s="104"/>
      <c r="N7" s="104"/>
      <c r="O7" s="104"/>
      <c r="P7" s="104"/>
      <c r="Q7" s="104"/>
      <c r="R7" s="104"/>
      <c r="S7" s="104"/>
      <c r="T7" s="104"/>
      <c r="U7" s="104"/>
      <c r="V7" s="104"/>
      <c r="W7" s="104"/>
      <c r="X7" s="104"/>
      <c r="Y7" s="104"/>
      <c r="Z7" s="104"/>
    </row>
    <row r="8" spans="1:26" ht="15" customHeight="1" x14ac:dyDescent="0.2">
      <c r="A8" s="104"/>
      <c r="B8" s="104"/>
      <c r="C8" s="105"/>
      <c r="D8" s="105"/>
      <c r="E8" s="105"/>
      <c r="F8" s="105"/>
      <c r="G8" s="104"/>
      <c r="H8" s="104"/>
      <c r="I8" s="104"/>
      <c r="J8" s="104"/>
      <c r="K8" s="104"/>
      <c r="L8" s="104"/>
      <c r="M8" s="104"/>
      <c r="N8" s="104"/>
      <c r="O8" s="104"/>
      <c r="P8" s="104"/>
      <c r="Q8" s="104"/>
      <c r="R8" s="104"/>
      <c r="S8" s="104"/>
      <c r="T8" s="104"/>
      <c r="U8" s="104"/>
      <c r="V8" s="104"/>
      <c r="W8" s="104"/>
      <c r="X8" s="104"/>
      <c r="Y8" s="104"/>
      <c r="Z8" s="104"/>
    </row>
    <row r="9" spans="1:26" ht="15" customHeight="1" x14ac:dyDescent="0.2">
      <c r="A9" s="104"/>
      <c r="B9" s="104"/>
      <c r="C9" s="105"/>
      <c r="D9" s="105"/>
      <c r="E9" s="105"/>
      <c r="F9" s="105"/>
      <c r="G9" s="104"/>
      <c r="H9" s="104"/>
      <c r="I9" s="104"/>
      <c r="J9" s="104"/>
      <c r="K9" s="104"/>
      <c r="L9" s="104"/>
      <c r="M9" s="104"/>
      <c r="N9" s="104"/>
      <c r="O9" s="104"/>
      <c r="P9" s="104"/>
      <c r="Q9" s="104"/>
      <c r="R9" s="104"/>
      <c r="S9" s="104"/>
      <c r="T9" s="104"/>
      <c r="U9" s="104"/>
      <c r="V9" s="104"/>
      <c r="W9" s="104"/>
      <c r="X9" s="104"/>
      <c r="Y9" s="104"/>
      <c r="Z9" s="104"/>
    </row>
    <row r="10" spans="1:26" ht="15" customHeight="1" x14ac:dyDescent="0.2">
      <c r="A10" s="104"/>
      <c r="B10" s="104"/>
      <c r="C10" s="105"/>
      <c r="D10" s="105"/>
      <c r="E10" s="105"/>
      <c r="F10" s="105"/>
      <c r="G10" s="104"/>
      <c r="H10" s="104"/>
      <c r="I10" s="104"/>
      <c r="J10" s="104"/>
      <c r="K10" s="104"/>
      <c r="L10" s="104"/>
      <c r="M10" s="104"/>
      <c r="N10" s="104"/>
      <c r="O10" s="104"/>
      <c r="P10" s="104"/>
      <c r="Q10" s="104"/>
      <c r="R10" s="104"/>
      <c r="S10" s="104"/>
      <c r="T10" s="104"/>
      <c r="U10" s="104"/>
      <c r="V10" s="104"/>
      <c r="W10" s="104"/>
      <c r="X10" s="104"/>
      <c r="Y10" s="104"/>
      <c r="Z10" s="104"/>
    </row>
    <row r="11" spans="1:26" ht="15" customHeight="1" x14ac:dyDescent="0.2">
      <c r="A11" s="104"/>
      <c r="B11" s="104"/>
      <c r="C11" s="104"/>
      <c r="D11" s="104"/>
      <c r="E11" s="104"/>
      <c r="F11" s="104"/>
      <c r="G11" s="104"/>
      <c r="H11" s="104"/>
      <c r="I11" s="104"/>
      <c r="J11" s="104"/>
      <c r="K11" s="104"/>
      <c r="L11" s="104"/>
      <c r="M11" s="104"/>
      <c r="N11" s="104"/>
      <c r="O11" s="104"/>
      <c r="P11" s="104"/>
      <c r="Q11" s="104"/>
      <c r="R11" s="104"/>
      <c r="S11" s="104"/>
      <c r="T11" s="104"/>
      <c r="U11" s="104"/>
      <c r="V11" s="104"/>
      <c r="W11" s="104"/>
      <c r="X11" s="104"/>
      <c r="Y11" s="104"/>
      <c r="Z11" s="104"/>
    </row>
    <row r="12" spans="1:26" ht="15" customHeight="1" x14ac:dyDescent="0.2">
      <c r="A12" s="104"/>
      <c r="B12" s="104"/>
      <c r="C12" s="104"/>
      <c r="D12" s="104"/>
      <c r="E12" s="104"/>
      <c r="F12" s="104"/>
      <c r="G12" s="104"/>
      <c r="H12" s="104"/>
      <c r="I12" s="104"/>
      <c r="J12" s="104"/>
      <c r="K12" s="104"/>
      <c r="L12" s="104"/>
      <c r="M12" s="104"/>
      <c r="N12" s="104"/>
      <c r="O12" s="104"/>
      <c r="P12" s="104"/>
      <c r="Q12" s="104"/>
      <c r="R12" s="104"/>
      <c r="S12" s="104"/>
      <c r="T12" s="104"/>
      <c r="U12" s="104"/>
      <c r="V12" s="104"/>
      <c r="W12" s="104"/>
      <c r="X12" s="104"/>
      <c r="Y12" s="104"/>
      <c r="Z12" s="104"/>
    </row>
    <row r="13" spans="1:26" ht="15" customHeight="1" x14ac:dyDescent="0.2">
      <c r="A13" s="104"/>
      <c r="B13" s="104"/>
      <c r="C13" s="104"/>
      <c r="D13" s="104"/>
      <c r="E13" s="104"/>
      <c r="F13" s="104"/>
      <c r="G13" s="104"/>
      <c r="H13" s="104"/>
      <c r="I13" s="104"/>
      <c r="J13" s="104"/>
      <c r="K13" s="104"/>
      <c r="L13" s="104"/>
      <c r="M13" s="104"/>
      <c r="N13" s="104"/>
      <c r="O13" s="104"/>
      <c r="P13" s="104"/>
      <c r="Q13" s="104"/>
      <c r="R13" s="104"/>
      <c r="S13" s="104"/>
      <c r="T13" s="104"/>
      <c r="U13" s="104"/>
      <c r="V13" s="104"/>
      <c r="W13" s="104"/>
      <c r="X13" s="104"/>
      <c r="Y13" s="104"/>
      <c r="Z13" s="104"/>
    </row>
    <row r="14" spans="1:26" ht="15" customHeight="1" x14ac:dyDescent="0.2">
      <c r="A14" s="104"/>
      <c r="B14" s="104"/>
      <c r="C14" s="104"/>
      <c r="D14" s="104"/>
      <c r="E14" s="104"/>
      <c r="F14" s="104"/>
      <c r="G14" s="104"/>
      <c r="H14" s="104"/>
      <c r="I14" s="104"/>
      <c r="J14" s="104"/>
      <c r="K14" s="104"/>
      <c r="L14" s="104"/>
      <c r="M14" s="104"/>
      <c r="N14" s="104"/>
      <c r="O14" s="104"/>
      <c r="P14" s="104"/>
      <c r="Q14" s="104"/>
      <c r="R14" s="104"/>
      <c r="S14" s="104"/>
      <c r="T14" s="104"/>
      <c r="U14" s="104"/>
      <c r="V14" s="104"/>
      <c r="W14" s="104"/>
      <c r="X14" s="104"/>
      <c r="Y14" s="104"/>
      <c r="Z14" s="104"/>
    </row>
    <row r="15" spans="1:26" ht="15" customHeight="1" x14ac:dyDescent="0.2">
      <c r="A15" s="104"/>
      <c r="B15" s="104"/>
      <c r="C15" s="104"/>
      <c r="D15" s="104"/>
      <c r="E15" s="104"/>
      <c r="F15" s="104"/>
      <c r="G15" s="104"/>
      <c r="H15" s="104"/>
      <c r="I15" s="104"/>
      <c r="J15" s="104"/>
      <c r="K15" s="104"/>
      <c r="L15" s="104"/>
      <c r="M15" s="104"/>
      <c r="N15" s="104"/>
      <c r="O15" s="104"/>
      <c r="P15" s="104"/>
      <c r="Q15" s="104"/>
      <c r="R15" s="104"/>
      <c r="S15" s="104"/>
      <c r="T15" s="104"/>
      <c r="U15" s="104"/>
      <c r="V15" s="104"/>
      <c r="W15" s="104"/>
      <c r="X15" s="104"/>
      <c r="Y15" s="104"/>
      <c r="Z15" s="104"/>
    </row>
    <row r="16" spans="1:26" ht="15" customHeight="1" x14ac:dyDescent="0.2">
      <c r="A16" s="104"/>
      <c r="B16" s="104"/>
      <c r="C16" s="104"/>
      <c r="D16" s="104"/>
      <c r="E16" s="104"/>
      <c r="F16" s="104"/>
      <c r="G16" s="104"/>
      <c r="H16" s="104"/>
      <c r="I16" s="104"/>
      <c r="J16" s="104"/>
      <c r="K16" s="104"/>
      <c r="L16" s="104"/>
      <c r="M16" s="104"/>
      <c r="N16" s="104"/>
      <c r="O16" s="104"/>
      <c r="P16" s="104"/>
      <c r="Q16" s="104"/>
      <c r="R16" s="104"/>
      <c r="S16" s="104"/>
      <c r="T16" s="104"/>
      <c r="U16" s="104"/>
      <c r="V16" s="104"/>
      <c r="W16" s="104"/>
      <c r="X16" s="104"/>
      <c r="Y16" s="104"/>
      <c r="Z16" s="104"/>
    </row>
    <row r="17" spans="1:26" ht="15" customHeight="1" x14ac:dyDescent="0.2">
      <c r="A17" s="104"/>
      <c r="B17" s="104"/>
      <c r="C17" s="104"/>
      <c r="D17" s="104"/>
      <c r="E17" s="104"/>
      <c r="F17" s="104"/>
      <c r="G17" s="104"/>
      <c r="H17" s="104"/>
      <c r="I17" s="104"/>
      <c r="J17" s="104"/>
      <c r="K17" s="104"/>
      <c r="L17" s="104"/>
      <c r="M17" s="104"/>
      <c r="N17" s="104"/>
      <c r="O17" s="104"/>
      <c r="P17" s="104"/>
      <c r="Q17" s="104"/>
      <c r="R17" s="104"/>
      <c r="S17" s="104"/>
      <c r="T17" s="104"/>
      <c r="U17" s="104"/>
      <c r="V17" s="104"/>
      <c r="W17" s="104"/>
      <c r="X17" s="104"/>
      <c r="Y17" s="104"/>
      <c r="Z17" s="104"/>
    </row>
    <row r="18" spans="1:26" ht="15" customHeight="1" x14ac:dyDescent="0.2">
      <c r="A18" s="104"/>
      <c r="B18" s="104"/>
      <c r="C18" s="104"/>
      <c r="D18" s="104"/>
      <c r="E18" s="104"/>
      <c r="F18" s="104"/>
      <c r="G18" s="104"/>
      <c r="H18" s="104"/>
      <c r="I18" s="104"/>
      <c r="J18" s="104"/>
      <c r="K18" s="104"/>
      <c r="L18" s="104"/>
      <c r="M18" s="104"/>
      <c r="N18" s="104"/>
      <c r="O18" s="104"/>
      <c r="P18" s="104"/>
      <c r="Q18" s="104"/>
      <c r="R18" s="104"/>
      <c r="S18" s="104"/>
      <c r="T18" s="104"/>
      <c r="U18" s="104"/>
      <c r="V18" s="104"/>
      <c r="W18" s="104"/>
      <c r="X18" s="104"/>
      <c r="Y18" s="104"/>
      <c r="Z18" s="104"/>
    </row>
    <row r="19" spans="1:26" ht="15" customHeight="1" x14ac:dyDescent="0.2">
      <c r="A19" s="104"/>
      <c r="B19" s="104"/>
      <c r="C19" s="104"/>
      <c r="D19" s="104"/>
      <c r="E19" s="104"/>
      <c r="F19" s="104"/>
      <c r="G19" s="104"/>
      <c r="H19" s="104"/>
      <c r="I19" s="104"/>
      <c r="J19" s="104"/>
      <c r="K19" s="104"/>
      <c r="L19" s="104"/>
      <c r="M19" s="104"/>
      <c r="N19" s="104"/>
      <c r="O19" s="104"/>
      <c r="P19" s="104"/>
      <c r="Q19" s="104"/>
      <c r="R19" s="104"/>
      <c r="S19" s="104"/>
      <c r="T19" s="104"/>
      <c r="U19" s="104"/>
      <c r="V19" s="104"/>
      <c r="W19" s="104"/>
      <c r="X19" s="104"/>
      <c r="Y19" s="104"/>
      <c r="Z19" s="104"/>
    </row>
    <row r="20" spans="1:26" ht="15" customHeight="1" x14ac:dyDescent="0.2">
      <c r="A20" s="104"/>
      <c r="B20" s="104"/>
      <c r="C20" s="104"/>
      <c r="D20" s="104"/>
      <c r="E20" s="104"/>
      <c r="F20" s="104"/>
      <c r="G20" s="104"/>
      <c r="H20" s="104"/>
      <c r="I20" s="104"/>
      <c r="J20" s="104"/>
      <c r="K20" s="104"/>
      <c r="L20" s="104"/>
      <c r="M20" s="104"/>
      <c r="N20" s="104"/>
      <c r="O20" s="104"/>
      <c r="P20" s="104"/>
      <c r="Q20" s="104"/>
      <c r="R20" s="104"/>
      <c r="S20" s="104"/>
      <c r="T20" s="104"/>
      <c r="U20" s="104"/>
      <c r="V20" s="104"/>
      <c r="W20" s="104"/>
      <c r="X20" s="104"/>
      <c r="Y20" s="104"/>
      <c r="Z20" s="104"/>
    </row>
    <row r="21" spans="1:26" ht="15" customHeight="1" x14ac:dyDescent="0.2">
      <c r="A21" s="104"/>
      <c r="B21" s="104"/>
      <c r="C21" s="104"/>
      <c r="D21" s="104"/>
      <c r="E21" s="104"/>
      <c r="F21" s="104"/>
      <c r="G21" s="104"/>
      <c r="H21" s="104"/>
      <c r="I21" s="104"/>
      <c r="J21" s="104"/>
      <c r="K21" s="104"/>
      <c r="L21" s="104"/>
      <c r="M21" s="104"/>
      <c r="N21" s="104"/>
      <c r="O21" s="104"/>
      <c r="P21" s="104"/>
      <c r="Q21" s="104"/>
      <c r="R21" s="104"/>
      <c r="S21" s="104"/>
      <c r="T21" s="104"/>
      <c r="U21" s="104"/>
      <c r="V21" s="104"/>
      <c r="W21" s="104"/>
      <c r="X21" s="104"/>
      <c r="Y21" s="104"/>
      <c r="Z21" s="104"/>
    </row>
    <row r="22" spans="1:26" ht="15" customHeight="1" x14ac:dyDescent="0.2">
      <c r="A22" s="104"/>
      <c r="B22" s="104"/>
      <c r="C22" s="104"/>
      <c r="D22" s="104"/>
      <c r="E22" s="104"/>
      <c r="F22" s="104"/>
      <c r="G22" s="104"/>
      <c r="H22" s="104"/>
      <c r="I22" s="104"/>
      <c r="J22" s="104"/>
      <c r="K22" s="104"/>
      <c r="L22" s="104"/>
      <c r="M22" s="104"/>
      <c r="N22" s="104"/>
      <c r="O22" s="104"/>
      <c r="P22" s="104"/>
      <c r="Q22" s="104"/>
      <c r="R22" s="104"/>
      <c r="S22" s="104"/>
      <c r="T22" s="104"/>
      <c r="U22" s="104"/>
      <c r="V22" s="104"/>
      <c r="W22" s="104"/>
      <c r="X22" s="104"/>
      <c r="Y22" s="104"/>
      <c r="Z22" s="104"/>
    </row>
    <row r="23" spans="1:26" ht="15" customHeight="1" x14ac:dyDescent="0.2">
      <c r="A23" s="104"/>
      <c r="B23" s="104"/>
      <c r="C23" s="104"/>
      <c r="D23" s="104"/>
      <c r="E23" s="104"/>
      <c r="F23" s="104"/>
      <c r="G23" s="104"/>
      <c r="H23" s="104"/>
      <c r="I23" s="104"/>
      <c r="J23" s="104"/>
      <c r="K23" s="104"/>
      <c r="L23" s="104"/>
      <c r="M23" s="104"/>
      <c r="N23" s="104"/>
      <c r="O23" s="104"/>
      <c r="P23" s="104"/>
      <c r="Q23" s="104"/>
      <c r="R23" s="104"/>
      <c r="S23" s="104"/>
      <c r="T23" s="104"/>
      <c r="U23" s="104"/>
      <c r="V23" s="104"/>
      <c r="W23" s="104"/>
      <c r="X23" s="104"/>
      <c r="Y23" s="104"/>
      <c r="Z23" s="104"/>
    </row>
    <row r="24" spans="1:26" ht="15" customHeight="1" x14ac:dyDescent="0.2">
      <c r="A24" s="104"/>
      <c r="B24" s="104"/>
      <c r="C24" s="104"/>
      <c r="D24" s="104"/>
      <c r="E24" s="104"/>
      <c r="F24" s="104"/>
      <c r="G24" s="104"/>
      <c r="H24" s="104"/>
      <c r="I24" s="104"/>
      <c r="J24" s="104"/>
      <c r="K24" s="104"/>
      <c r="L24" s="104"/>
      <c r="M24" s="104"/>
      <c r="N24" s="104"/>
      <c r="O24" s="104"/>
      <c r="P24" s="104"/>
      <c r="Q24" s="104"/>
      <c r="R24" s="104"/>
      <c r="S24" s="104"/>
      <c r="T24" s="104"/>
      <c r="U24" s="104"/>
      <c r="V24" s="104"/>
      <c r="W24" s="104"/>
      <c r="X24" s="104"/>
      <c r="Y24" s="104"/>
      <c r="Z24" s="104"/>
    </row>
    <row r="25" spans="1:26" ht="15" customHeight="1" x14ac:dyDescent="0.2">
      <c r="A25" s="104"/>
      <c r="B25" s="104"/>
      <c r="C25" s="104"/>
      <c r="D25" s="104"/>
      <c r="E25" s="104"/>
      <c r="F25" s="104"/>
      <c r="G25" s="104"/>
      <c r="H25" s="104"/>
      <c r="I25" s="104"/>
      <c r="J25" s="104"/>
      <c r="K25" s="104"/>
      <c r="L25" s="104"/>
      <c r="M25" s="104"/>
      <c r="N25" s="104"/>
      <c r="O25" s="104"/>
      <c r="P25" s="104"/>
      <c r="Q25" s="104"/>
      <c r="R25" s="104"/>
      <c r="S25" s="104"/>
      <c r="T25" s="104"/>
      <c r="U25" s="104"/>
      <c r="V25" s="104"/>
      <c r="W25" s="104"/>
      <c r="X25" s="104"/>
      <c r="Y25" s="104"/>
      <c r="Z25" s="104"/>
    </row>
    <row r="26" spans="1:26" ht="15" customHeight="1" x14ac:dyDescent="0.2">
      <c r="A26" s="104"/>
      <c r="B26" s="104"/>
      <c r="C26" s="104"/>
      <c r="D26" s="104"/>
      <c r="E26" s="104"/>
      <c r="F26" s="104"/>
      <c r="G26" s="104"/>
      <c r="H26" s="104"/>
      <c r="I26" s="104"/>
      <c r="J26" s="104"/>
      <c r="K26" s="104"/>
      <c r="L26" s="104"/>
      <c r="M26" s="104"/>
      <c r="N26" s="104"/>
      <c r="O26" s="104"/>
      <c r="P26" s="104"/>
      <c r="Q26" s="104"/>
      <c r="R26" s="104"/>
      <c r="S26" s="104"/>
      <c r="T26" s="104"/>
      <c r="U26" s="104"/>
      <c r="V26" s="104"/>
      <c r="W26" s="104"/>
      <c r="X26" s="104"/>
      <c r="Y26" s="104"/>
      <c r="Z26" s="104"/>
    </row>
    <row r="27" spans="1:26" ht="15" customHeight="1" x14ac:dyDescent="0.2">
      <c r="A27" s="104"/>
      <c r="B27" s="104"/>
      <c r="C27" s="104"/>
      <c r="D27" s="104"/>
      <c r="E27" s="104"/>
      <c r="F27" s="104"/>
      <c r="G27" s="104"/>
      <c r="H27" s="104"/>
      <c r="I27" s="104"/>
      <c r="J27" s="104"/>
      <c r="K27" s="104"/>
      <c r="L27" s="104"/>
      <c r="M27" s="104"/>
      <c r="N27" s="104"/>
      <c r="O27" s="104"/>
      <c r="P27" s="104"/>
      <c r="Q27" s="104"/>
      <c r="R27" s="104"/>
      <c r="S27" s="104"/>
      <c r="T27" s="104"/>
      <c r="U27" s="104"/>
      <c r="V27" s="104"/>
      <c r="W27" s="104"/>
      <c r="X27" s="104"/>
      <c r="Y27" s="104"/>
      <c r="Z27" s="104"/>
    </row>
    <row r="28" spans="1:26" ht="15" customHeight="1" x14ac:dyDescent="0.2">
      <c r="A28" s="104"/>
      <c r="B28" s="104"/>
      <c r="C28" s="104"/>
      <c r="D28" s="104"/>
      <c r="E28" s="104"/>
      <c r="F28" s="104"/>
      <c r="G28" s="104"/>
      <c r="H28" s="104"/>
      <c r="I28" s="104"/>
      <c r="J28" s="104"/>
      <c r="K28" s="104"/>
      <c r="L28" s="104"/>
      <c r="M28" s="104"/>
      <c r="N28" s="104"/>
      <c r="O28" s="104"/>
      <c r="P28" s="104"/>
      <c r="Q28" s="104"/>
      <c r="R28" s="104"/>
      <c r="S28" s="104"/>
      <c r="T28" s="104"/>
      <c r="U28" s="104"/>
      <c r="V28" s="104"/>
      <c r="W28" s="104"/>
      <c r="X28" s="104"/>
      <c r="Y28" s="104"/>
      <c r="Z28" s="104"/>
    </row>
    <row r="29" spans="1:26" ht="15" customHeight="1" x14ac:dyDescent="0.2">
      <c r="A29" s="104"/>
      <c r="B29" s="104"/>
      <c r="C29" s="104"/>
      <c r="D29" s="104"/>
      <c r="E29" s="104"/>
      <c r="F29" s="104"/>
      <c r="G29" s="104"/>
      <c r="H29" s="104"/>
      <c r="I29" s="104"/>
      <c r="J29" s="104"/>
      <c r="K29" s="104"/>
      <c r="L29" s="104"/>
      <c r="M29" s="104"/>
      <c r="N29" s="104"/>
      <c r="O29" s="104"/>
      <c r="P29" s="104"/>
      <c r="Q29" s="104"/>
      <c r="R29" s="104"/>
      <c r="S29" s="104"/>
      <c r="T29" s="104"/>
      <c r="U29" s="104"/>
      <c r="V29" s="104"/>
      <c r="W29" s="104"/>
      <c r="X29" s="104"/>
      <c r="Y29" s="104"/>
      <c r="Z29" s="104"/>
    </row>
    <row r="30" spans="1:26" ht="15" customHeight="1" x14ac:dyDescent="0.2">
      <c r="A30" s="104"/>
      <c r="B30" s="104"/>
      <c r="C30" s="104"/>
      <c r="D30" s="104"/>
      <c r="E30" s="104"/>
      <c r="F30" s="104"/>
      <c r="G30" s="104"/>
      <c r="H30" s="104"/>
      <c r="I30" s="104"/>
      <c r="J30" s="104"/>
      <c r="K30" s="104"/>
      <c r="L30" s="104"/>
      <c r="M30" s="104"/>
      <c r="N30" s="104"/>
      <c r="O30" s="104"/>
      <c r="P30" s="104"/>
      <c r="Q30" s="104"/>
      <c r="R30" s="104"/>
      <c r="S30" s="104"/>
      <c r="T30" s="104"/>
      <c r="U30" s="104"/>
      <c r="V30" s="104"/>
      <c r="W30" s="104"/>
      <c r="X30" s="104"/>
      <c r="Y30" s="104"/>
      <c r="Z30" s="104"/>
    </row>
    <row r="31" spans="1:26" ht="15" customHeight="1" x14ac:dyDescent="0.2">
      <c r="A31" s="104"/>
      <c r="B31" s="104"/>
      <c r="C31" s="104"/>
      <c r="D31" s="104"/>
      <c r="E31" s="104"/>
      <c r="F31" s="104"/>
      <c r="G31" s="104"/>
      <c r="H31" s="104"/>
      <c r="I31" s="104"/>
      <c r="J31" s="104"/>
      <c r="K31" s="104"/>
      <c r="L31" s="104"/>
      <c r="M31" s="104"/>
      <c r="N31" s="104"/>
      <c r="O31" s="104"/>
      <c r="P31" s="104"/>
      <c r="Q31" s="104"/>
      <c r="R31" s="104"/>
      <c r="S31" s="104"/>
      <c r="T31" s="104"/>
      <c r="U31" s="104"/>
      <c r="V31" s="104"/>
      <c r="W31" s="104"/>
      <c r="X31" s="104"/>
      <c r="Y31" s="104"/>
      <c r="Z31" s="104"/>
    </row>
    <row r="32" spans="1:26" ht="15" customHeight="1" x14ac:dyDescent="0.2">
      <c r="A32" s="104"/>
      <c r="B32" s="104"/>
      <c r="C32" s="104"/>
      <c r="D32" s="104"/>
      <c r="E32" s="104"/>
      <c r="F32" s="104"/>
      <c r="G32" s="104"/>
      <c r="H32" s="104"/>
      <c r="I32" s="104"/>
      <c r="J32" s="104"/>
      <c r="K32" s="104"/>
      <c r="L32" s="104"/>
      <c r="M32" s="104"/>
      <c r="N32" s="104"/>
      <c r="O32" s="104"/>
      <c r="P32" s="104"/>
      <c r="Q32" s="104"/>
      <c r="R32" s="104"/>
      <c r="S32" s="104"/>
      <c r="T32" s="104"/>
      <c r="U32" s="104"/>
      <c r="V32" s="104"/>
      <c r="W32" s="104"/>
      <c r="X32" s="104"/>
      <c r="Y32" s="104"/>
      <c r="Z32" s="104"/>
    </row>
    <row r="33" spans="1:26" ht="15" customHeight="1" x14ac:dyDescent="0.2">
      <c r="A33" s="104"/>
      <c r="B33" s="104"/>
      <c r="C33" s="104"/>
      <c r="D33" s="104"/>
      <c r="E33" s="104"/>
      <c r="F33" s="104"/>
      <c r="G33" s="104"/>
      <c r="H33" s="104"/>
      <c r="I33" s="104"/>
      <c r="J33" s="104"/>
      <c r="K33" s="104"/>
      <c r="L33" s="104"/>
      <c r="M33" s="104"/>
      <c r="N33" s="104"/>
      <c r="O33" s="104"/>
      <c r="P33" s="104"/>
      <c r="Q33" s="104"/>
      <c r="R33" s="104"/>
      <c r="S33" s="104"/>
      <c r="T33" s="104"/>
      <c r="U33" s="104"/>
      <c r="V33" s="104"/>
      <c r="W33" s="104"/>
      <c r="X33" s="104"/>
      <c r="Y33" s="104"/>
      <c r="Z33" s="104"/>
    </row>
    <row r="34" spans="1:26" ht="15" customHeight="1" x14ac:dyDescent="0.2">
      <c r="A34" s="104"/>
      <c r="B34" s="104"/>
      <c r="C34" s="104"/>
      <c r="D34" s="104"/>
      <c r="E34" s="104"/>
      <c r="F34" s="104"/>
      <c r="G34" s="104"/>
      <c r="H34" s="104"/>
      <c r="I34" s="104"/>
      <c r="J34" s="104"/>
      <c r="K34" s="104"/>
      <c r="L34" s="104"/>
      <c r="M34" s="104"/>
      <c r="N34" s="104"/>
      <c r="O34" s="104"/>
      <c r="P34" s="104"/>
      <c r="Q34" s="104"/>
      <c r="R34" s="104"/>
      <c r="S34" s="104"/>
      <c r="T34" s="104"/>
      <c r="U34" s="104"/>
      <c r="V34" s="104"/>
      <c r="W34" s="104"/>
      <c r="X34" s="104"/>
      <c r="Y34" s="104"/>
      <c r="Z34" s="104"/>
    </row>
    <row r="35" spans="1:26" ht="15" customHeight="1" x14ac:dyDescent="0.2">
      <c r="A35" s="104"/>
      <c r="B35" s="104"/>
      <c r="C35" s="104"/>
      <c r="D35" s="104"/>
      <c r="E35" s="104"/>
      <c r="F35" s="104"/>
      <c r="G35" s="104"/>
      <c r="H35" s="104"/>
      <c r="I35" s="104"/>
      <c r="J35" s="104"/>
      <c r="K35" s="104"/>
      <c r="L35" s="104"/>
      <c r="M35" s="104"/>
      <c r="N35" s="104"/>
      <c r="O35" s="104"/>
      <c r="P35" s="104"/>
      <c r="Q35" s="104"/>
      <c r="R35" s="104"/>
      <c r="S35" s="104"/>
      <c r="T35" s="104"/>
      <c r="U35" s="104"/>
      <c r="V35" s="104"/>
      <c r="W35" s="104"/>
      <c r="X35" s="104"/>
      <c r="Y35" s="104"/>
      <c r="Z35" s="104"/>
    </row>
    <row r="36" spans="1:26" ht="15" customHeight="1" x14ac:dyDescent="0.2">
      <c r="A36" s="104"/>
      <c r="B36" s="104"/>
      <c r="C36" s="104"/>
      <c r="D36" s="104"/>
      <c r="E36" s="104"/>
      <c r="F36" s="104"/>
      <c r="G36" s="104"/>
      <c r="H36" s="104"/>
      <c r="I36" s="104"/>
      <c r="J36" s="104"/>
      <c r="K36" s="104"/>
      <c r="L36" s="104"/>
      <c r="M36" s="104"/>
      <c r="N36" s="104"/>
      <c r="O36" s="104"/>
      <c r="P36" s="104"/>
      <c r="Q36" s="104"/>
      <c r="R36" s="104"/>
      <c r="S36" s="104"/>
      <c r="T36" s="104"/>
      <c r="U36" s="104"/>
      <c r="V36" s="104"/>
      <c r="W36" s="104"/>
      <c r="X36" s="104"/>
      <c r="Y36" s="104"/>
      <c r="Z36" s="104"/>
    </row>
    <row r="37" spans="1:26" ht="15" customHeight="1" x14ac:dyDescent="0.2">
      <c r="A37" s="104"/>
      <c r="B37" s="104"/>
      <c r="C37" s="104"/>
      <c r="D37" s="104"/>
      <c r="E37" s="104"/>
      <c r="F37" s="104"/>
      <c r="G37" s="104"/>
      <c r="H37" s="104"/>
      <c r="I37" s="104"/>
      <c r="J37" s="104"/>
      <c r="K37" s="104"/>
      <c r="L37" s="104"/>
      <c r="M37" s="104"/>
      <c r="N37" s="104"/>
      <c r="O37" s="104"/>
      <c r="P37" s="104"/>
      <c r="Q37" s="104"/>
      <c r="R37" s="104"/>
      <c r="S37" s="104"/>
      <c r="T37" s="104"/>
      <c r="U37" s="104"/>
      <c r="V37" s="104"/>
      <c r="W37" s="104"/>
      <c r="X37" s="104"/>
      <c r="Y37" s="104"/>
      <c r="Z37" s="104"/>
    </row>
    <row r="38" spans="1:26" ht="15" customHeight="1" x14ac:dyDescent="0.2">
      <c r="A38" s="104"/>
      <c r="B38" s="104"/>
      <c r="C38" s="104"/>
      <c r="D38" s="104"/>
      <c r="E38" s="104"/>
      <c r="F38" s="104"/>
      <c r="G38" s="104"/>
      <c r="H38" s="104"/>
      <c r="I38" s="104"/>
      <c r="J38" s="104"/>
      <c r="K38" s="104"/>
      <c r="L38" s="104"/>
      <c r="M38" s="104"/>
      <c r="N38" s="104"/>
      <c r="O38" s="104"/>
      <c r="P38" s="104"/>
      <c r="Q38" s="104"/>
      <c r="R38" s="104"/>
      <c r="S38" s="104"/>
      <c r="T38" s="104"/>
      <c r="U38" s="104"/>
      <c r="V38" s="104"/>
      <c r="W38" s="104"/>
      <c r="X38" s="104"/>
      <c r="Y38" s="104"/>
      <c r="Z38" s="104"/>
    </row>
    <row r="39" spans="1:26" ht="15" customHeight="1" x14ac:dyDescent="0.2">
      <c r="A39" s="104"/>
      <c r="B39" s="104"/>
      <c r="C39" s="104"/>
      <c r="D39" s="104"/>
      <c r="E39" s="104"/>
      <c r="F39" s="104"/>
      <c r="G39" s="104"/>
      <c r="H39" s="104"/>
      <c r="I39" s="104"/>
      <c r="J39" s="104"/>
      <c r="K39" s="104"/>
      <c r="L39" s="104"/>
      <c r="M39" s="104"/>
      <c r="N39" s="104"/>
      <c r="O39" s="104"/>
      <c r="P39" s="104"/>
      <c r="Q39" s="104"/>
      <c r="R39" s="104"/>
      <c r="S39" s="104"/>
      <c r="T39" s="104"/>
      <c r="U39" s="104"/>
      <c r="V39" s="104"/>
      <c r="W39" s="104"/>
      <c r="X39" s="104"/>
      <c r="Y39" s="104"/>
      <c r="Z39" s="104"/>
    </row>
    <row r="40" spans="1:26" ht="15" customHeight="1" x14ac:dyDescent="0.2">
      <c r="A40" s="104"/>
      <c r="B40" s="104"/>
      <c r="C40" s="104"/>
      <c r="D40" s="104"/>
      <c r="E40" s="104"/>
      <c r="F40" s="104"/>
      <c r="G40" s="104"/>
      <c r="H40" s="104"/>
      <c r="I40" s="104"/>
      <c r="J40" s="104"/>
      <c r="K40" s="104"/>
      <c r="L40" s="104"/>
      <c r="M40" s="104"/>
      <c r="N40" s="104"/>
      <c r="O40" s="104"/>
      <c r="P40" s="104"/>
      <c r="Q40" s="104"/>
      <c r="R40" s="104"/>
      <c r="S40" s="104"/>
      <c r="T40" s="104"/>
      <c r="U40" s="104"/>
      <c r="V40" s="104"/>
      <c r="W40" s="104"/>
      <c r="X40" s="104"/>
      <c r="Y40" s="104"/>
      <c r="Z40" s="104"/>
    </row>
    <row r="41" spans="1:26" ht="15" customHeight="1" x14ac:dyDescent="0.2">
      <c r="A41" s="104"/>
      <c r="B41" s="104"/>
      <c r="C41" s="104"/>
      <c r="D41" s="104"/>
      <c r="E41" s="104"/>
      <c r="F41" s="104"/>
      <c r="G41" s="104"/>
      <c r="H41" s="104"/>
      <c r="I41" s="104"/>
      <c r="J41" s="104"/>
      <c r="K41" s="104"/>
      <c r="L41" s="104"/>
      <c r="M41" s="104"/>
      <c r="N41" s="104"/>
      <c r="O41" s="104"/>
      <c r="P41" s="104"/>
      <c r="Q41" s="104"/>
      <c r="R41" s="104"/>
      <c r="S41" s="104"/>
      <c r="T41" s="104"/>
      <c r="U41" s="104"/>
      <c r="V41" s="104"/>
      <c r="W41" s="104"/>
      <c r="X41" s="104"/>
      <c r="Y41" s="104"/>
      <c r="Z41" s="104"/>
    </row>
    <row r="42" spans="1:26" ht="15" customHeight="1" x14ac:dyDescent="0.2">
      <c r="A42" s="104"/>
      <c r="B42" s="104"/>
      <c r="C42" s="104"/>
      <c r="D42" s="104"/>
      <c r="E42" s="104"/>
      <c r="F42" s="104"/>
      <c r="G42" s="104"/>
      <c r="H42" s="104"/>
      <c r="I42" s="104"/>
      <c r="J42" s="104"/>
      <c r="K42" s="104"/>
      <c r="L42" s="104"/>
      <c r="M42" s="104"/>
      <c r="N42" s="104"/>
      <c r="O42" s="104"/>
      <c r="P42" s="104"/>
      <c r="Q42" s="104"/>
      <c r="R42" s="104"/>
      <c r="S42" s="104"/>
      <c r="T42" s="104"/>
      <c r="U42" s="104"/>
      <c r="V42" s="104"/>
      <c r="W42" s="104"/>
      <c r="X42" s="104"/>
      <c r="Y42" s="104"/>
      <c r="Z42" s="104"/>
    </row>
    <row r="43" spans="1:26" ht="15" customHeight="1" x14ac:dyDescent="0.2">
      <c r="A43" s="104"/>
      <c r="B43" s="104"/>
      <c r="C43" s="104"/>
      <c r="D43" s="104"/>
      <c r="E43" s="104"/>
      <c r="F43" s="104"/>
      <c r="G43" s="104"/>
      <c r="H43" s="104"/>
      <c r="I43" s="104"/>
      <c r="J43" s="104"/>
      <c r="K43" s="104"/>
      <c r="L43" s="104"/>
      <c r="M43" s="104"/>
      <c r="N43" s="104"/>
      <c r="O43" s="104"/>
      <c r="P43" s="104"/>
      <c r="Q43" s="104"/>
      <c r="R43" s="104"/>
      <c r="S43" s="104"/>
      <c r="T43" s="104"/>
      <c r="U43" s="104"/>
      <c r="V43" s="104"/>
      <c r="W43" s="104"/>
      <c r="X43" s="104"/>
      <c r="Y43" s="104"/>
      <c r="Z43" s="104"/>
    </row>
    <row r="44" spans="1:26" ht="15" customHeight="1" x14ac:dyDescent="0.2">
      <c r="A44" s="104"/>
      <c r="B44" s="104"/>
      <c r="C44" s="104"/>
      <c r="D44" s="104"/>
      <c r="E44" s="104"/>
      <c r="F44" s="104"/>
      <c r="G44" s="104"/>
      <c r="H44" s="104"/>
      <c r="I44" s="104"/>
      <c r="J44" s="104"/>
      <c r="K44" s="104"/>
      <c r="L44" s="104"/>
      <c r="M44" s="104"/>
      <c r="N44" s="104"/>
      <c r="O44" s="104"/>
      <c r="P44" s="104"/>
      <c r="Q44" s="104"/>
      <c r="R44" s="104"/>
      <c r="S44" s="104"/>
      <c r="T44" s="104"/>
      <c r="U44" s="104"/>
      <c r="V44" s="104"/>
      <c r="W44" s="104"/>
      <c r="X44" s="104"/>
      <c r="Y44" s="104"/>
      <c r="Z44" s="104"/>
    </row>
    <row r="45" spans="1:26" ht="15" customHeight="1" x14ac:dyDescent="0.2">
      <c r="A45" s="104"/>
      <c r="B45" s="104"/>
      <c r="C45" s="104"/>
      <c r="D45" s="104"/>
      <c r="E45" s="104"/>
      <c r="F45" s="104"/>
      <c r="G45" s="104"/>
      <c r="H45" s="104"/>
      <c r="I45" s="104"/>
      <c r="J45" s="104"/>
      <c r="K45" s="104"/>
      <c r="L45" s="104"/>
      <c r="M45" s="104"/>
      <c r="N45" s="104"/>
      <c r="O45" s="104"/>
      <c r="P45" s="104"/>
      <c r="Q45" s="104"/>
      <c r="R45" s="104"/>
      <c r="S45" s="104"/>
      <c r="T45" s="104"/>
      <c r="U45" s="104"/>
      <c r="V45" s="104"/>
      <c r="W45" s="104"/>
      <c r="X45" s="104"/>
      <c r="Y45" s="104"/>
      <c r="Z45" s="104"/>
    </row>
    <row r="46" spans="1:26" ht="15" customHeight="1" x14ac:dyDescent="0.2">
      <c r="A46" s="104"/>
      <c r="B46" s="104"/>
      <c r="C46" s="104"/>
      <c r="D46" s="104"/>
      <c r="E46" s="104"/>
      <c r="F46" s="104"/>
      <c r="G46" s="104"/>
      <c r="H46" s="104"/>
      <c r="I46" s="104"/>
      <c r="J46" s="104"/>
      <c r="K46" s="104"/>
      <c r="L46" s="104"/>
      <c r="M46" s="104"/>
      <c r="N46" s="104"/>
      <c r="O46" s="104"/>
      <c r="P46" s="104"/>
      <c r="Q46" s="104"/>
      <c r="R46" s="104"/>
      <c r="S46" s="104"/>
      <c r="T46" s="104"/>
      <c r="U46" s="104"/>
      <c r="V46" s="104"/>
      <c r="W46" s="104"/>
      <c r="X46" s="104"/>
      <c r="Y46" s="104"/>
      <c r="Z46" s="104"/>
    </row>
    <row r="47" spans="1:26" ht="15" customHeight="1" x14ac:dyDescent="0.2">
      <c r="A47" s="104"/>
      <c r="B47" s="104"/>
      <c r="C47" s="104"/>
      <c r="D47" s="104"/>
      <c r="E47" s="104"/>
      <c r="F47" s="104"/>
      <c r="G47" s="104"/>
      <c r="H47" s="104"/>
      <c r="I47" s="104"/>
      <c r="J47" s="104"/>
      <c r="K47" s="104"/>
      <c r="L47" s="104"/>
      <c r="M47" s="104"/>
      <c r="N47" s="104"/>
      <c r="O47" s="104"/>
      <c r="P47" s="104"/>
      <c r="Q47" s="104"/>
      <c r="R47" s="104"/>
      <c r="S47" s="104"/>
      <c r="T47" s="104"/>
      <c r="U47" s="104"/>
      <c r="V47" s="104"/>
      <c r="W47" s="104"/>
      <c r="X47" s="104"/>
      <c r="Y47" s="104"/>
      <c r="Z47" s="104"/>
    </row>
    <row r="48" spans="1:26" ht="15" customHeight="1" x14ac:dyDescent="0.2">
      <c r="A48" s="104"/>
      <c r="B48" s="104"/>
      <c r="C48" s="104"/>
      <c r="D48" s="104"/>
      <c r="E48" s="104"/>
      <c r="F48" s="104"/>
      <c r="G48" s="104"/>
      <c r="H48" s="104"/>
      <c r="I48" s="104"/>
      <c r="J48" s="104"/>
      <c r="K48" s="104"/>
      <c r="L48" s="104"/>
      <c r="M48" s="104"/>
      <c r="N48" s="104"/>
      <c r="O48" s="104"/>
      <c r="P48" s="104"/>
      <c r="Q48" s="104"/>
      <c r="R48" s="104"/>
      <c r="S48" s="104"/>
      <c r="T48" s="104"/>
      <c r="U48" s="104"/>
      <c r="V48" s="104"/>
      <c r="W48" s="104"/>
      <c r="X48" s="104"/>
      <c r="Y48" s="104"/>
      <c r="Z48" s="104"/>
    </row>
    <row r="49" spans="1:26" ht="15" customHeight="1" x14ac:dyDescent="0.2">
      <c r="A49" s="104"/>
      <c r="B49" s="104"/>
      <c r="C49" s="104"/>
      <c r="D49" s="104"/>
      <c r="E49" s="104"/>
      <c r="F49" s="104"/>
      <c r="G49" s="104"/>
      <c r="H49" s="104"/>
      <c r="I49" s="104"/>
      <c r="J49" s="104"/>
      <c r="K49" s="104"/>
      <c r="L49" s="104"/>
      <c r="M49" s="104"/>
      <c r="N49" s="104"/>
      <c r="O49" s="104"/>
      <c r="P49" s="104"/>
      <c r="Q49" s="104"/>
      <c r="R49" s="104"/>
      <c r="S49" s="104"/>
      <c r="T49" s="104"/>
      <c r="U49" s="104"/>
      <c r="V49" s="104"/>
      <c r="W49" s="104"/>
      <c r="X49" s="104"/>
      <c r="Y49" s="104"/>
      <c r="Z49" s="104"/>
    </row>
    <row r="50" spans="1:26" ht="15" customHeight="1" x14ac:dyDescent="0.2">
      <c r="A50" s="104"/>
      <c r="B50" s="104"/>
      <c r="C50" s="104"/>
      <c r="D50" s="104"/>
      <c r="E50" s="104"/>
      <c r="F50" s="104"/>
      <c r="G50" s="104"/>
      <c r="H50" s="104"/>
      <c r="I50" s="104"/>
      <c r="J50" s="104"/>
      <c r="K50" s="104"/>
      <c r="L50" s="104"/>
      <c r="M50" s="104"/>
      <c r="N50" s="104"/>
      <c r="O50" s="104"/>
      <c r="P50" s="104"/>
      <c r="Q50" s="104"/>
      <c r="R50" s="104"/>
      <c r="S50" s="104"/>
      <c r="T50" s="104"/>
      <c r="U50" s="104"/>
      <c r="V50" s="104"/>
      <c r="W50" s="104"/>
      <c r="X50" s="104"/>
      <c r="Y50" s="104"/>
      <c r="Z50" s="104"/>
    </row>
    <row r="51" spans="1:26" ht="15" customHeight="1" x14ac:dyDescent="0.2">
      <c r="A51" s="104"/>
      <c r="B51" s="104"/>
      <c r="C51" s="104"/>
      <c r="D51" s="104"/>
      <c r="E51" s="104"/>
      <c r="F51" s="104"/>
      <c r="G51" s="104"/>
      <c r="H51" s="104"/>
      <c r="I51" s="104"/>
      <c r="J51" s="104"/>
      <c r="K51" s="104"/>
      <c r="L51" s="104"/>
      <c r="M51" s="104"/>
      <c r="N51" s="104"/>
      <c r="O51" s="104"/>
      <c r="P51" s="104"/>
      <c r="Q51" s="104"/>
      <c r="R51" s="104"/>
      <c r="S51" s="104"/>
      <c r="T51" s="104"/>
      <c r="U51" s="104"/>
      <c r="V51" s="104"/>
      <c r="W51" s="104"/>
      <c r="X51" s="104"/>
      <c r="Y51" s="104"/>
      <c r="Z51" s="104"/>
    </row>
    <row r="52" spans="1:26" ht="15" customHeight="1" x14ac:dyDescent="0.2">
      <c r="A52" s="104"/>
      <c r="B52" s="104"/>
      <c r="C52" s="104"/>
      <c r="D52" s="104"/>
      <c r="E52" s="104"/>
      <c r="F52" s="104"/>
      <c r="G52" s="104"/>
      <c r="H52" s="104"/>
      <c r="I52" s="104"/>
      <c r="J52" s="104"/>
      <c r="K52" s="104"/>
      <c r="L52" s="104"/>
      <c r="M52" s="104"/>
      <c r="N52" s="104"/>
      <c r="O52" s="104"/>
      <c r="P52" s="104"/>
      <c r="Q52" s="104"/>
      <c r="R52" s="104"/>
      <c r="S52" s="104"/>
      <c r="T52" s="104"/>
      <c r="U52" s="104"/>
      <c r="V52" s="104"/>
      <c r="W52" s="104"/>
      <c r="X52" s="104"/>
      <c r="Y52" s="104"/>
      <c r="Z52" s="104"/>
    </row>
    <row r="53" spans="1:26" ht="15" customHeight="1" x14ac:dyDescent="0.2">
      <c r="A53" s="104"/>
      <c r="B53" s="104"/>
      <c r="C53" s="104"/>
      <c r="D53" s="104"/>
      <c r="E53" s="104"/>
      <c r="F53" s="104"/>
      <c r="G53" s="104"/>
      <c r="H53" s="104"/>
      <c r="I53" s="104"/>
      <c r="J53" s="104"/>
      <c r="K53" s="104"/>
      <c r="L53" s="104"/>
      <c r="M53" s="104"/>
      <c r="N53" s="104"/>
      <c r="O53" s="104"/>
      <c r="P53" s="104"/>
      <c r="Q53" s="104"/>
      <c r="R53" s="104"/>
      <c r="S53" s="104"/>
      <c r="T53" s="104"/>
      <c r="U53" s="104"/>
      <c r="V53" s="104"/>
      <c r="W53" s="104"/>
      <c r="X53" s="104"/>
      <c r="Y53" s="104"/>
      <c r="Z53" s="104"/>
    </row>
    <row r="54" spans="1:26" ht="15" customHeight="1" x14ac:dyDescent="0.2">
      <c r="A54" s="104"/>
      <c r="B54" s="104"/>
      <c r="C54" s="104"/>
      <c r="D54" s="104"/>
      <c r="E54" s="104"/>
      <c r="F54" s="104"/>
      <c r="G54" s="104"/>
      <c r="H54" s="104"/>
      <c r="I54" s="104"/>
      <c r="J54" s="104"/>
      <c r="K54" s="104"/>
      <c r="L54" s="104"/>
      <c r="M54" s="104"/>
      <c r="N54" s="104"/>
      <c r="O54" s="104"/>
      <c r="P54" s="104"/>
      <c r="Q54" s="104"/>
      <c r="R54" s="104"/>
      <c r="S54" s="104"/>
      <c r="T54" s="104"/>
      <c r="U54" s="104"/>
      <c r="V54" s="104"/>
      <c r="W54" s="104"/>
      <c r="X54" s="104"/>
      <c r="Y54" s="104"/>
      <c r="Z54" s="104"/>
    </row>
  </sheetData>
  <sheetProtection password="CC18" sheet="1" objects="1" scenarios="1"/>
  <phoneticPr fontId="40" type="noConversion"/>
  <printOptions headings="1"/>
  <pageMargins left="0.75" right="0.75" top="1" bottom="1" header="0.5" footer="0.5"/>
  <pageSetup orientation="portrait"/>
  <headerFooter alignWithMargins="0">
    <oddHeader>&amp;A</oddHeader>
    <oddFooter>Page &amp;P</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26626" r:id="rId3" name="Button 2">
              <controlPr defaultSize="0" autoFill="0" autoLine="0" autoPict="0" macro="[0]!HideActiveSheet">
                <anchor moveWithCells="1" sizeWithCells="1">
                  <from>
                    <xdr:col>4</xdr:col>
                    <xdr:colOff>304800</xdr:colOff>
                    <xdr:row>6</xdr:row>
                    <xdr:rowOff>114300</xdr:rowOff>
                  </from>
                  <to>
                    <xdr:col>5</xdr:col>
                    <xdr:colOff>400050</xdr:colOff>
                    <xdr:row>7</xdr:row>
                    <xdr:rowOff>161925</xdr:rowOff>
                  </to>
                </anchor>
              </controlPr>
            </control>
          </mc:Choice>
        </mc:AlternateContent>
        <mc:AlternateContent xmlns:mc="http://schemas.openxmlformats.org/markup-compatibility/2006">
          <mc:Choice Requires="x14">
            <control shapeId="26627" r:id="rId4" name="Button 3">
              <controlPr defaultSize="0" autoFill="0" autoLine="0" autoPict="0" macro="[0]!SelectCrewToEdit">
                <anchor moveWithCells="1" sizeWithCells="1">
                  <from>
                    <xdr:col>4</xdr:col>
                    <xdr:colOff>304800</xdr:colOff>
                    <xdr:row>5</xdr:row>
                    <xdr:rowOff>9525</xdr:rowOff>
                  </from>
                  <to>
                    <xdr:col>5</xdr:col>
                    <xdr:colOff>400050</xdr:colOff>
                    <xdr:row>6</xdr:row>
                    <xdr:rowOff>66675</xdr:rowOff>
                  </to>
                </anchor>
              </controlPr>
            </control>
          </mc:Choice>
        </mc:AlternateContent>
        <mc:AlternateContent xmlns:mc="http://schemas.openxmlformats.org/markup-compatibility/2006">
          <mc:Choice Requires="x14">
            <control shapeId="26628" r:id="rId5" name="List Box 4">
              <controlPr defaultSize="0" autoFill="0" autoLine="0" autoPict="0">
                <anchor moveWithCells="1">
                  <from>
                    <xdr:col>2</xdr:col>
                    <xdr:colOff>466725</xdr:colOff>
                    <xdr:row>4</xdr:row>
                    <xdr:rowOff>152400</xdr:rowOff>
                  </from>
                  <to>
                    <xdr:col>4</xdr:col>
                    <xdr:colOff>209550</xdr:colOff>
                    <xdr:row>8</xdr:row>
                    <xdr:rowOff>38100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A1:Z54"/>
  <sheetViews>
    <sheetView workbookViewId="0">
      <selection activeCell="E5" sqref="E5"/>
    </sheetView>
  </sheetViews>
  <sheetFormatPr defaultColWidth="8.85546875" defaultRowHeight="12.75" x14ac:dyDescent="0.2"/>
  <sheetData>
    <row r="1" spans="1:26" ht="15" customHeight="1" x14ac:dyDescent="0.2">
      <c r="A1" s="104"/>
      <c r="B1" s="104"/>
      <c r="C1" s="104"/>
      <c r="D1" s="104"/>
      <c r="E1" s="104"/>
      <c r="F1" s="104"/>
      <c r="G1" s="104"/>
      <c r="H1" s="104"/>
      <c r="I1" s="104"/>
      <c r="J1" s="104"/>
      <c r="K1" s="104"/>
      <c r="L1" s="104"/>
      <c r="M1" s="104"/>
      <c r="N1" s="104"/>
      <c r="O1" s="104"/>
      <c r="P1" s="104"/>
      <c r="Q1" s="104"/>
      <c r="R1" s="104"/>
      <c r="S1" s="104"/>
      <c r="T1" s="104"/>
      <c r="U1" s="104"/>
      <c r="V1" s="104"/>
      <c r="W1" s="104"/>
      <c r="X1" s="104"/>
      <c r="Y1" s="104"/>
      <c r="Z1" s="104"/>
    </row>
    <row r="2" spans="1:26" ht="15" customHeight="1" x14ac:dyDescent="0.2">
      <c r="A2" s="104"/>
      <c r="B2" s="104"/>
      <c r="C2" s="104"/>
      <c r="D2" s="104"/>
      <c r="E2" s="104"/>
      <c r="F2" s="104"/>
      <c r="G2" s="104"/>
      <c r="H2" s="104"/>
      <c r="I2" s="104"/>
      <c r="J2" s="104"/>
      <c r="K2" s="104"/>
      <c r="L2" s="104"/>
      <c r="M2" s="104"/>
      <c r="N2" s="104"/>
      <c r="O2" s="104"/>
      <c r="P2" s="104"/>
      <c r="Q2" s="104"/>
      <c r="R2" s="104"/>
      <c r="S2" s="104"/>
      <c r="T2" s="104"/>
      <c r="U2" s="104"/>
      <c r="V2" s="104"/>
      <c r="W2" s="104"/>
      <c r="X2" s="104"/>
      <c r="Y2" s="104"/>
      <c r="Z2" s="104"/>
    </row>
    <row r="3" spans="1:26" ht="15" customHeight="1" x14ac:dyDescent="0.2">
      <c r="A3" s="104"/>
      <c r="B3" s="104"/>
      <c r="C3" s="105"/>
      <c r="D3" s="105"/>
      <c r="E3" s="105"/>
      <c r="F3" s="105"/>
      <c r="G3" s="104"/>
      <c r="H3" s="104"/>
      <c r="I3" s="104"/>
      <c r="J3" s="104"/>
      <c r="K3" s="104"/>
      <c r="L3" s="104"/>
      <c r="M3" s="104"/>
      <c r="N3" s="104"/>
      <c r="O3" s="104"/>
      <c r="P3" s="104"/>
      <c r="Q3" s="104"/>
      <c r="R3" s="104"/>
      <c r="S3" s="104"/>
      <c r="T3" s="104"/>
      <c r="U3" s="104"/>
      <c r="V3" s="104"/>
      <c r="W3" s="104"/>
      <c r="X3" s="104"/>
      <c r="Y3" s="104"/>
      <c r="Z3" s="104"/>
    </row>
    <row r="4" spans="1:26" ht="15" customHeight="1" x14ac:dyDescent="0.2">
      <c r="A4" s="104"/>
      <c r="B4" s="104"/>
      <c r="C4" s="105"/>
      <c r="D4" s="105"/>
      <c r="E4" s="105"/>
      <c r="F4" s="105"/>
      <c r="G4" s="104"/>
      <c r="H4" s="104"/>
      <c r="I4" s="104"/>
      <c r="J4" s="104"/>
      <c r="K4" s="104"/>
      <c r="L4" s="104"/>
      <c r="M4" s="104"/>
      <c r="N4" s="104"/>
      <c r="O4" s="104"/>
      <c r="P4" s="104"/>
      <c r="Q4" s="104"/>
      <c r="R4" s="104"/>
      <c r="S4" s="104"/>
      <c r="T4" s="104"/>
      <c r="U4" s="104"/>
      <c r="V4" s="104"/>
      <c r="W4" s="104"/>
      <c r="X4" s="104"/>
      <c r="Y4" s="104"/>
      <c r="Z4" s="104"/>
    </row>
    <row r="5" spans="1:26" ht="15" customHeight="1" x14ac:dyDescent="0.2">
      <c r="A5" s="104"/>
      <c r="B5" s="104"/>
      <c r="C5" s="105"/>
      <c r="D5" s="105"/>
      <c r="E5" s="105"/>
      <c r="F5" s="105"/>
      <c r="G5" s="104"/>
      <c r="H5" s="104"/>
      <c r="I5" s="104"/>
      <c r="J5" s="104"/>
      <c r="K5" s="104"/>
      <c r="L5" s="104"/>
      <c r="M5" s="104"/>
      <c r="N5" s="104"/>
      <c r="O5" s="104"/>
      <c r="P5" s="104"/>
      <c r="Q5" s="104"/>
      <c r="R5" s="104"/>
      <c r="S5" s="104"/>
      <c r="T5" s="104"/>
      <c r="U5" s="104"/>
      <c r="V5" s="104"/>
      <c r="W5" s="104"/>
      <c r="X5" s="104"/>
      <c r="Y5" s="104"/>
      <c r="Z5" s="104"/>
    </row>
    <row r="6" spans="1:26" ht="15" customHeight="1" x14ac:dyDescent="0.2">
      <c r="A6" s="104"/>
      <c r="B6" s="104"/>
      <c r="C6" s="105"/>
      <c r="D6" s="105"/>
      <c r="E6" s="105"/>
      <c r="F6" s="105"/>
      <c r="G6" s="104"/>
      <c r="H6" s="104"/>
      <c r="I6" s="104"/>
      <c r="J6" s="104"/>
      <c r="K6" s="104"/>
      <c r="L6" s="104"/>
      <c r="M6" s="104"/>
      <c r="N6" s="104"/>
      <c r="O6" s="104"/>
      <c r="P6" s="104"/>
      <c r="Q6" s="104"/>
      <c r="R6" s="104"/>
      <c r="S6" s="104"/>
      <c r="T6" s="104"/>
      <c r="U6" s="104"/>
      <c r="V6" s="104"/>
      <c r="W6" s="104"/>
      <c r="X6" s="104"/>
      <c r="Y6" s="104"/>
      <c r="Z6" s="104"/>
    </row>
    <row r="7" spans="1:26" ht="15" customHeight="1" x14ac:dyDescent="0.2">
      <c r="A7" s="104"/>
      <c r="B7" s="104"/>
      <c r="C7" s="105"/>
      <c r="D7" s="105"/>
      <c r="E7" s="105"/>
      <c r="F7" s="105"/>
      <c r="G7" s="104"/>
      <c r="H7" s="104"/>
      <c r="I7" s="104"/>
      <c r="J7" s="104"/>
      <c r="K7" s="104"/>
      <c r="L7" s="104"/>
      <c r="M7" s="104"/>
      <c r="N7" s="104"/>
      <c r="O7" s="104"/>
      <c r="P7" s="104"/>
      <c r="Q7" s="104"/>
      <c r="R7" s="104"/>
      <c r="S7" s="104"/>
      <c r="T7" s="104"/>
      <c r="U7" s="104"/>
      <c r="V7" s="104"/>
      <c r="W7" s="104"/>
      <c r="X7" s="104"/>
      <c r="Y7" s="104"/>
      <c r="Z7" s="104"/>
    </row>
    <row r="8" spans="1:26" ht="15" customHeight="1" x14ac:dyDescent="0.2">
      <c r="A8" s="104"/>
      <c r="B8" s="104"/>
      <c r="C8" s="105"/>
      <c r="D8" s="105"/>
      <c r="E8" s="105"/>
      <c r="F8" s="105"/>
      <c r="G8" s="104"/>
      <c r="H8" s="104"/>
      <c r="I8" s="104"/>
      <c r="J8" s="104"/>
      <c r="K8" s="104"/>
      <c r="L8" s="104"/>
      <c r="M8" s="104"/>
      <c r="N8" s="104"/>
      <c r="O8" s="104"/>
      <c r="P8" s="104"/>
      <c r="Q8" s="104"/>
      <c r="R8" s="104"/>
      <c r="S8" s="104"/>
      <c r="T8" s="104"/>
      <c r="U8" s="104"/>
      <c r="V8" s="104"/>
      <c r="W8" s="104"/>
      <c r="X8" s="104"/>
      <c r="Y8" s="104"/>
      <c r="Z8" s="104"/>
    </row>
    <row r="9" spans="1:26" ht="15" customHeight="1" x14ac:dyDescent="0.2">
      <c r="A9" s="104"/>
      <c r="B9" s="104"/>
      <c r="C9" s="105"/>
      <c r="D9" s="105"/>
      <c r="E9" s="105"/>
      <c r="F9" s="105"/>
      <c r="G9" s="104"/>
      <c r="H9" s="104"/>
      <c r="I9" s="104"/>
      <c r="J9" s="104"/>
      <c r="K9" s="104"/>
      <c r="L9" s="104"/>
      <c r="M9" s="104"/>
      <c r="N9" s="104"/>
      <c r="O9" s="104"/>
      <c r="P9" s="104"/>
      <c r="Q9" s="104"/>
      <c r="R9" s="104"/>
      <c r="S9" s="104"/>
      <c r="T9" s="104"/>
      <c r="U9" s="104"/>
      <c r="V9" s="104"/>
      <c r="W9" s="104"/>
      <c r="X9" s="104"/>
      <c r="Y9" s="104"/>
      <c r="Z9" s="104"/>
    </row>
    <row r="10" spans="1:26" ht="15" customHeight="1" x14ac:dyDescent="0.2">
      <c r="A10" s="104"/>
      <c r="B10" s="104"/>
      <c r="C10" s="105"/>
      <c r="D10" s="105"/>
      <c r="E10" s="105"/>
      <c r="F10" s="105"/>
      <c r="G10" s="104"/>
      <c r="H10" s="104"/>
      <c r="I10" s="104"/>
      <c r="J10" s="104"/>
      <c r="K10" s="104"/>
      <c r="L10" s="104"/>
      <c r="M10" s="104"/>
      <c r="N10" s="104"/>
      <c r="O10" s="104"/>
      <c r="P10" s="104"/>
      <c r="Q10" s="104"/>
      <c r="R10" s="104"/>
      <c r="S10" s="104"/>
      <c r="T10" s="104"/>
      <c r="U10" s="104"/>
      <c r="V10" s="104"/>
      <c r="W10" s="104"/>
      <c r="X10" s="104"/>
      <c r="Y10" s="104"/>
      <c r="Z10" s="104"/>
    </row>
    <row r="11" spans="1:26" ht="15" customHeight="1" x14ac:dyDescent="0.2">
      <c r="A11" s="104"/>
      <c r="B11" s="104"/>
      <c r="C11" s="104"/>
      <c r="D11" s="104"/>
      <c r="E11" s="104"/>
      <c r="F11" s="104"/>
      <c r="G11" s="104"/>
      <c r="H11" s="104"/>
      <c r="I11" s="104"/>
      <c r="J11" s="104"/>
      <c r="K11" s="104"/>
      <c r="L11" s="104"/>
      <c r="M11" s="104"/>
      <c r="N11" s="104"/>
      <c r="O11" s="104"/>
      <c r="P11" s="104"/>
      <c r="Q11" s="104"/>
      <c r="R11" s="104"/>
      <c r="S11" s="104"/>
      <c r="T11" s="104"/>
      <c r="U11" s="104"/>
      <c r="V11" s="104"/>
      <c r="W11" s="104"/>
      <c r="X11" s="104"/>
      <c r="Y11" s="104"/>
      <c r="Z11" s="104"/>
    </row>
    <row r="12" spans="1:26" ht="15" customHeight="1" x14ac:dyDescent="0.2">
      <c r="A12" s="104"/>
      <c r="B12" s="104"/>
      <c r="C12" s="104"/>
      <c r="D12" s="104"/>
      <c r="E12" s="104"/>
      <c r="F12" s="104"/>
      <c r="G12" s="104"/>
      <c r="H12" s="104"/>
      <c r="I12" s="104"/>
      <c r="J12" s="104"/>
      <c r="K12" s="104"/>
      <c r="L12" s="104"/>
      <c r="M12" s="104"/>
      <c r="N12" s="104"/>
      <c r="O12" s="104"/>
      <c r="P12" s="104"/>
      <c r="Q12" s="104"/>
      <c r="R12" s="104"/>
      <c r="S12" s="104"/>
      <c r="T12" s="104"/>
      <c r="U12" s="104"/>
      <c r="V12" s="104"/>
      <c r="W12" s="104"/>
      <c r="X12" s="104"/>
      <c r="Y12" s="104"/>
      <c r="Z12" s="104"/>
    </row>
    <row r="13" spans="1:26" ht="15" customHeight="1" x14ac:dyDescent="0.2">
      <c r="A13" s="104"/>
      <c r="B13" s="104"/>
      <c r="C13" s="104"/>
      <c r="D13" s="104"/>
      <c r="E13" s="104"/>
      <c r="F13" s="104"/>
      <c r="G13" s="104"/>
      <c r="H13" s="104"/>
      <c r="I13" s="104"/>
      <c r="J13" s="104"/>
      <c r="K13" s="104"/>
      <c r="L13" s="104"/>
      <c r="M13" s="104"/>
      <c r="N13" s="104"/>
      <c r="O13" s="104"/>
      <c r="P13" s="104"/>
      <c r="Q13" s="104"/>
      <c r="R13" s="104"/>
      <c r="S13" s="104"/>
      <c r="T13" s="104"/>
      <c r="U13" s="104"/>
      <c r="V13" s="104"/>
      <c r="W13" s="104"/>
      <c r="X13" s="104"/>
      <c r="Y13" s="104"/>
      <c r="Z13" s="104"/>
    </row>
    <row r="14" spans="1:26" ht="15" customHeight="1" x14ac:dyDescent="0.2">
      <c r="A14" s="104"/>
      <c r="B14" s="104"/>
      <c r="C14" s="104"/>
      <c r="D14" s="104"/>
      <c r="E14" s="104"/>
      <c r="F14" s="104"/>
      <c r="G14" s="104"/>
      <c r="H14" s="104"/>
      <c r="I14" s="104"/>
      <c r="J14" s="104"/>
      <c r="K14" s="104"/>
      <c r="L14" s="104"/>
      <c r="M14" s="104"/>
      <c r="N14" s="104"/>
      <c r="O14" s="104"/>
      <c r="P14" s="104"/>
      <c r="Q14" s="104"/>
      <c r="R14" s="104"/>
      <c r="S14" s="104"/>
      <c r="T14" s="104"/>
      <c r="U14" s="104"/>
      <c r="V14" s="104"/>
      <c r="W14" s="104"/>
      <c r="X14" s="104"/>
      <c r="Y14" s="104"/>
      <c r="Z14" s="104"/>
    </row>
    <row r="15" spans="1:26" ht="15" customHeight="1" x14ac:dyDescent="0.2">
      <c r="A15" s="104"/>
      <c r="B15" s="104"/>
      <c r="C15" s="104"/>
      <c r="D15" s="104"/>
      <c r="E15" s="104"/>
      <c r="F15" s="104"/>
      <c r="G15" s="104"/>
      <c r="H15" s="104"/>
      <c r="I15" s="104"/>
      <c r="J15" s="104"/>
      <c r="K15" s="104"/>
      <c r="L15" s="104"/>
      <c r="M15" s="104"/>
      <c r="N15" s="104"/>
      <c r="O15" s="104"/>
      <c r="P15" s="104"/>
      <c r="Q15" s="104"/>
      <c r="R15" s="104"/>
      <c r="S15" s="104"/>
      <c r="T15" s="104"/>
      <c r="U15" s="104"/>
      <c r="V15" s="104"/>
      <c r="W15" s="104"/>
      <c r="X15" s="104"/>
      <c r="Y15" s="104"/>
      <c r="Z15" s="104"/>
    </row>
    <row r="16" spans="1:26" ht="15" customHeight="1" x14ac:dyDescent="0.2">
      <c r="A16" s="104"/>
      <c r="B16" s="104"/>
      <c r="C16" s="104"/>
      <c r="D16" s="104"/>
      <c r="E16" s="104"/>
      <c r="F16" s="104"/>
      <c r="G16" s="104"/>
      <c r="H16" s="104"/>
      <c r="I16" s="104"/>
      <c r="J16" s="104"/>
      <c r="K16" s="104"/>
      <c r="L16" s="104"/>
      <c r="M16" s="104"/>
      <c r="N16" s="104"/>
      <c r="O16" s="104"/>
      <c r="P16" s="104"/>
      <c r="Q16" s="104"/>
      <c r="R16" s="104"/>
      <c r="S16" s="104"/>
      <c r="T16" s="104"/>
      <c r="U16" s="104"/>
      <c r="V16" s="104"/>
      <c r="W16" s="104"/>
      <c r="X16" s="104"/>
      <c r="Y16" s="104"/>
      <c r="Z16" s="104"/>
    </row>
    <row r="17" spans="1:26" ht="15" customHeight="1" x14ac:dyDescent="0.2">
      <c r="A17" s="104"/>
      <c r="B17" s="104"/>
      <c r="C17" s="104"/>
      <c r="D17" s="104"/>
      <c r="E17" s="104"/>
      <c r="F17" s="104"/>
      <c r="G17" s="104"/>
      <c r="H17" s="104"/>
      <c r="I17" s="104"/>
      <c r="J17" s="104"/>
      <c r="K17" s="104"/>
      <c r="L17" s="104"/>
      <c r="M17" s="104"/>
      <c r="N17" s="104"/>
      <c r="O17" s="104"/>
      <c r="P17" s="104"/>
      <c r="Q17" s="104"/>
      <c r="R17" s="104"/>
      <c r="S17" s="104"/>
      <c r="T17" s="104"/>
      <c r="U17" s="104"/>
      <c r="V17" s="104"/>
      <c r="W17" s="104"/>
      <c r="X17" s="104"/>
      <c r="Y17" s="104"/>
      <c r="Z17" s="104"/>
    </row>
    <row r="18" spans="1:26" ht="15" customHeight="1" x14ac:dyDescent="0.2">
      <c r="A18" s="104"/>
      <c r="B18" s="104"/>
      <c r="C18" s="104"/>
      <c r="D18" s="104"/>
      <c r="E18" s="104"/>
      <c r="F18" s="104"/>
      <c r="G18" s="104"/>
      <c r="H18" s="104"/>
      <c r="I18" s="104"/>
      <c r="J18" s="104"/>
      <c r="K18" s="104"/>
      <c r="L18" s="104"/>
      <c r="M18" s="104"/>
      <c r="N18" s="104"/>
      <c r="O18" s="104"/>
      <c r="P18" s="104"/>
      <c r="Q18" s="104"/>
      <c r="R18" s="104"/>
      <c r="S18" s="104"/>
      <c r="T18" s="104"/>
      <c r="U18" s="104"/>
      <c r="V18" s="104"/>
      <c r="W18" s="104"/>
      <c r="X18" s="104"/>
      <c r="Y18" s="104"/>
      <c r="Z18" s="104"/>
    </row>
    <row r="19" spans="1:26" ht="15" customHeight="1" x14ac:dyDescent="0.2">
      <c r="A19" s="104"/>
      <c r="B19" s="104"/>
      <c r="C19" s="104"/>
      <c r="D19" s="104"/>
      <c r="E19" s="104"/>
      <c r="F19" s="104"/>
      <c r="G19" s="104"/>
      <c r="H19" s="104"/>
      <c r="I19" s="104"/>
      <c r="J19" s="104"/>
      <c r="K19" s="104"/>
      <c r="L19" s="104"/>
      <c r="M19" s="104"/>
      <c r="N19" s="104"/>
      <c r="O19" s="104"/>
      <c r="P19" s="104"/>
      <c r="Q19" s="104"/>
      <c r="R19" s="104"/>
      <c r="S19" s="104"/>
      <c r="T19" s="104"/>
      <c r="U19" s="104"/>
      <c r="V19" s="104"/>
      <c r="W19" s="104"/>
      <c r="X19" s="104"/>
      <c r="Y19" s="104"/>
      <c r="Z19" s="104"/>
    </row>
    <row r="20" spans="1:26" ht="15" customHeight="1" x14ac:dyDescent="0.2">
      <c r="A20" s="104"/>
      <c r="B20" s="104"/>
      <c r="C20" s="104"/>
      <c r="D20" s="104"/>
      <c r="E20" s="104"/>
      <c r="F20" s="104"/>
      <c r="G20" s="104"/>
      <c r="H20" s="104"/>
      <c r="I20" s="104"/>
      <c r="J20" s="104"/>
      <c r="K20" s="104"/>
      <c r="L20" s="104"/>
      <c r="M20" s="104"/>
      <c r="N20" s="104"/>
      <c r="O20" s="104"/>
      <c r="P20" s="104"/>
      <c r="Q20" s="104"/>
      <c r="R20" s="104"/>
      <c r="S20" s="104"/>
      <c r="T20" s="104"/>
      <c r="U20" s="104"/>
      <c r="V20" s="104"/>
      <c r="W20" s="104"/>
      <c r="X20" s="104"/>
      <c r="Y20" s="104"/>
      <c r="Z20" s="104"/>
    </row>
    <row r="21" spans="1:26" ht="15" customHeight="1" x14ac:dyDescent="0.2">
      <c r="A21" s="104"/>
      <c r="B21" s="104"/>
      <c r="C21" s="104"/>
      <c r="D21" s="104"/>
      <c r="E21" s="104"/>
      <c r="F21" s="104"/>
      <c r="G21" s="104"/>
      <c r="H21" s="104"/>
      <c r="I21" s="104"/>
      <c r="J21" s="104"/>
      <c r="K21" s="104"/>
      <c r="L21" s="104"/>
      <c r="M21" s="104"/>
      <c r="N21" s="104"/>
      <c r="O21" s="104"/>
      <c r="P21" s="104"/>
      <c r="Q21" s="104"/>
      <c r="R21" s="104"/>
      <c r="S21" s="104"/>
      <c r="T21" s="104"/>
      <c r="U21" s="104"/>
      <c r="V21" s="104"/>
      <c r="W21" s="104"/>
      <c r="X21" s="104"/>
      <c r="Y21" s="104"/>
      <c r="Z21" s="104"/>
    </row>
    <row r="22" spans="1:26" ht="15" customHeight="1" x14ac:dyDescent="0.2">
      <c r="A22" s="104"/>
      <c r="B22" s="104"/>
      <c r="C22" s="104"/>
      <c r="D22" s="104"/>
      <c r="E22" s="104"/>
      <c r="F22" s="104"/>
      <c r="G22" s="104"/>
      <c r="H22" s="104"/>
      <c r="I22" s="104"/>
      <c r="J22" s="104"/>
      <c r="K22" s="104"/>
      <c r="L22" s="104"/>
      <c r="M22" s="104"/>
      <c r="N22" s="104"/>
      <c r="O22" s="104"/>
      <c r="P22" s="104"/>
      <c r="Q22" s="104"/>
      <c r="R22" s="104"/>
      <c r="S22" s="104"/>
      <c r="T22" s="104"/>
      <c r="U22" s="104"/>
      <c r="V22" s="104"/>
      <c r="W22" s="104"/>
      <c r="X22" s="104"/>
      <c r="Y22" s="104"/>
      <c r="Z22" s="104"/>
    </row>
    <row r="23" spans="1:26" ht="15" customHeight="1" x14ac:dyDescent="0.2">
      <c r="A23" s="104"/>
      <c r="B23" s="104"/>
      <c r="C23" s="104"/>
      <c r="D23" s="104"/>
      <c r="E23" s="104"/>
      <c r="F23" s="104"/>
      <c r="G23" s="104"/>
      <c r="H23" s="104"/>
      <c r="I23" s="104"/>
      <c r="J23" s="104"/>
      <c r="K23" s="104"/>
      <c r="L23" s="104"/>
      <c r="M23" s="104"/>
      <c r="N23" s="104"/>
      <c r="O23" s="104"/>
      <c r="P23" s="104"/>
      <c r="Q23" s="104"/>
      <c r="R23" s="104"/>
      <c r="S23" s="104"/>
      <c r="T23" s="104"/>
      <c r="U23" s="104"/>
      <c r="V23" s="104"/>
      <c r="W23" s="104"/>
      <c r="X23" s="104"/>
      <c r="Y23" s="104"/>
      <c r="Z23" s="104"/>
    </row>
    <row r="24" spans="1:26" ht="15" customHeight="1" x14ac:dyDescent="0.2">
      <c r="A24" s="104"/>
      <c r="B24" s="104"/>
      <c r="C24" s="104"/>
      <c r="D24" s="104"/>
      <c r="E24" s="104"/>
      <c r="F24" s="104"/>
      <c r="G24" s="104"/>
      <c r="H24" s="104"/>
      <c r="I24" s="104"/>
      <c r="J24" s="104"/>
      <c r="K24" s="104"/>
      <c r="L24" s="104"/>
      <c r="M24" s="104"/>
      <c r="N24" s="104"/>
      <c r="O24" s="104"/>
      <c r="P24" s="104"/>
      <c r="Q24" s="104"/>
      <c r="R24" s="104"/>
      <c r="S24" s="104"/>
      <c r="T24" s="104"/>
      <c r="U24" s="104"/>
      <c r="V24" s="104"/>
      <c r="W24" s="104"/>
      <c r="X24" s="104"/>
      <c r="Y24" s="104"/>
      <c r="Z24" s="104"/>
    </row>
    <row r="25" spans="1:26" ht="15" customHeight="1" x14ac:dyDescent="0.2">
      <c r="A25" s="104"/>
      <c r="B25" s="104"/>
      <c r="C25" s="104"/>
      <c r="D25" s="104"/>
      <c r="E25" s="104"/>
      <c r="F25" s="104"/>
      <c r="G25" s="104"/>
      <c r="H25" s="104"/>
      <c r="I25" s="104"/>
      <c r="J25" s="104"/>
      <c r="K25" s="104"/>
      <c r="L25" s="104"/>
      <c r="M25" s="104"/>
      <c r="N25" s="104"/>
      <c r="O25" s="104"/>
      <c r="P25" s="104"/>
      <c r="Q25" s="104"/>
      <c r="R25" s="104"/>
      <c r="S25" s="104"/>
      <c r="T25" s="104"/>
      <c r="U25" s="104"/>
      <c r="V25" s="104"/>
      <c r="W25" s="104"/>
      <c r="X25" s="104"/>
      <c r="Y25" s="104"/>
      <c r="Z25" s="104"/>
    </row>
    <row r="26" spans="1:26" ht="15" customHeight="1" x14ac:dyDescent="0.2">
      <c r="A26" s="104"/>
      <c r="B26" s="104"/>
      <c r="C26" s="104"/>
      <c r="D26" s="104"/>
      <c r="E26" s="104"/>
      <c r="F26" s="104"/>
      <c r="G26" s="104"/>
      <c r="H26" s="104"/>
      <c r="I26" s="104"/>
      <c r="J26" s="104"/>
      <c r="K26" s="104"/>
      <c r="L26" s="104"/>
      <c r="M26" s="104"/>
      <c r="N26" s="104"/>
      <c r="O26" s="104"/>
      <c r="P26" s="104"/>
      <c r="Q26" s="104"/>
      <c r="R26" s="104"/>
      <c r="S26" s="104"/>
      <c r="T26" s="104"/>
      <c r="U26" s="104"/>
      <c r="V26" s="104"/>
      <c r="W26" s="104"/>
      <c r="X26" s="104"/>
      <c r="Y26" s="104"/>
      <c r="Z26" s="104"/>
    </row>
    <row r="27" spans="1:26" ht="15" customHeight="1" x14ac:dyDescent="0.2">
      <c r="A27" s="104"/>
      <c r="B27" s="104"/>
      <c r="C27" s="104"/>
      <c r="D27" s="104"/>
      <c r="E27" s="104"/>
      <c r="F27" s="104"/>
      <c r="G27" s="104"/>
      <c r="H27" s="104"/>
      <c r="I27" s="104"/>
      <c r="J27" s="104"/>
      <c r="K27" s="104"/>
      <c r="L27" s="104"/>
      <c r="M27" s="104"/>
      <c r="N27" s="104"/>
      <c r="O27" s="104"/>
      <c r="P27" s="104"/>
      <c r="Q27" s="104"/>
      <c r="R27" s="104"/>
      <c r="S27" s="104"/>
      <c r="T27" s="104"/>
      <c r="U27" s="104"/>
      <c r="V27" s="104"/>
      <c r="W27" s="104"/>
      <c r="X27" s="104"/>
      <c r="Y27" s="104"/>
      <c r="Z27" s="104"/>
    </row>
    <row r="28" spans="1:26" ht="15" customHeight="1" x14ac:dyDescent="0.2">
      <c r="A28" s="104"/>
      <c r="B28" s="104"/>
      <c r="C28" s="104"/>
      <c r="D28" s="104"/>
      <c r="E28" s="104"/>
      <c r="F28" s="104"/>
      <c r="G28" s="104"/>
      <c r="H28" s="104"/>
      <c r="I28" s="104"/>
      <c r="J28" s="104"/>
      <c r="K28" s="104"/>
      <c r="L28" s="104"/>
      <c r="M28" s="104"/>
      <c r="N28" s="104"/>
      <c r="O28" s="104"/>
      <c r="P28" s="104"/>
      <c r="Q28" s="104"/>
      <c r="R28" s="104"/>
      <c r="S28" s="104"/>
      <c r="T28" s="104"/>
      <c r="U28" s="104"/>
      <c r="V28" s="104"/>
      <c r="W28" s="104"/>
      <c r="X28" s="104"/>
      <c r="Y28" s="104"/>
      <c r="Z28" s="104"/>
    </row>
    <row r="29" spans="1:26" ht="15" customHeight="1" x14ac:dyDescent="0.2">
      <c r="A29" s="104"/>
      <c r="B29" s="104"/>
      <c r="C29" s="104"/>
      <c r="D29" s="104"/>
      <c r="E29" s="104"/>
      <c r="F29" s="104"/>
      <c r="G29" s="104"/>
      <c r="H29" s="104"/>
      <c r="I29" s="104"/>
      <c r="J29" s="104"/>
      <c r="K29" s="104"/>
      <c r="L29" s="104"/>
      <c r="M29" s="104"/>
      <c r="N29" s="104"/>
      <c r="O29" s="104"/>
      <c r="P29" s="104"/>
      <c r="Q29" s="104"/>
      <c r="R29" s="104"/>
      <c r="S29" s="104"/>
      <c r="T29" s="104"/>
      <c r="U29" s="104"/>
      <c r="V29" s="104"/>
      <c r="W29" s="104"/>
      <c r="X29" s="104"/>
      <c r="Y29" s="104"/>
      <c r="Z29" s="104"/>
    </row>
    <row r="30" spans="1:26" ht="15" customHeight="1" x14ac:dyDescent="0.2">
      <c r="A30" s="104"/>
      <c r="B30" s="104"/>
      <c r="C30" s="104"/>
      <c r="D30" s="104"/>
      <c r="E30" s="104"/>
      <c r="F30" s="104"/>
      <c r="G30" s="104"/>
      <c r="H30" s="104"/>
      <c r="I30" s="104"/>
      <c r="J30" s="104"/>
      <c r="K30" s="104"/>
      <c r="L30" s="104"/>
      <c r="M30" s="104"/>
      <c r="N30" s="104"/>
      <c r="O30" s="104"/>
      <c r="P30" s="104"/>
      <c r="Q30" s="104"/>
      <c r="R30" s="104"/>
      <c r="S30" s="104"/>
      <c r="T30" s="104"/>
      <c r="U30" s="104"/>
      <c r="V30" s="104"/>
      <c r="W30" s="104"/>
      <c r="X30" s="104"/>
      <c r="Y30" s="104"/>
      <c r="Z30" s="104"/>
    </row>
    <row r="31" spans="1:26" ht="15" customHeight="1" x14ac:dyDescent="0.2">
      <c r="A31" s="104"/>
      <c r="B31" s="104"/>
      <c r="C31" s="104"/>
      <c r="D31" s="104"/>
      <c r="E31" s="104"/>
      <c r="F31" s="104"/>
      <c r="G31" s="104"/>
      <c r="H31" s="104"/>
      <c r="I31" s="104"/>
      <c r="J31" s="104"/>
      <c r="K31" s="104"/>
      <c r="L31" s="104"/>
      <c r="M31" s="104"/>
      <c r="N31" s="104"/>
      <c r="O31" s="104"/>
      <c r="P31" s="104"/>
      <c r="Q31" s="104"/>
      <c r="R31" s="104"/>
      <c r="S31" s="104"/>
      <c r="T31" s="104"/>
      <c r="U31" s="104"/>
      <c r="V31" s="104"/>
      <c r="W31" s="104"/>
      <c r="X31" s="104"/>
      <c r="Y31" s="104"/>
      <c r="Z31" s="104"/>
    </row>
    <row r="32" spans="1:26" ht="15" customHeight="1" x14ac:dyDescent="0.2">
      <c r="A32" s="104"/>
      <c r="B32" s="104"/>
      <c r="C32" s="104"/>
      <c r="D32" s="104"/>
      <c r="E32" s="104"/>
      <c r="F32" s="104"/>
      <c r="G32" s="104"/>
      <c r="H32" s="104"/>
      <c r="I32" s="104"/>
      <c r="J32" s="104"/>
      <c r="K32" s="104"/>
      <c r="L32" s="104"/>
      <c r="M32" s="104"/>
      <c r="N32" s="104"/>
      <c r="O32" s="104"/>
      <c r="P32" s="104"/>
      <c r="Q32" s="104"/>
      <c r="R32" s="104"/>
      <c r="S32" s="104"/>
      <c r="T32" s="104"/>
      <c r="U32" s="104"/>
      <c r="V32" s="104"/>
      <c r="W32" s="104"/>
      <c r="X32" s="104"/>
      <c r="Y32" s="104"/>
      <c r="Z32" s="104"/>
    </row>
    <row r="33" spans="1:26" ht="15" customHeight="1" x14ac:dyDescent="0.2">
      <c r="A33" s="104"/>
      <c r="B33" s="104"/>
      <c r="C33" s="104"/>
      <c r="D33" s="104"/>
      <c r="E33" s="104"/>
      <c r="F33" s="104"/>
      <c r="G33" s="104"/>
      <c r="H33" s="104"/>
      <c r="I33" s="104"/>
      <c r="J33" s="104"/>
      <c r="K33" s="104"/>
      <c r="L33" s="104"/>
      <c r="M33" s="104"/>
      <c r="N33" s="104"/>
      <c r="O33" s="104"/>
      <c r="P33" s="104"/>
      <c r="Q33" s="104"/>
      <c r="R33" s="104"/>
      <c r="S33" s="104"/>
      <c r="T33" s="104"/>
      <c r="U33" s="104"/>
      <c r="V33" s="104"/>
      <c r="W33" s="104"/>
      <c r="X33" s="104"/>
      <c r="Y33" s="104"/>
      <c r="Z33" s="104"/>
    </row>
    <row r="34" spans="1:26" ht="15" customHeight="1" x14ac:dyDescent="0.2">
      <c r="A34" s="104"/>
      <c r="B34" s="104"/>
      <c r="C34" s="104"/>
      <c r="D34" s="104"/>
      <c r="E34" s="104"/>
      <c r="F34" s="104"/>
      <c r="G34" s="104"/>
      <c r="H34" s="104"/>
      <c r="I34" s="104"/>
      <c r="J34" s="104"/>
      <c r="K34" s="104"/>
      <c r="L34" s="104"/>
      <c r="M34" s="104"/>
      <c r="N34" s="104"/>
      <c r="O34" s="104"/>
      <c r="P34" s="104"/>
      <c r="Q34" s="104"/>
      <c r="R34" s="104"/>
      <c r="S34" s="104"/>
      <c r="T34" s="104"/>
      <c r="U34" s="104"/>
      <c r="V34" s="104"/>
      <c r="W34" s="104"/>
      <c r="X34" s="104"/>
      <c r="Y34" s="104"/>
      <c r="Z34" s="104"/>
    </row>
    <row r="35" spans="1:26" ht="15" customHeight="1" x14ac:dyDescent="0.2">
      <c r="A35" s="104"/>
      <c r="B35" s="104"/>
      <c r="C35" s="104"/>
      <c r="D35" s="104"/>
      <c r="E35" s="104"/>
      <c r="F35" s="104"/>
      <c r="G35" s="104"/>
      <c r="H35" s="104"/>
      <c r="I35" s="104"/>
      <c r="J35" s="104"/>
      <c r="K35" s="104"/>
      <c r="L35" s="104"/>
      <c r="M35" s="104"/>
      <c r="N35" s="104"/>
      <c r="O35" s="104"/>
      <c r="P35" s="104"/>
      <c r="Q35" s="104"/>
      <c r="R35" s="104"/>
      <c r="S35" s="104"/>
      <c r="T35" s="104"/>
      <c r="U35" s="104"/>
      <c r="V35" s="104"/>
      <c r="W35" s="104"/>
      <c r="X35" s="104"/>
      <c r="Y35" s="104"/>
      <c r="Z35" s="104"/>
    </row>
    <row r="36" spans="1:26" ht="15" customHeight="1" x14ac:dyDescent="0.2">
      <c r="A36" s="104"/>
      <c r="B36" s="104"/>
      <c r="C36" s="104"/>
      <c r="D36" s="104"/>
      <c r="E36" s="104"/>
      <c r="F36" s="104"/>
      <c r="G36" s="104"/>
      <c r="H36" s="104"/>
      <c r="I36" s="104"/>
      <c r="J36" s="104"/>
      <c r="K36" s="104"/>
      <c r="L36" s="104"/>
      <c r="M36" s="104"/>
      <c r="N36" s="104"/>
      <c r="O36" s="104"/>
      <c r="P36" s="104"/>
      <c r="Q36" s="104"/>
      <c r="R36" s="104"/>
      <c r="S36" s="104"/>
      <c r="T36" s="104"/>
      <c r="U36" s="104"/>
      <c r="V36" s="104"/>
      <c r="W36" s="104"/>
      <c r="X36" s="104"/>
      <c r="Y36" s="104"/>
      <c r="Z36" s="104"/>
    </row>
    <row r="37" spans="1:26" ht="15" customHeight="1" x14ac:dyDescent="0.2">
      <c r="A37" s="104"/>
      <c r="B37" s="104"/>
      <c r="C37" s="104"/>
      <c r="D37" s="104"/>
      <c r="E37" s="104"/>
      <c r="F37" s="104"/>
      <c r="G37" s="104"/>
      <c r="H37" s="104"/>
      <c r="I37" s="104"/>
      <c r="J37" s="104"/>
      <c r="K37" s="104"/>
      <c r="L37" s="104"/>
      <c r="M37" s="104"/>
      <c r="N37" s="104"/>
      <c r="O37" s="104"/>
      <c r="P37" s="104"/>
      <c r="Q37" s="104"/>
      <c r="R37" s="104"/>
      <c r="S37" s="104"/>
      <c r="T37" s="104"/>
      <c r="U37" s="104"/>
      <c r="V37" s="104"/>
      <c r="W37" s="104"/>
      <c r="X37" s="104"/>
      <c r="Y37" s="104"/>
      <c r="Z37" s="104"/>
    </row>
    <row r="38" spans="1:26" ht="15" customHeight="1" x14ac:dyDescent="0.2">
      <c r="A38" s="104"/>
      <c r="B38" s="104"/>
      <c r="C38" s="104"/>
      <c r="D38" s="104"/>
      <c r="E38" s="104"/>
      <c r="F38" s="104"/>
      <c r="G38" s="104"/>
      <c r="H38" s="104"/>
      <c r="I38" s="104"/>
      <c r="J38" s="104"/>
      <c r="K38" s="104"/>
      <c r="L38" s="104"/>
      <c r="M38" s="104"/>
      <c r="N38" s="104"/>
      <c r="O38" s="104"/>
      <c r="P38" s="104"/>
      <c r="Q38" s="104"/>
      <c r="R38" s="104"/>
      <c r="S38" s="104"/>
      <c r="T38" s="104"/>
      <c r="U38" s="104"/>
      <c r="V38" s="104"/>
      <c r="W38" s="104"/>
      <c r="X38" s="104"/>
      <c r="Y38" s="104"/>
      <c r="Z38" s="104"/>
    </row>
    <row r="39" spans="1:26" ht="15" customHeight="1" x14ac:dyDescent="0.2">
      <c r="A39" s="104"/>
      <c r="B39" s="104"/>
      <c r="C39" s="104"/>
      <c r="D39" s="104"/>
      <c r="E39" s="104"/>
      <c r="F39" s="104"/>
      <c r="G39" s="104"/>
      <c r="H39" s="104"/>
      <c r="I39" s="104"/>
      <c r="J39" s="104"/>
      <c r="K39" s="104"/>
      <c r="L39" s="104"/>
      <c r="M39" s="104"/>
      <c r="N39" s="104"/>
      <c r="O39" s="104"/>
      <c r="P39" s="104"/>
      <c r="Q39" s="104"/>
      <c r="R39" s="104"/>
      <c r="S39" s="104"/>
      <c r="T39" s="104"/>
      <c r="U39" s="104"/>
      <c r="V39" s="104"/>
      <c r="W39" s="104"/>
      <c r="X39" s="104"/>
      <c r="Y39" s="104"/>
      <c r="Z39" s="104"/>
    </row>
    <row r="40" spans="1:26" ht="15" customHeight="1" x14ac:dyDescent="0.2">
      <c r="A40" s="104"/>
      <c r="B40" s="104"/>
      <c r="C40" s="104"/>
      <c r="D40" s="104"/>
      <c r="E40" s="104"/>
      <c r="F40" s="104"/>
      <c r="G40" s="104"/>
      <c r="H40" s="104"/>
      <c r="I40" s="104"/>
      <c r="J40" s="104"/>
      <c r="K40" s="104"/>
      <c r="L40" s="104"/>
      <c r="M40" s="104"/>
      <c r="N40" s="104"/>
      <c r="O40" s="104"/>
      <c r="P40" s="104"/>
      <c r="Q40" s="104"/>
      <c r="R40" s="104"/>
      <c r="S40" s="104"/>
      <c r="T40" s="104"/>
      <c r="U40" s="104"/>
      <c r="V40" s="104"/>
      <c r="W40" s="104"/>
      <c r="X40" s="104"/>
      <c r="Y40" s="104"/>
      <c r="Z40" s="104"/>
    </row>
    <row r="41" spans="1:26" ht="15" customHeight="1" x14ac:dyDescent="0.2">
      <c r="A41" s="104"/>
      <c r="B41" s="104"/>
      <c r="C41" s="104"/>
      <c r="D41" s="104"/>
      <c r="E41" s="104"/>
      <c r="F41" s="104"/>
      <c r="G41" s="104"/>
      <c r="H41" s="104"/>
      <c r="I41" s="104"/>
      <c r="J41" s="104"/>
      <c r="K41" s="104"/>
      <c r="L41" s="104"/>
      <c r="M41" s="104"/>
      <c r="N41" s="104"/>
      <c r="O41" s="104"/>
      <c r="P41" s="104"/>
      <c r="Q41" s="104"/>
      <c r="R41" s="104"/>
      <c r="S41" s="104"/>
      <c r="T41" s="104"/>
      <c r="U41" s="104"/>
      <c r="V41" s="104"/>
      <c r="W41" s="104"/>
      <c r="X41" s="104"/>
      <c r="Y41" s="104"/>
      <c r="Z41" s="104"/>
    </row>
    <row r="42" spans="1:26" ht="15" customHeight="1" x14ac:dyDescent="0.2">
      <c r="A42" s="104"/>
      <c r="B42" s="104"/>
      <c r="C42" s="104"/>
      <c r="D42" s="104"/>
      <c r="E42" s="104"/>
      <c r="F42" s="104"/>
      <c r="G42" s="104"/>
      <c r="H42" s="104"/>
      <c r="I42" s="104"/>
      <c r="J42" s="104"/>
      <c r="K42" s="104"/>
      <c r="L42" s="104"/>
      <c r="M42" s="104"/>
      <c r="N42" s="104"/>
      <c r="O42" s="104"/>
      <c r="P42" s="104"/>
      <c r="Q42" s="104"/>
      <c r="R42" s="104"/>
      <c r="S42" s="104"/>
      <c r="T42" s="104"/>
      <c r="U42" s="104"/>
      <c r="V42" s="104"/>
      <c r="W42" s="104"/>
      <c r="X42" s="104"/>
      <c r="Y42" s="104"/>
      <c r="Z42" s="104"/>
    </row>
    <row r="43" spans="1:26" ht="15" customHeight="1" x14ac:dyDescent="0.2">
      <c r="A43" s="104"/>
      <c r="B43" s="104"/>
      <c r="C43" s="104"/>
      <c r="D43" s="104"/>
      <c r="E43" s="104"/>
      <c r="F43" s="104"/>
      <c r="G43" s="104"/>
      <c r="H43" s="104"/>
      <c r="I43" s="104"/>
      <c r="J43" s="104"/>
      <c r="K43" s="104"/>
      <c r="L43" s="104"/>
      <c r="M43" s="104"/>
      <c r="N43" s="104"/>
      <c r="O43" s="104"/>
      <c r="P43" s="104"/>
      <c r="Q43" s="104"/>
      <c r="R43" s="104"/>
      <c r="S43" s="104"/>
      <c r="T43" s="104"/>
      <c r="U43" s="104"/>
      <c r="V43" s="104"/>
      <c r="W43" s="104"/>
      <c r="X43" s="104"/>
      <c r="Y43" s="104"/>
      <c r="Z43" s="104"/>
    </row>
    <row r="44" spans="1:26" ht="15" customHeight="1" x14ac:dyDescent="0.2">
      <c r="A44" s="104"/>
      <c r="B44" s="104"/>
      <c r="C44" s="104"/>
      <c r="D44" s="104"/>
      <c r="E44" s="104"/>
      <c r="F44" s="104"/>
      <c r="G44" s="104"/>
      <c r="H44" s="104"/>
      <c r="I44" s="104"/>
      <c r="J44" s="104"/>
      <c r="K44" s="104"/>
      <c r="L44" s="104"/>
      <c r="M44" s="104"/>
      <c r="N44" s="104"/>
      <c r="O44" s="104"/>
      <c r="P44" s="104"/>
      <c r="Q44" s="104"/>
      <c r="R44" s="104"/>
      <c r="S44" s="104"/>
      <c r="T44" s="104"/>
      <c r="U44" s="104"/>
      <c r="V44" s="104"/>
      <c r="W44" s="104"/>
      <c r="X44" s="104"/>
      <c r="Y44" s="104"/>
      <c r="Z44" s="104"/>
    </row>
    <row r="45" spans="1:26" ht="15" customHeight="1" x14ac:dyDescent="0.2">
      <c r="A45" s="104"/>
      <c r="B45" s="104"/>
      <c r="C45" s="104"/>
      <c r="D45" s="104"/>
      <c r="E45" s="104"/>
      <c r="F45" s="104"/>
      <c r="G45" s="104"/>
      <c r="H45" s="104"/>
      <c r="I45" s="104"/>
      <c r="J45" s="104"/>
      <c r="K45" s="104"/>
      <c r="L45" s="104"/>
      <c r="M45" s="104"/>
      <c r="N45" s="104"/>
      <c r="O45" s="104"/>
      <c r="P45" s="104"/>
      <c r="Q45" s="104"/>
      <c r="R45" s="104"/>
      <c r="S45" s="104"/>
      <c r="T45" s="104"/>
      <c r="U45" s="104"/>
      <c r="V45" s="104"/>
      <c r="W45" s="104"/>
      <c r="X45" s="104"/>
      <c r="Y45" s="104"/>
      <c r="Z45" s="104"/>
    </row>
    <row r="46" spans="1:26" ht="15" customHeight="1" x14ac:dyDescent="0.2">
      <c r="A46" s="104"/>
      <c r="B46" s="104"/>
      <c r="C46" s="104"/>
      <c r="D46" s="104"/>
      <c r="E46" s="104"/>
      <c r="F46" s="104"/>
      <c r="G46" s="104"/>
      <c r="H46" s="104"/>
      <c r="I46" s="104"/>
      <c r="J46" s="104"/>
      <c r="K46" s="104"/>
      <c r="L46" s="104"/>
      <c r="M46" s="104"/>
      <c r="N46" s="104"/>
      <c r="O46" s="104"/>
      <c r="P46" s="104"/>
      <c r="Q46" s="104"/>
      <c r="R46" s="104"/>
      <c r="S46" s="104"/>
      <c r="T46" s="104"/>
      <c r="U46" s="104"/>
      <c r="V46" s="104"/>
      <c r="W46" s="104"/>
      <c r="X46" s="104"/>
      <c r="Y46" s="104"/>
      <c r="Z46" s="104"/>
    </row>
    <row r="47" spans="1:26" ht="15" customHeight="1" x14ac:dyDescent="0.2">
      <c r="A47" s="104"/>
      <c r="B47" s="104"/>
      <c r="C47" s="104"/>
      <c r="D47" s="104"/>
      <c r="E47" s="104"/>
      <c r="F47" s="104"/>
      <c r="G47" s="104"/>
      <c r="H47" s="104"/>
      <c r="I47" s="104"/>
      <c r="J47" s="104"/>
      <c r="K47" s="104"/>
      <c r="L47" s="104"/>
      <c r="M47" s="104"/>
      <c r="N47" s="104"/>
      <c r="O47" s="104"/>
      <c r="P47" s="104"/>
      <c r="Q47" s="104"/>
      <c r="R47" s="104"/>
      <c r="S47" s="104"/>
      <c r="T47" s="104"/>
      <c r="U47" s="104"/>
      <c r="V47" s="104"/>
      <c r="W47" s="104"/>
      <c r="X47" s="104"/>
      <c r="Y47" s="104"/>
      <c r="Z47" s="104"/>
    </row>
    <row r="48" spans="1:26" ht="15" customHeight="1" x14ac:dyDescent="0.2">
      <c r="A48" s="104"/>
      <c r="B48" s="104"/>
      <c r="C48" s="104"/>
      <c r="D48" s="104"/>
      <c r="E48" s="104"/>
      <c r="F48" s="104"/>
      <c r="G48" s="104"/>
      <c r="H48" s="104"/>
      <c r="I48" s="104"/>
      <c r="J48" s="104"/>
      <c r="K48" s="104"/>
      <c r="L48" s="104"/>
      <c r="M48" s="104"/>
      <c r="N48" s="104"/>
      <c r="O48" s="104"/>
      <c r="P48" s="104"/>
      <c r="Q48" s="104"/>
      <c r="R48" s="104"/>
      <c r="S48" s="104"/>
      <c r="T48" s="104"/>
      <c r="U48" s="104"/>
      <c r="V48" s="104"/>
      <c r="W48" s="104"/>
      <c r="X48" s="104"/>
      <c r="Y48" s="104"/>
      <c r="Z48" s="104"/>
    </row>
    <row r="49" spans="1:26" ht="15" customHeight="1" x14ac:dyDescent="0.2">
      <c r="A49" s="104"/>
      <c r="B49" s="104"/>
      <c r="C49" s="104"/>
      <c r="D49" s="104"/>
      <c r="E49" s="104"/>
      <c r="F49" s="104"/>
      <c r="G49" s="104"/>
      <c r="H49" s="104"/>
      <c r="I49" s="104"/>
      <c r="J49" s="104"/>
      <c r="K49" s="104"/>
      <c r="L49" s="104"/>
      <c r="M49" s="104"/>
      <c r="N49" s="104"/>
      <c r="O49" s="104"/>
      <c r="P49" s="104"/>
      <c r="Q49" s="104"/>
      <c r="R49" s="104"/>
      <c r="S49" s="104"/>
      <c r="T49" s="104"/>
      <c r="U49" s="104"/>
      <c r="V49" s="104"/>
      <c r="W49" s="104"/>
      <c r="X49" s="104"/>
      <c r="Y49" s="104"/>
      <c r="Z49" s="104"/>
    </row>
    <row r="50" spans="1:26" ht="15" customHeight="1" x14ac:dyDescent="0.2">
      <c r="A50" s="104"/>
      <c r="B50" s="104"/>
      <c r="C50" s="104"/>
      <c r="D50" s="104"/>
      <c r="E50" s="104"/>
      <c r="F50" s="104"/>
      <c r="G50" s="104"/>
      <c r="H50" s="104"/>
      <c r="I50" s="104"/>
      <c r="J50" s="104"/>
      <c r="K50" s="104"/>
      <c r="L50" s="104"/>
      <c r="M50" s="104"/>
      <c r="N50" s="104"/>
      <c r="O50" s="104"/>
      <c r="P50" s="104"/>
      <c r="Q50" s="104"/>
      <c r="R50" s="104"/>
      <c r="S50" s="104"/>
      <c r="T50" s="104"/>
      <c r="U50" s="104"/>
      <c r="V50" s="104"/>
      <c r="W50" s="104"/>
      <c r="X50" s="104"/>
      <c r="Y50" s="104"/>
      <c r="Z50" s="104"/>
    </row>
    <row r="51" spans="1:26" ht="15" x14ac:dyDescent="0.2">
      <c r="A51" s="104"/>
      <c r="B51" s="104"/>
      <c r="C51" s="104"/>
      <c r="D51" s="104"/>
      <c r="E51" s="104"/>
      <c r="F51" s="104"/>
      <c r="G51" s="104"/>
      <c r="H51" s="104"/>
      <c r="I51" s="104"/>
      <c r="J51" s="104"/>
      <c r="K51" s="104"/>
      <c r="L51" s="104"/>
      <c r="M51" s="104"/>
      <c r="N51" s="104"/>
      <c r="O51" s="104"/>
      <c r="P51" s="104"/>
      <c r="Q51" s="104"/>
      <c r="R51" s="104"/>
      <c r="S51" s="104"/>
      <c r="T51" s="104"/>
      <c r="U51" s="104"/>
      <c r="V51" s="104"/>
      <c r="W51" s="104"/>
      <c r="X51" s="104"/>
      <c r="Y51" s="104"/>
      <c r="Z51" s="104"/>
    </row>
    <row r="52" spans="1:26" ht="15" x14ac:dyDescent="0.2">
      <c r="A52" s="104"/>
      <c r="B52" s="104"/>
      <c r="C52" s="104"/>
      <c r="D52" s="104"/>
      <c r="E52" s="104"/>
      <c r="F52" s="104"/>
      <c r="G52" s="104"/>
      <c r="H52" s="104"/>
      <c r="I52" s="104"/>
      <c r="J52" s="104"/>
      <c r="K52" s="104"/>
      <c r="L52" s="104"/>
      <c r="M52" s="104"/>
      <c r="N52" s="104"/>
      <c r="O52" s="104"/>
      <c r="P52" s="104"/>
      <c r="Q52" s="104"/>
      <c r="R52" s="104"/>
      <c r="S52" s="104"/>
      <c r="T52" s="104"/>
      <c r="U52" s="104"/>
      <c r="V52" s="104"/>
      <c r="W52" s="104"/>
      <c r="X52" s="104"/>
      <c r="Y52" s="104"/>
      <c r="Z52" s="104"/>
    </row>
    <row r="53" spans="1:26" ht="15" x14ac:dyDescent="0.2">
      <c r="A53" s="104"/>
      <c r="B53" s="104"/>
      <c r="C53" s="104"/>
      <c r="D53" s="104"/>
      <c r="E53" s="104"/>
      <c r="F53" s="104"/>
      <c r="G53" s="104"/>
      <c r="H53" s="104"/>
      <c r="I53" s="104"/>
      <c r="J53" s="104"/>
      <c r="K53" s="104"/>
      <c r="L53" s="104"/>
      <c r="M53" s="104"/>
      <c r="N53" s="104"/>
      <c r="O53" s="104"/>
      <c r="P53" s="104"/>
      <c r="Q53" s="104"/>
      <c r="R53" s="104"/>
      <c r="S53" s="104"/>
      <c r="T53" s="104"/>
      <c r="U53" s="104"/>
      <c r="V53" s="104"/>
      <c r="W53" s="104"/>
      <c r="X53" s="104"/>
      <c r="Y53" s="104"/>
      <c r="Z53" s="104"/>
    </row>
    <row r="54" spans="1:26" ht="15" x14ac:dyDescent="0.2">
      <c r="A54" s="104"/>
      <c r="B54" s="104"/>
      <c r="C54" s="104"/>
      <c r="D54" s="104"/>
      <c r="E54" s="104"/>
      <c r="F54" s="104"/>
      <c r="G54" s="104"/>
      <c r="H54" s="104"/>
      <c r="I54" s="104"/>
      <c r="J54" s="104"/>
      <c r="K54" s="104"/>
      <c r="L54" s="104"/>
      <c r="M54" s="104"/>
      <c r="N54" s="104"/>
      <c r="O54" s="104"/>
      <c r="P54" s="104"/>
      <c r="Q54" s="104"/>
      <c r="R54" s="104"/>
      <c r="S54" s="104"/>
      <c r="T54" s="104"/>
      <c r="U54" s="104"/>
      <c r="V54" s="104"/>
      <c r="W54" s="104"/>
      <c r="X54" s="104"/>
      <c r="Y54" s="104"/>
      <c r="Z54" s="104"/>
    </row>
  </sheetData>
  <sheetProtection password="CC18" sheet="1" objects="1" scenarios="1"/>
  <phoneticPr fontId="40" type="noConversion"/>
  <pageMargins left="0.75" right="0.75" top="1" bottom="1" header="0.5" footer="0.5"/>
  <pageSetup orientation="portrait"/>
  <headerFooter alignWithMargins="0">
    <oddHeader>&amp;A</oddHeader>
    <oddFooter>Page &amp;P</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27650" r:id="rId3" name="Button 2">
              <controlPr defaultSize="0" autoFill="0" autoLine="0" autoPict="0" macro="[0]!HideActiveSheet">
                <anchor moveWithCells="1" sizeWithCells="1">
                  <from>
                    <xdr:col>4</xdr:col>
                    <xdr:colOff>304800</xdr:colOff>
                    <xdr:row>6</xdr:row>
                    <xdr:rowOff>114300</xdr:rowOff>
                  </from>
                  <to>
                    <xdr:col>5</xdr:col>
                    <xdr:colOff>400050</xdr:colOff>
                    <xdr:row>7</xdr:row>
                    <xdr:rowOff>161925</xdr:rowOff>
                  </to>
                </anchor>
              </controlPr>
            </control>
          </mc:Choice>
        </mc:AlternateContent>
        <mc:AlternateContent xmlns:mc="http://schemas.openxmlformats.org/markup-compatibility/2006">
          <mc:Choice Requires="x14">
            <control shapeId="27651" r:id="rId4" name="Button 3">
              <controlPr defaultSize="0" autoFill="0" autoLine="0" autoPict="0" macro="[0]!PrintSelectedSheet">
                <anchor moveWithCells="1" sizeWithCells="1">
                  <from>
                    <xdr:col>4</xdr:col>
                    <xdr:colOff>304800</xdr:colOff>
                    <xdr:row>5</xdr:row>
                    <xdr:rowOff>9525</xdr:rowOff>
                  </from>
                  <to>
                    <xdr:col>5</xdr:col>
                    <xdr:colOff>400050</xdr:colOff>
                    <xdr:row>6</xdr:row>
                    <xdr:rowOff>66675</xdr:rowOff>
                  </to>
                </anchor>
              </controlPr>
            </control>
          </mc:Choice>
        </mc:AlternateContent>
        <mc:AlternateContent xmlns:mc="http://schemas.openxmlformats.org/markup-compatibility/2006">
          <mc:Choice Requires="x14">
            <control shapeId="27652" r:id="rId5" name="List Box 4">
              <controlPr defaultSize="0" autoFill="0" autoLine="0" autoPict="0">
                <anchor moveWithCells="1">
                  <from>
                    <xdr:col>2</xdr:col>
                    <xdr:colOff>133350</xdr:colOff>
                    <xdr:row>4</xdr:row>
                    <xdr:rowOff>152400</xdr:rowOff>
                  </from>
                  <to>
                    <xdr:col>4</xdr:col>
                    <xdr:colOff>209550</xdr:colOff>
                    <xdr:row>8</xdr:row>
                    <xdr:rowOff>38100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A1:CL190"/>
  <sheetViews>
    <sheetView showGridLines="0" tabSelected="1" topLeftCell="A5" zoomScale="92" zoomScaleNormal="92" workbookViewId="0">
      <pane xSplit="6" ySplit="8" topLeftCell="BV21" activePane="bottomRight" state="frozen"/>
      <selection activeCell="A5" sqref="A5"/>
      <selection pane="topRight" activeCell="G5" sqref="G5"/>
      <selection pane="bottomLeft" activeCell="A13" sqref="A13"/>
      <selection pane="bottomRight" activeCell="CC10" sqref="CC10"/>
    </sheetView>
  </sheetViews>
  <sheetFormatPr defaultColWidth="11.42578125" defaultRowHeight="15" x14ac:dyDescent="0.2"/>
  <cols>
    <col min="1" max="1" width="13.85546875" style="192" customWidth="1"/>
    <col min="2" max="2" width="2.7109375" style="192" customWidth="1"/>
    <col min="3" max="3" width="3.85546875" style="192" customWidth="1"/>
    <col min="4" max="4" width="2.7109375" style="192" customWidth="1"/>
    <col min="5" max="5" width="24.7109375" style="289" customWidth="1"/>
    <col min="6" max="6" width="8.7109375" style="192" customWidth="1"/>
    <col min="7" max="7" width="10" style="192" customWidth="1"/>
    <col min="8" max="8" width="8.7109375" style="192" customWidth="1"/>
    <col min="9" max="9" width="9.42578125" style="192" customWidth="1"/>
    <col min="10" max="10" width="10" style="192" customWidth="1"/>
    <col min="11" max="12" width="8.7109375" style="192" customWidth="1"/>
    <col min="13" max="13" width="17" style="192" customWidth="1"/>
    <col min="14" max="14" width="12.85546875" style="192" customWidth="1"/>
    <col min="15" max="15" width="20.42578125" style="192" customWidth="1"/>
    <col min="16" max="16" width="11.42578125" style="192" customWidth="1"/>
    <col min="17" max="17" width="10.28515625" style="192" customWidth="1"/>
    <col min="18" max="25" width="8.7109375" style="192" customWidth="1"/>
    <col min="26" max="26" width="24.7109375" style="192" customWidth="1"/>
    <col min="27" max="34" width="8.7109375" style="192" customWidth="1"/>
    <col min="35" max="35" width="11.42578125" style="192" customWidth="1"/>
    <col min="36" max="39" width="8.7109375" style="192" customWidth="1"/>
    <col min="40" max="40" width="11.7109375" style="192" customWidth="1"/>
    <col min="41" max="47" width="8.7109375" style="192" customWidth="1"/>
    <col min="48" max="48" width="11.7109375" style="192" customWidth="1"/>
    <col min="49" max="55" width="8.7109375" style="192" customWidth="1"/>
    <col min="56" max="56" width="11.7109375" style="192" customWidth="1"/>
    <col min="57" max="62" width="8.7109375" style="192" customWidth="1"/>
    <col min="63" max="63" width="11.42578125" style="192" customWidth="1"/>
    <col min="64" max="64" width="11.7109375" style="192" customWidth="1"/>
    <col min="65" max="65" width="11.42578125" style="192" customWidth="1"/>
    <col min="66" max="66" width="13" style="192" bestFit="1" customWidth="1"/>
    <col min="67" max="71" width="11.42578125" style="192" customWidth="1"/>
    <col min="72" max="72" width="11.7109375" style="192" customWidth="1"/>
    <col min="73" max="77" width="11.42578125" style="192" customWidth="1"/>
    <col min="78" max="78" width="11.42578125" style="192" bestFit="1" customWidth="1"/>
    <col min="79" max="88" width="11.42578125" style="192" customWidth="1"/>
    <col min="89" max="89" width="11.42578125" style="192" bestFit="1" customWidth="1"/>
    <col min="90" max="90" width="13" style="192" customWidth="1"/>
    <col min="91" max="16384" width="11.42578125" style="192"/>
  </cols>
  <sheetData>
    <row r="1" spans="1:81" s="190" customFormat="1" ht="7.5" hidden="1" customHeight="1" x14ac:dyDescent="0.4">
      <c r="A1" s="861"/>
      <c r="B1" s="862"/>
      <c r="C1" s="862"/>
      <c r="D1" s="862"/>
      <c r="E1" s="862"/>
      <c r="F1" s="862"/>
      <c r="G1" s="862"/>
      <c r="H1" s="862"/>
      <c r="I1" s="862"/>
      <c r="J1" s="862"/>
      <c r="K1" s="862"/>
      <c r="L1" s="862"/>
      <c r="M1" s="862"/>
      <c r="N1" s="862"/>
      <c r="O1" s="862"/>
      <c r="P1" s="304"/>
    </row>
    <row r="2" spans="1:81" s="190" customFormat="1" ht="8.25" hidden="1" customHeight="1" x14ac:dyDescent="0.4">
      <c r="A2" s="187"/>
      <c r="B2" s="188"/>
      <c r="C2" s="189"/>
      <c r="D2" s="189"/>
      <c r="E2" s="188"/>
      <c r="F2" s="188"/>
      <c r="G2" s="188"/>
      <c r="H2" s="188"/>
      <c r="I2" s="188"/>
      <c r="J2" s="188"/>
      <c r="K2" s="188"/>
      <c r="L2" s="188"/>
      <c r="M2" s="188"/>
      <c r="N2" s="188"/>
      <c r="O2" s="305"/>
      <c r="P2" s="304"/>
    </row>
    <row r="3" spans="1:81" s="190" customFormat="1" ht="9" hidden="1" customHeight="1" x14ac:dyDescent="0.4">
      <c r="A3" s="861"/>
      <c r="B3" s="862"/>
      <c r="C3" s="862"/>
      <c r="D3" s="862"/>
      <c r="E3" s="862"/>
      <c r="F3" s="862"/>
      <c r="G3" s="862"/>
      <c r="H3" s="862"/>
      <c r="I3" s="862"/>
      <c r="J3" s="862"/>
      <c r="K3" s="862"/>
      <c r="L3" s="862"/>
      <c r="M3" s="862"/>
      <c r="N3" s="862"/>
      <c r="O3" s="862"/>
    </row>
    <row r="4" spans="1:81" s="190" customFormat="1" ht="6" hidden="1" customHeight="1" x14ac:dyDescent="0.4">
      <c r="A4" s="187"/>
      <c r="B4" s="191"/>
      <c r="C4" s="191"/>
      <c r="D4" s="191"/>
      <c r="E4" s="290"/>
      <c r="F4" s="191"/>
      <c r="G4" s="191"/>
      <c r="H4" s="191"/>
      <c r="I4" s="191"/>
      <c r="J4" s="191"/>
      <c r="K4" s="191"/>
      <c r="L4" s="191"/>
      <c r="M4" s="191"/>
      <c r="N4" s="191"/>
      <c r="O4" s="193"/>
    </row>
    <row r="5" spans="1:81" ht="6.75" customHeight="1" x14ac:dyDescent="0.35">
      <c r="A5" s="415"/>
      <c r="B5" s="194"/>
      <c r="C5" s="195"/>
      <c r="D5" s="195"/>
      <c r="E5" s="196"/>
      <c r="F5" s="196"/>
      <c r="G5" s="196"/>
      <c r="H5" s="196"/>
      <c r="I5" s="196"/>
      <c r="J5" s="196"/>
      <c r="K5" s="196"/>
      <c r="L5" s="196"/>
      <c r="M5" s="196"/>
      <c r="N5" s="199"/>
      <c r="O5" s="196"/>
      <c r="Q5" s="190"/>
      <c r="R5" s="190"/>
      <c r="S5" s="190"/>
      <c r="T5" s="190"/>
      <c r="U5" s="190"/>
      <c r="V5" s="190"/>
      <c r="W5" s="190"/>
      <c r="X5" s="190"/>
      <c r="Y5" s="190"/>
    </row>
    <row r="6" spans="1:81" ht="14.25" customHeight="1" x14ac:dyDescent="0.2">
      <c r="A6" s="197"/>
      <c r="B6" s="197"/>
      <c r="C6" s="197"/>
      <c r="D6" s="197"/>
      <c r="E6" s="290"/>
      <c r="F6" s="456"/>
      <c r="G6" s="456"/>
      <c r="H6" s="456"/>
      <c r="I6" s="456"/>
      <c r="J6" s="456"/>
      <c r="K6" s="456"/>
      <c r="L6" s="456"/>
      <c r="M6" s="191"/>
      <c r="N6" s="199"/>
      <c r="O6" s="198"/>
      <c r="Q6" s="190"/>
      <c r="R6" s="190"/>
      <c r="S6" s="190"/>
      <c r="T6" s="109"/>
      <c r="U6" s="190"/>
      <c r="V6" s="190"/>
      <c r="W6" s="190"/>
      <c r="X6" s="190"/>
      <c r="Y6" s="190"/>
    </row>
    <row r="7" spans="1:81" ht="15" customHeight="1" x14ac:dyDescent="0.2">
      <c r="A7" s="199"/>
      <c r="B7" s="199"/>
      <c r="C7" s="199"/>
      <c r="D7" s="199"/>
      <c r="E7" s="291"/>
      <c r="F7" s="200" t="s">
        <v>57</v>
      </c>
      <c r="G7" s="200"/>
      <c r="H7" s="201">
        <v>5</v>
      </c>
      <c r="I7" s="202" t="s">
        <v>289</v>
      </c>
      <c r="J7" s="203">
        <v>2</v>
      </c>
      <c r="K7" s="199"/>
      <c r="L7" s="199"/>
      <c r="M7" s="199"/>
      <c r="N7" s="199"/>
      <c r="O7" s="204"/>
      <c r="R7" s="205"/>
      <c r="S7" s="206"/>
      <c r="U7" s="206"/>
      <c r="V7" s="108"/>
      <c r="W7" s="205"/>
    </row>
    <row r="8" spans="1:81" ht="4.5" customHeight="1" x14ac:dyDescent="0.25">
      <c r="A8" s="207"/>
      <c r="B8" s="207"/>
      <c r="C8" s="207"/>
      <c r="D8" s="207"/>
      <c r="E8" s="292"/>
      <c r="F8" s="207"/>
      <c r="G8" s="207"/>
      <c r="H8" s="207"/>
      <c r="I8" s="207"/>
      <c r="J8" s="207"/>
      <c r="K8" s="207"/>
      <c r="L8" s="207"/>
      <c r="M8" s="207"/>
      <c r="N8" s="207"/>
      <c r="O8" s="208"/>
      <c r="Z8" s="192" t="s">
        <v>138</v>
      </c>
    </row>
    <row r="9" spans="1:81" ht="18" customHeight="1" x14ac:dyDescent="0.3">
      <c r="A9" s="191"/>
      <c r="B9" s="191"/>
      <c r="C9" s="191" t="s">
        <v>56</v>
      </c>
      <c r="D9" s="191"/>
      <c r="E9" s="290"/>
      <c r="F9" s="209" t="s">
        <v>58</v>
      </c>
      <c r="G9" s="538">
        <f>CC12</f>
        <v>42427</v>
      </c>
      <c r="H9" s="188"/>
      <c r="I9" s="210" t="s">
        <v>59</v>
      </c>
      <c r="J9" s="497">
        <f>G9+6</f>
        <v>42433</v>
      </c>
      <c r="K9" s="211"/>
      <c r="L9" s="191"/>
      <c r="M9" s="191"/>
      <c r="N9" s="191"/>
      <c r="O9" s="212" t="s">
        <v>87</v>
      </c>
      <c r="T9" s="562" t="s">
        <v>56</v>
      </c>
      <c r="Z9" s="192" t="s">
        <v>125</v>
      </c>
      <c r="CB9" s="530"/>
      <c r="CC9" s="530"/>
    </row>
    <row r="10" spans="1:81" ht="18" customHeight="1" thickBot="1" x14ac:dyDescent="0.3">
      <c r="A10" s="191"/>
      <c r="B10" s="191"/>
      <c r="C10" s="191"/>
      <c r="D10" s="191"/>
      <c r="E10" s="290"/>
      <c r="F10" s="191"/>
      <c r="G10" s="207"/>
      <c r="H10" s="207"/>
      <c r="I10" s="207"/>
      <c r="J10" s="191"/>
      <c r="K10" s="197"/>
      <c r="L10" s="213"/>
      <c r="M10" s="191"/>
      <c r="N10" s="191"/>
      <c r="O10" s="212" t="s">
        <v>88</v>
      </c>
      <c r="Z10" s="192" t="e">
        <v>#VALUE!</v>
      </c>
      <c r="CB10" s="530"/>
      <c r="CC10" s="531">
        <f>INDEX(CB21:CC68,H7,2)</f>
        <v>42420</v>
      </c>
    </row>
    <row r="11" spans="1:81" s="219" customFormat="1" ht="18" customHeight="1" x14ac:dyDescent="0.25">
      <c r="A11" s="214"/>
      <c r="B11" s="215"/>
      <c r="C11" s="215"/>
      <c r="D11" s="215"/>
      <c r="E11" s="293"/>
      <c r="F11" s="216">
        <f>G$9</f>
        <v>42427</v>
      </c>
      <c r="G11" s="216">
        <f>F$11+1</f>
        <v>42428</v>
      </c>
      <c r="H11" s="216">
        <f t="shared" ref="G11:L12" si="0">G11+1</f>
        <v>42429</v>
      </c>
      <c r="I11" s="216">
        <f t="shared" si="0"/>
        <v>42430</v>
      </c>
      <c r="J11" s="216">
        <f t="shared" si="0"/>
        <v>42431</v>
      </c>
      <c r="K11" s="216">
        <f>J11+1</f>
        <v>42432</v>
      </c>
      <c r="L11" s="216">
        <f t="shared" si="0"/>
        <v>42433</v>
      </c>
      <c r="M11" s="217"/>
      <c r="N11" s="215"/>
      <c r="O11" s="218" t="s">
        <v>63</v>
      </c>
      <c r="Q11" s="425"/>
      <c r="Y11" s="219" t="s">
        <v>144</v>
      </c>
      <c r="Z11" s="219" t="s">
        <v>133</v>
      </c>
      <c r="CB11" s="530"/>
      <c r="CC11" s="532"/>
    </row>
    <row r="12" spans="1:81" s="219" customFormat="1" ht="18" customHeight="1" x14ac:dyDescent="0.25">
      <c r="A12" s="220" t="s">
        <v>76</v>
      </c>
      <c r="B12" s="221" t="s">
        <v>89</v>
      </c>
      <c r="C12" s="222"/>
      <c r="D12" s="221" t="s">
        <v>90</v>
      </c>
      <c r="E12" s="294" t="s">
        <v>61</v>
      </c>
      <c r="F12" s="223">
        <f>G9</f>
        <v>42427</v>
      </c>
      <c r="G12" s="223">
        <f t="shared" si="0"/>
        <v>42428</v>
      </c>
      <c r="H12" s="223">
        <f t="shared" si="0"/>
        <v>42429</v>
      </c>
      <c r="I12" s="223">
        <f t="shared" si="0"/>
        <v>42430</v>
      </c>
      <c r="J12" s="223">
        <f t="shared" si="0"/>
        <v>42431</v>
      </c>
      <c r="K12" s="223">
        <f>J12+1</f>
        <v>42432</v>
      </c>
      <c r="L12" s="223">
        <f>K12+1</f>
        <v>42433</v>
      </c>
      <c r="M12" s="224"/>
      <c r="N12" s="225"/>
      <c r="O12" s="226"/>
      <c r="P12" s="425"/>
      <c r="Y12" s="219" t="s">
        <v>139</v>
      </c>
      <c r="Z12" s="219" t="s">
        <v>135</v>
      </c>
      <c r="AA12" s="219" t="s">
        <v>143</v>
      </c>
      <c r="CB12" s="530"/>
      <c r="CC12" s="533">
        <f>IF(J7=1,CC10,CC10+7)</f>
        <v>42427</v>
      </c>
    </row>
    <row r="13" spans="1:81" ht="21.75" customHeight="1" thickBot="1" x14ac:dyDescent="0.3">
      <c r="A13" s="230" t="str">
        <f>IF('Master List'!A3="0"," ",'Master List'!A3)</f>
        <v>ET</v>
      </c>
      <c r="B13" s="231"/>
      <c r="C13" s="231"/>
      <c r="D13" s="231"/>
      <c r="E13" s="417" t="str">
        <f>IF('Master List'!$C$3=0," ",'Master List'!$C$3)</f>
        <v>CREW  030  P/L 530</v>
      </c>
      <c r="F13" s="239">
        <f>AG13</f>
        <v>14</v>
      </c>
      <c r="G13" s="239">
        <f t="shared" ref="G13:L13" si="1">AH13</f>
        <v>14</v>
      </c>
      <c r="H13" s="426">
        <f t="shared" si="1"/>
        <v>14</v>
      </c>
      <c r="I13" s="239">
        <f t="shared" si="1"/>
        <v>12</v>
      </c>
      <c r="J13" s="239">
        <f t="shared" si="1"/>
        <v>13</v>
      </c>
      <c r="K13" s="239">
        <f t="shared" si="1"/>
        <v>13</v>
      </c>
      <c r="L13" s="240">
        <f t="shared" si="1"/>
        <v>13</v>
      </c>
      <c r="M13" s="863"/>
      <c r="N13" s="864"/>
      <c r="O13" s="864"/>
      <c r="P13" s="573"/>
      <c r="Q13" s="228"/>
      <c r="R13" s="101"/>
      <c r="S13" s="229"/>
      <c r="T13" s="228"/>
      <c r="U13" s="232" t="s">
        <v>91</v>
      </c>
      <c r="V13" s="228"/>
      <c r="W13" s="228" t="s">
        <v>92</v>
      </c>
      <c r="AG13" s="233">
        <f t="shared" ref="AG13:AM13" si="2">SUM(AG14:AG40)</f>
        <v>14</v>
      </c>
      <c r="AH13" s="233">
        <f t="shared" si="2"/>
        <v>14</v>
      </c>
      <c r="AI13" s="233">
        <f t="shared" si="2"/>
        <v>14</v>
      </c>
      <c r="AJ13" s="233">
        <f t="shared" si="2"/>
        <v>12</v>
      </c>
      <c r="AK13" s="233">
        <f t="shared" si="2"/>
        <v>13</v>
      </c>
      <c r="AL13" s="233">
        <f t="shared" si="2"/>
        <v>13</v>
      </c>
      <c r="AM13" s="233">
        <f t="shared" si="2"/>
        <v>13</v>
      </c>
      <c r="AN13" s="540"/>
      <c r="AO13" s="219"/>
      <c r="AP13" s="219"/>
      <c r="AQ13" s="219"/>
      <c r="AR13" s="219"/>
      <c r="AS13" s="219"/>
      <c r="AT13" s="219"/>
      <c r="AU13" s="219"/>
      <c r="AV13" s="219"/>
      <c r="AW13" s="256"/>
      <c r="AX13" s="256"/>
      <c r="AY13" s="256"/>
      <c r="AZ13" s="256"/>
      <c r="BA13" s="256"/>
      <c r="BB13" s="256"/>
      <c r="BC13" s="256"/>
      <c r="BD13" s="256"/>
      <c r="BE13" s="256"/>
      <c r="BF13" s="256"/>
      <c r="BG13" s="256"/>
      <c r="BH13" s="256"/>
      <c r="BI13" s="256"/>
      <c r="BJ13" s="256"/>
      <c r="BK13" s="256"/>
      <c r="BL13" s="256"/>
      <c r="BM13" s="256"/>
      <c r="BN13" s="256"/>
      <c r="BO13" s="256"/>
      <c r="BP13" s="256"/>
      <c r="BQ13" s="256"/>
      <c r="BR13" s="256"/>
      <c r="BS13" s="256"/>
      <c r="BT13" s="256"/>
      <c r="CB13" s="534"/>
      <c r="CC13" s="534"/>
    </row>
    <row r="14" spans="1:81" ht="21.75" customHeight="1" thickBot="1" x14ac:dyDescent="0.3">
      <c r="A14" s="236">
        <f>IF('Master List'!A4=0," ",'Master List'!A4)</f>
        <v>71324028</v>
      </c>
      <c r="B14" s="826" t="s">
        <v>147</v>
      </c>
      <c r="C14" s="287">
        <v>10</v>
      </c>
      <c r="D14" s="694"/>
      <c r="E14" s="546" t="str">
        <f>IF('Master List'!$C4=0," ",'Master List'!$C4)</f>
        <v>V. VARKEY</v>
      </c>
      <c r="F14" s="722">
        <v>3</v>
      </c>
      <c r="G14" s="723">
        <v>3</v>
      </c>
      <c r="H14" s="723">
        <v>3</v>
      </c>
      <c r="I14" s="723" t="s">
        <v>90</v>
      </c>
      <c r="J14" s="834" t="s">
        <v>93</v>
      </c>
      <c r="K14" s="723">
        <v>3</v>
      </c>
      <c r="L14" s="725">
        <v>3</v>
      </c>
      <c r="M14" s="726"/>
      <c r="N14" s="567"/>
      <c r="O14" s="568" t="str">
        <f>IF(F14="#",Z$11,IF(G14="#",Z$11,IF(H14="#",Z$11,IF(I14="#",Z$11,IF(J14="#",Z$11,IF(K14="#",Z$11,IF(L14="#",Z$11," ")))))))</f>
        <v xml:space="preserve"> </v>
      </c>
      <c r="P14" s="424"/>
      <c r="Q14" s="228"/>
      <c r="R14" s="101"/>
      <c r="S14" s="229"/>
      <c r="T14" s="228"/>
      <c r="U14" s="232" t="s">
        <v>95</v>
      </c>
      <c r="V14" s="228"/>
      <c r="W14" s="228" t="s">
        <v>96</v>
      </c>
      <c r="AG14" s="30">
        <f>IF(OR(F14="*3",F14="OT**",F14=3,F14="OT",F14="3V",F14="OTNV",F14="OTV",F14="3NV",F14="3*",F14="2OTBT",F14="OT*",F14="2OTET",F14="4OTET",F14="*OTBT",F14="*OTET"),1," ")</f>
        <v>1</v>
      </c>
      <c r="AH14" s="30">
        <f>IF(OR(G14="*3",G14="OT**",G14=3,G14="OT",G14="3V",G14="OTNV",G14="OTV",G14="3NV",G14="3*",G14="2OTBT",G14="OT*",G14="2OTET",G14="4OTET",G14="*OTBT",G14="*OTET"),1," ")</f>
        <v>1</v>
      </c>
      <c r="AI14" s="30">
        <f t="shared" ref="AI14:AI29" si="3">IF(OR(H14="*3",H14="OT**",H14=3,H14="OT",H14="3V",H14="OTNV",H14="OTV",H14="3NV",H14="3*",H14="2OTBT",H14="OT*",H14="2OTET",H14="4OTET",H14="*OTBT",H14="*OTET"),1," ")</f>
        <v>1</v>
      </c>
      <c r="AJ14" s="30" t="str">
        <f t="shared" ref="AJ14:AJ29" si="4">IF(OR(I14="*3",I14="OT**",I14=3,I14="OT",I14="3V",I14="OTNV",I14="OTV",I14="3NV",I14="3*",I14="2OTBT",I14="OT*",I14="2OTET",I14="4OTET",I14="*OTBT",I14="*OTET"),1," ")</f>
        <v xml:space="preserve"> </v>
      </c>
      <c r="AK14" s="30">
        <f t="shared" ref="AK14:AK29" si="5">IF(OR(J14="*3",J14="OT**",J14=3,J14="OT",J14="3V",J14="OTNV",J14="OTV",J14="3NV",J14="3*",J14="2OTBT",J14="OT*",J14="2OTET",J14="4OTET",J14="*OTBT",J14="*OTET"),1," ")</f>
        <v>1</v>
      </c>
      <c r="AL14" s="30">
        <f t="shared" ref="AL14:AL29" si="6">IF(OR(K14="*3",K14="OT**",K14=3,K14="OT",K14="3V",K14="OTNV",K14="OTV",K14="3NV",K14="3*",K14="2OTBT",K14="OT*",K14="2OTET",K14="4OTET",K14="*OTBT",K14="*OTET"),1," ")</f>
        <v>1</v>
      </c>
      <c r="AM14" s="30">
        <f t="shared" ref="AM14:AM29" si="7">IF(OR(L14="*3",L14="OT**",L14=3,L14="OT",L14="3V",L14="OTNV",L14="OTV",L14="3NV",L14="3*",L14="2OTBT",L14="OT*",L14="2OTET",L14="4OTET",L14="*OTBT",L14="*OTET"),1," ")</f>
        <v>1</v>
      </c>
      <c r="AN14" s="540"/>
      <c r="AO14" s="219"/>
      <c r="AP14" s="219"/>
      <c r="AQ14" s="219"/>
      <c r="AR14" s="219"/>
      <c r="AS14" s="219"/>
      <c r="AT14" s="219"/>
      <c r="AU14" s="219"/>
      <c r="AV14" s="219"/>
      <c r="AW14" s="256"/>
      <c r="AX14" s="256"/>
      <c r="AY14" s="256"/>
      <c r="AZ14" s="256"/>
      <c r="BA14" s="256"/>
      <c r="BB14" s="256"/>
      <c r="BC14" s="256"/>
      <c r="BD14" s="256"/>
      <c r="BE14" s="256"/>
      <c r="BF14" s="256"/>
      <c r="BG14" s="256"/>
      <c r="BH14" s="256"/>
      <c r="BI14" s="256"/>
      <c r="BJ14" s="256"/>
      <c r="BK14" s="256"/>
      <c r="BL14" s="256"/>
      <c r="BM14" s="256"/>
      <c r="BN14" s="256"/>
      <c r="BO14" s="256"/>
      <c r="BP14" s="256"/>
      <c r="BQ14" s="256"/>
      <c r="BR14" s="256"/>
      <c r="BS14" s="256"/>
      <c r="BT14" s="256"/>
      <c r="CB14" s="534"/>
      <c r="CC14" s="534"/>
    </row>
    <row r="15" spans="1:81" ht="21.75" customHeight="1" thickBot="1" x14ac:dyDescent="0.3">
      <c r="A15" s="236">
        <f>IF('Master List'!A5=0," ",'Master List'!A5)</f>
        <v>95603579</v>
      </c>
      <c r="B15" s="395"/>
      <c r="C15" s="288">
        <v>10</v>
      </c>
      <c r="D15" s="805"/>
      <c r="E15" s="546" t="str">
        <f>IF('Master List'!$C5=0," ",'Master List'!$C5)</f>
        <v>L. TURNER</v>
      </c>
      <c r="F15" s="730" t="s">
        <v>90</v>
      </c>
      <c r="G15" s="727" t="s">
        <v>90</v>
      </c>
      <c r="H15" s="727">
        <v>3</v>
      </c>
      <c r="I15" s="731">
        <v>3</v>
      </c>
      <c r="J15" s="731">
        <v>3</v>
      </c>
      <c r="K15" s="727">
        <v>3</v>
      </c>
      <c r="L15" s="727">
        <v>3</v>
      </c>
      <c r="M15" s="726"/>
      <c r="N15" s="569"/>
      <c r="O15" s="513" t="str">
        <f>IF(F15="#",Z$11,IF(G15="#",Z$11,IF(H15="#",Z$11,IF(I15="#",Z$11,IF(J15="#",Z$11,IF(K15="#",Z$11,IF(L15="#",Z$11," ")))))))</f>
        <v xml:space="preserve"> </v>
      </c>
      <c r="Q15" s="228"/>
      <c r="R15" s="101"/>
      <c r="S15" s="229"/>
      <c r="T15" s="228"/>
      <c r="U15" s="455" t="s">
        <v>227</v>
      </c>
      <c r="V15" s="228"/>
      <c r="W15" s="228" t="s">
        <v>98</v>
      </c>
      <c r="AG15" s="30" t="str">
        <f t="shared" ref="AG15:AG29" si="8">IF(OR(F15="*3",F15="OT**",F15=3,F15="OT",F15="3V",F15="OTNV",F15="OTV",F15="3NV",F15="3*",F15="2OTBT",F15="OT*",F15="2OTET",F15="4OTET",F15="*OTBT",F15="*OTET"),1," ")</f>
        <v xml:space="preserve"> </v>
      </c>
      <c r="AH15" s="30" t="str">
        <f t="shared" ref="AH15:AH29" si="9">IF(OR(G15="*3",G15="OT**",G15=3,G15="OT",G15="3V",G15="OTNV",G15="OTV",G15="3NV",G15="3*",G15="2OTBT",G15="OT*",G15="2OTET",G15="4OTET",G15="*OTBT",G15="*OTET"),1," ")</f>
        <v xml:space="preserve"> </v>
      </c>
      <c r="AI15" s="30">
        <f t="shared" si="3"/>
        <v>1</v>
      </c>
      <c r="AJ15" s="30">
        <f t="shared" si="4"/>
        <v>1</v>
      </c>
      <c r="AK15" s="30">
        <f t="shared" si="5"/>
        <v>1</v>
      </c>
      <c r="AL15" s="30">
        <f t="shared" si="6"/>
        <v>1</v>
      </c>
      <c r="AM15" s="30">
        <f t="shared" si="7"/>
        <v>1</v>
      </c>
      <c r="AN15" s="540"/>
      <c r="AO15" s="219"/>
      <c r="AP15" s="219"/>
      <c r="AQ15" s="219"/>
      <c r="AR15" s="219"/>
      <c r="AS15" s="219"/>
      <c r="AT15" s="219"/>
      <c r="AU15" s="219"/>
      <c r="AV15" s="219"/>
      <c r="AW15" s="256"/>
      <c r="AX15" s="256"/>
      <c r="AY15" s="256"/>
      <c r="AZ15" s="256"/>
      <c r="BA15" s="256"/>
      <c r="BB15" s="256"/>
      <c r="BC15" s="256"/>
      <c r="BD15" s="256"/>
      <c r="BE15" s="256"/>
      <c r="BF15" s="256"/>
      <c r="BG15" s="256"/>
      <c r="BH15" s="256"/>
      <c r="BI15" s="256"/>
      <c r="BJ15" s="256"/>
      <c r="BK15" s="256"/>
      <c r="BL15" s="256"/>
      <c r="BM15" s="256"/>
      <c r="BN15" s="256"/>
      <c r="BO15" s="256"/>
      <c r="BP15" s="256"/>
      <c r="BQ15" s="256"/>
      <c r="BR15" s="256"/>
      <c r="BS15" s="256"/>
      <c r="BT15" s="256"/>
      <c r="CB15" s="534"/>
      <c r="CC15" s="534"/>
    </row>
    <row r="16" spans="1:81" ht="21.75" customHeight="1" thickBot="1" x14ac:dyDescent="0.3">
      <c r="A16" s="236">
        <f>IF('Master List'!A6=0," ",'Master List'!A6)</f>
        <v>95586177</v>
      </c>
      <c r="B16" s="396"/>
      <c r="C16" s="288">
        <v>10</v>
      </c>
      <c r="D16" s="662"/>
      <c r="E16" s="546" t="str">
        <f>IF('Master List'!$C6=0," ",'Master List'!$C6)</f>
        <v>D. BRINKLEY</v>
      </c>
      <c r="F16" s="730"/>
      <c r="G16" s="727" t="s">
        <v>200</v>
      </c>
      <c r="H16" s="727" t="s">
        <v>200</v>
      </c>
      <c r="I16" s="727" t="s">
        <v>200</v>
      </c>
      <c r="J16" s="727" t="s">
        <v>200</v>
      </c>
      <c r="K16" s="727" t="s">
        <v>200</v>
      </c>
      <c r="L16" s="727" t="s">
        <v>90</v>
      </c>
      <c r="M16" s="729" t="s">
        <v>354</v>
      </c>
      <c r="N16" s="569"/>
      <c r="O16" s="513" t="str">
        <f t="shared" ref="O16:O28" si="10">IF(F16="#",Z$11,IF(G16="#",Z$11,IF(H16="#",Z$11,IF(I16="#",Z$11,IF(J16="#",Z$11,IF(K16="#",Z$11,IF(L16="#",Z$11," ")))))))</f>
        <v xml:space="preserve"> </v>
      </c>
      <c r="P16" s="424"/>
      <c r="Q16" s="228"/>
      <c r="R16" s="101"/>
      <c r="S16" s="228"/>
      <c r="T16" s="228"/>
      <c r="U16" s="455" t="s">
        <v>226</v>
      </c>
      <c r="V16" s="228"/>
      <c r="W16" s="228" t="s">
        <v>100</v>
      </c>
      <c r="AG16" s="30" t="str">
        <f t="shared" si="8"/>
        <v xml:space="preserve"> </v>
      </c>
      <c r="AH16" s="30" t="str">
        <f t="shared" si="9"/>
        <v xml:space="preserve"> </v>
      </c>
      <c r="AI16" s="30" t="str">
        <f t="shared" si="3"/>
        <v xml:space="preserve"> </v>
      </c>
      <c r="AJ16" s="30" t="str">
        <f t="shared" si="4"/>
        <v xml:space="preserve"> </v>
      </c>
      <c r="AK16" s="30" t="str">
        <f t="shared" si="5"/>
        <v xml:space="preserve"> </v>
      </c>
      <c r="AL16" s="30" t="str">
        <f t="shared" si="6"/>
        <v xml:space="preserve"> </v>
      </c>
      <c r="AM16" s="30" t="str">
        <f t="shared" si="7"/>
        <v xml:space="preserve"> </v>
      </c>
      <c r="AN16" s="540"/>
      <c r="AO16" s="219"/>
      <c r="AP16" s="219"/>
      <c r="AQ16" s="219"/>
      <c r="AR16" s="219"/>
      <c r="AS16" s="219"/>
      <c r="AT16" s="219"/>
      <c r="AU16" s="219"/>
      <c r="AV16" s="219"/>
      <c r="AW16" s="256"/>
      <c r="AX16" s="256"/>
      <c r="AY16" s="256"/>
      <c r="AZ16" s="256"/>
      <c r="BA16" s="256"/>
      <c r="BB16" s="256"/>
      <c r="BC16" s="256"/>
      <c r="BD16" s="256"/>
      <c r="BE16" s="256"/>
      <c r="BF16" s="256"/>
      <c r="BG16" s="256"/>
      <c r="BH16" s="256"/>
      <c r="BI16" s="256"/>
      <c r="BJ16" s="256"/>
      <c r="BK16" s="256"/>
      <c r="BL16" s="256"/>
      <c r="BM16" s="256"/>
      <c r="BN16" s="256"/>
      <c r="BO16" s="256"/>
      <c r="BP16" s="256"/>
      <c r="BQ16" s="256"/>
      <c r="BR16" s="256"/>
      <c r="BS16" s="256"/>
      <c r="BT16" s="256"/>
      <c r="CB16" s="534"/>
      <c r="CC16" s="534"/>
    </row>
    <row r="17" spans="1:89" ht="21.75" customHeight="1" thickBot="1" x14ac:dyDescent="0.3">
      <c r="A17" s="236">
        <f>IF('Master List'!A7=0," ",'Master List'!A7)</f>
        <v>95782057</v>
      </c>
      <c r="B17" s="585"/>
      <c r="C17" s="288">
        <v>10</v>
      </c>
      <c r="D17" s="585"/>
      <c r="E17" s="546" t="str">
        <f>IF('Master List'!$C7=0," ",'Master List'!$C7)</f>
        <v>M. FRANTZ</v>
      </c>
      <c r="F17" s="730" t="s">
        <v>90</v>
      </c>
      <c r="G17" s="727" t="s">
        <v>90</v>
      </c>
      <c r="H17" s="727" t="s">
        <v>365</v>
      </c>
      <c r="I17" s="727" t="s">
        <v>103</v>
      </c>
      <c r="J17" s="732" t="s">
        <v>103</v>
      </c>
      <c r="K17" s="727" t="s">
        <v>103</v>
      </c>
      <c r="L17" s="727" t="s">
        <v>103</v>
      </c>
      <c r="M17" s="729" t="s">
        <v>372</v>
      </c>
      <c r="N17" s="569"/>
      <c r="O17" s="513" t="str">
        <f t="shared" si="10"/>
        <v xml:space="preserve"> </v>
      </c>
      <c r="R17" s="228"/>
      <c r="S17" s="228"/>
      <c r="T17" s="228">
        <v>1</v>
      </c>
      <c r="U17" s="100" t="s">
        <v>94</v>
      </c>
      <c r="V17" s="228"/>
      <c r="W17" s="228"/>
      <c r="AG17" s="30" t="str">
        <f t="shared" si="8"/>
        <v xml:space="preserve"> </v>
      </c>
      <c r="AH17" s="30" t="str">
        <f t="shared" si="9"/>
        <v xml:space="preserve"> </v>
      </c>
      <c r="AI17" s="30" t="str">
        <f t="shared" si="3"/>
        <v xml:space="preserve"> </v>
      </c>
      <c r="AJ17" s="30" t="str">
        <f t="shared" si="4"/>
        <v xml:space="preserve"> </v>
      </c>
      <c r="AK17" s="30" t="str">
        <f t="shared" si="5"/>
        <v xml:space="preserve"> </v>
      </c>
      <c r="AL17" s="30" t="str">
        <f t="shared" si="6"/>
        <v xml:space="preserve"> </v>
      </c>
      <c r="AM17" s="30" t="str">
        <f t="shared" si="7"/>
        <v xml:space="preserve"> </v>
      </c>
      <c r="AN17" s="540"/>
      <c r="AO17" s="219"/>
      <c r="AP17" s="219"/>
      <c r="AQ17" s="219"/>
      <c r="AR17" s="219"/>
      <c r="AS17" s="219"/>
      <c r="AT17" s="219"/>
      <c r="AU17" s="219"/>
      <c r="AV17" s="219"/>
      <c r="AW17" s="256"/>
      <c r="AX17" s="256"/>
      <c r="AY17" s="256"/>
      <c r="AZ17" s="256"/>
      <c r="BA17" s="256"/>
      <c r="BB17" s="256"/>
      <c r="BC17" s="256"/>
      <c r="BD17" s="256"/>
      <c r="BE17" s="256"/>
      <c r="BF17" s="256"/>
      <c r="BG17" s="256"/>
      <c r="BH17" s="256"/>
      <c r="BI17" s="256"/>
      <c r="BJ17" s="256"/>
      <c r="BK17" s="256"/>
      <c r="BL17" s="256"/>
      <c r="BM17" s="256"/>
      <c r="BN17" s="256"/>
      <c r="BO17" s="256"/>
      <c r="BP17" s="256"/>
      <c r="BQ17" s="256"/>
      <c r="BR17" s="256"/>
      <c r="BS17" s="256"/>
      <c r="BT17" s="256"/>
      <c r="CB17" s="534"/>
      <c r="CC17" s="534"/>
    </row>
    <row r="18" spans="1:89" ht="21.75" customHeight="1" thickBot="1" x14ac:dyDescent="0.3">
      <c r="A18" s="236">
        <f>IF('Master List'!A8=0," ",'Master List'!A8)</f>
        <v>95674066</v>
      </c>
      <c r="B18" s="807" t="s">
        <v>147</v>
      </c>
      <c r="C18" s="288">
        <v>10</v>
      </c>
      <c r="D18" s="662"/>
      <c r="E18" s="546" t="str">
        <f>IF('Master List'!$C8=0," ",'Master List'!$C8)</f>
        <v>L. JONES</v>
      </c>
      <c r="F18" s="730">
        <v>3</v>
      </c>
      <c r="G18" s="727">
        <v>3</v>
      </c>
      <c r="H18" s="727">
        <v>3</v>
      </c>
      <c r="I18" s="727">
        <v>3</v>
      </c>
      <c r="J18" s="732">
        <v>3</v>
      </c>
      <c r="K18" s="835" t="s">
        <v>93</v>
      </c>
      <c r="L18" s="727" t="s">
        <v>90</v>
      </c>
      <c r="M18" s="729"/>
      <c r="N18" s="569"/>
      <c r="O18" s="513" t="str">
        <f t="shared" si="10"/>
        <v xml:space="preserve"> </v>
      </c>
      <c r="Q18" s="228"/>
      <c r="R18" s="228"/>
      <c r="S18" s="228"/>
      <c r="T18" s="228"/>
      <c r="U18" s="232">
        <v>3</v>
      </c>
      <c r="V18" s="228"/>
      <c r="W18" s="228" t="s">
        <v>101</v>
      </c>
      <c r="AG18" s="30">
        <f t="shared" si="8"/>
        <v>1</v>
      </c>
      <c r="AH18" s="30">
        <f t="shared" si="9"/>
        <v>1</v>
      </c>
      <c r="AI18" s="30">
        <f t="shared" si="3"/>
        <v>1</v>
      </c>
      <c r="AJ18" s="30">
        <f t="shared" si="4"/>
        <v>1</v>
      </c>
      <c r="AK18" s="30">
        <f t="shared" si="5"/>
        <v>1</v>
      </c>
      <c r="AL18" s="30">
        <f t="shared" si="6"/>
        <v>1</v>
      </c>
      <c r="AM18" s="30" t="str">
        <f t="shared" si="7"/>
        <v xml:space="preserve"> </v>
      </c>
      <c r="AN18" s="540"/>
      <c r="AO18" s="219"/>
      <c r="AP18" s="219"/>
      <c r="AQ18" s="219"/>
      <c r="AR18" s="219"/>
      <c r="AS18" s="219"/>
      <c r="AT18" s="219"/>
      <c r="AU18" s="219"/>
      <c r="AV18" s="219"/>
      <c r="AW18" s="256"/>
      <c r="AX18" s="256"/>
      <c r="AY18" s="256"/>
      <c r="AZ18" s="256"/>
      <c r="BA18" s="256"/>
      <c r="BB18" s="256"/>
      <c r="BC18" s="256"/>
      <c r="BD18" s="256"/>
      <c r="BE18" s="256"/>
      <c r="BF18" s="256"/>
      <c r="BG18" s="256"/>
      <c r="BH18" s="256"/>
      <c r="BI18" s="256"/>
      <c r="BJ18" s="256"/>
      <c r="BK18" s="256"/>
      <c r="BL18" s="577"/>
      <c r="BM18" s="256"/>
      <c r="BN18" s="256"/>
      <c r="BO18" s="256"/>
      <c r="BP18" s="256"/>
      <c r="BQ18" s="256"/>
      <c r="BR18" s="256"/>
      <c r="BS18" s="256"/>
      <c r="BT18" s="256"/>
      <c r="CB18" s="219"/>
      <c r="CC18" s="219"/>
      <c r="CJ18" s="504"/>
    </row>
    <row r="19" spans="1:89" ht="21.75" customHeight="1" thickBot="1" x14ac:dyDescent="0.3">
      <c r="A19" s="236">
        <f>IF('Master List'!A9=0," ",'Master List'!A9)</f>
        <v>70755759</v>
      </c>
      <c r="B19" s="807" t="s">
        <v>147</v>
      </c>
      <c r="C19" s="288">
        <v>10</v>
      </c>
      <c r="D19" s="396"/>
      <c r="E19" s="546" t="str">
        <f>IF('Master List'!$C9=0," ",'Master List'!$C9)</f>
        <v>T. SHIELDS</v>
      </c>
      <c r="F19" s="733">
        <v>3</v>
      </c>
      <c r="G19" s="727">
        <v>3</v>
      </c>
      <c r="H19" s="727">
        <v>3</v>
      </c>
      <c r="I19" s="734">
        <v>3</v>
      </c>
      <c r="J19" s="835" t="s">
        <v>93</v>
      </c>
      <c r="K19" s="727" t="s">
        <v>90</v>
      </c>
      <c r="L19" s="727" t="s">
        <v>359</v>
      </c>
      <c r="M19" s="729"/>
      <c r="N19" s="569"/>
      <c r="O19" s="513" t="str">
        <f t="shared" si="10"/>
        <v xml:space="preserve"> </v>
      </c>
      <c r="R19" s="228"/>
      <c r="S19" s="860"/>
      <c r="T19" s="860"/>
      <c r="U19" s="232" t="s">
        <v>93</v>
      </c>
      <c r="V19" s="228"/>
      <c r="W19" s="228" t="s">
        <v>102</v>
      </c>
      <c r="AG19" s="30">
        <f t="shared" si="8"/>
        <v>1</v>
      </c>
      <c r="AH19" s="30">
        <f t="shared" si="9"/>
        <v>1</v>
      </c>
      <c r="AI19" s="30">
        <f t="shared" si="3"/>
        <v>1</v>
      </c>
      <c r="AJ19" s="30">
        <f t="shared" si="4"/>
        <v>1</v>
      </c>
      <c r="AK19" s="30">
        <f t="shared" si="5"/>
        <v>1</v>
      </c>
      <c r="AL19" s="30" t="str">
        <f t="shared" si="6"/>
        <v xml:space="preserve"> </v>
      </c>
      <c r="AM19" s="30" t="str">
        <f t="shared" si="7"/>
        <v xml:space="preserve"> </v>
      </c>
      <c r="AN19" s="540"/>
      <c r="AO19" s="219"/>
      <c r="AP19" s="219"/>
      <c r="AQ19" s="219"/>
      <c r="AR19" s="219"/>
      <c r="AS19" s="219"/>
      <c r="AT19" s="219"/>
      <c r="AU19" s="219"/>
      <c r="AV19" s="219"/>
      <c r="AW19" s="256"/>
      <c r="AX19" s="256"/>
      <c r="AY19" s="256"/>
      <c r="AZ19" s="256"/>
      <c r="BA19" s="256"/>
      <c r="BB19" s="256"/>
      <c r="BC19" s="256"/>
      <c r="BD19" s="256"/>
      <c r="BE19" s="256"/>
      <c r="BF19" s="256"/>
      <c r="BG19" s="256"/>
      <c r="BH19" s="256"/>
      <c r="BI19" s="256"/>
      <c r="BJ19" s="256"/>
      <c r="BK19" s="256"/>
      <c r="BL19" s="256"/>
      <c r="BM19" s="256"/>
      <c r="BN19" s="256"/>
      <c r="BO19" s="256"/>
      <c r="BP19" s="256"/>
      <c r="BQ19" s="256"/>
      <c r="BR19" s="256"/>
      <c r="BS19" s="256"/>
      <c r="BT19" s="256"/>
      <c r="CB19" s="219"/>
      <c r="CC19" s="219"/>
    </row>
    <row r="20" spans="1:89" ht="21.75" customHeight="1" thickBot="1" x14ac:dyDescent="0.3">
      <c r="A20" s="236">
        <f>IF('Master List'!A10=0," ",'Master List'!A10)</f>
        <v>95630318</v>
      </c>
      <c r="B20" s="694"/>
      <c r="C20" s="288">
        <v>10</v>
      </c>
      <c r="D20" s="396"/>
      <c r="E20" s="546" t="str">
        <f>IF('Master List'!$C10=0," ",'Master List'!$C10)</f>
        <v>D. BRUMIT</v>
      </c>
      <c r="F20" s="730">
        <v>3</v>
      </c>
      <c r="G20" s="727">
        <v>3</v>
      </c>
      <c r="H20" s="727">
        <v>3</v>
      </c>
      <c r="I20" s="727">
        <v>3</v>
      </c>
      <c r="J20" s="727">
        <v>3</v>
      </c>
      <c r="K20" s="835" t="s">
        <v>93</v>
      </c>
      <c r="L20" s="727" t="s">
        <v>90</v>
      </c>
      <c r="M20" s="729"/>
      <c r="N20" s="569"/>
      <c r="O20" s="513" t="str">
        <f t="shared" si="10"/>
        <v xml:space="preserve"> </v>
      </c>
      <c r="R20" s="228"/>
      <c r="S20" s="860"/>
      <c r="T20" s="860"/>
      <c r="U20" s="238"/>
      <c r="V20" s="228"/>
      <c r="W20" s="228"/>
      <c r="AG20" s="30">
        <f t="shared" si="8"/>
        <v>1</v>
      </c>
      <c r="AH20" s="30">
        <f t="shared" si="9"/>
        <v>1</v>
      </c>
      <c r="AI20" s="30">
        <f t="shared" si="3"/>
        <v>1</v>
      </c>
      <c r="AJ20" s="30">
        <f t="shared" si="4"/>
        <v>1</v>
      </c>
      <c r="AK20" s="30">
        <f t="shared" si="5"/>
        <v>1</v>
      </c>
      <c r="AL20" s="30">
        <f t="shared" si="6"/>
        <v>1</v>
      </c>
      <c r="AM20" s="30" t="str">
        <f t="shared" si="7"/>
        <v xml:space="preserve"> </v>
      </c>
      <c r="AN20" s="540"/>
      <c r="AO20" s="219"/>
      <c r="AP20" s="219"/>
      <c r="AQ20" s="219"/>
      <c r="AR20" s="219"/>
      <c r="AS20" s="219"/>
      <c r="AT20" s="219"/>
      <c r="AU20" s="219"/>
      <c r="AV20" s="219"/>
      <c r="AW20" s="256"/>
      <c r="AX20" s="256"/>
      <c r="AY20" s="256"/>
      <c r="AZ20" s="256"/>
      <c r="BA20" s="256"/>
      <c r="BB20" s="256"/>
      <c r="BC20" s="256"/>
      <c r="BD20" s="256"/>
      <c r="BE20" s="256"/>
      <c r="BF20" s="256"/>
      <c r="BG20" s="256"/>
      <c r="BH20" s="256"/>
      <c r="BI20" s="256"/>
      <c r="BJ20" s="256"/>
      <c r="BK20" s="256"/>
      <c r="BL20" s="256"/>
      <c r="BM20" s="256"/>
      <c r="BN20" s="256"/>
      <c r="BO20" s="256"/>
      <c r="BP20" s="256"/>
      <c r="BQ20" s="256"/>
      <c r="BR20" s="256"/>
      <c r="BS20" s="256"/>
      <c r="BT20" s="256"/>
      <c r="CB20" s="535" t="s">
        <v>268</v>
      </c>
      <c r="CC20" s="535" t="s">
        <v>269</v>
      </c>
    </row>
    <row r="21" spans="1:89" ht="21.75" customHeight="1" thickBot="1" x14ac:dyDescent="0.3">
      <c r="A21" s="236">
        <f>IF('Master List'!A11=0," ",'Master List'!A11)</f>
        <v>70214754</v>
      </c>
      <c r="B21" s="808" t="s">
        <v>147</v>
      </c>
      <c r="C21" s="288">
        <v>10</v>
      </c>
      <c r="D21" s="620" t="s">
        <v>147</v>
      </c>
      <c r="E21" s="546" t="str">
        <f>IF('Master List'!$C11=0," ",'Master List'!$C11)</f>
        <v>J. MAYER</v>
      </c>
      <c r="F21" s="730">
        <v>3</v>
      </c>
      <c r="G21" s="727">
        <v>3</v>
      </c>
      <c r="H21" s="727">
        <v>3</v>
      </c>
      <c r="I21" s="727">
        <v>3</v>
      </c>
      <c r="J21" s="727">
        <v>3</v>
      </c>
      <c r="K21" s="727" t="s">
        <v>90</v>
      </c>
      <c r="L21" s="735" t="s">
        <v>93</v>
      </c>
      <c r="M21" s="736"/>
      <c r="N21" s="570"/>
      <c r="O21" s="513" t="str">
        <f t="shared" si="10"/>
        <v xml:space="preserve"> </v>
      </c>
      <c r="R21" s="228"/>
      <c r="S21" s="228"/>
      <c r="T21" s="228"/>
      <c r="U21" s="232" t="s">
        <v>103</v>
      </c>
      <c r="V21" s="228"/>
      <c r="W21" s="228" t="s">
        <v>148</v>
      </c>
      <c r="AG21" s="30">
        <f t="shared" si="8"/>
        <v>1</v>
      </c>
      <c r="AH21" s="30">
        <f t="shared" si="9"/>
        <v>1</v>
      </c>
      <c r="AI21" s="30">
        <f t="shared" si="3"/>
        <v>1</v>
      </c>
      <c r="AJ21" s="30">
        <f t="shared" si="4"/>
        <v>1</v>
      </c>
      <c r="AK21" s="30">
        <f t="shared" si="5"/>
        <v>1</v>
      </c>
      <c r="AL21" s="30" t="str">
        <f t="shared" si="6"/>
        <v xml:space="preserve"> </v>
      </c>
      <c r="AM21" s="30">
        <f t="shared" si="7"/>
        <v>1</v>
      </c>
      <c r="AN21" s="540"/>
      <c r="AO21" s="219"/>
      <c r="AP21" s="219"/>
      <c r="AQ21" s="219"/>
      <c r="AR21" s="219"/>
      <c r="AS21" s="219"/>
      <c r="AT21" s="219"/>
      <c r="AU21" s="219"/>
      <c r="AV21" s="219"/>
      <c r="AW21" s="256"/>
      <c r="AX21" s="256"/>
      <c r="AY21" s="256"/>
      <c r="AZ21" s="256"/>
      <c r="BA21" s="256"/>
      <c r="BB21" s="256"/>
      <c r="BC21" s="256"/>
      <c r="BD21" s="256"/>
      <c r="BE21" s="256"/>
      <c r="BF21" s="256"/>
      <c r="BG21" s="256"/>
      <c r="BH21" s="256"/>
      <c r="BI21" s="256"/>
      <c r="BJ21" s="256"/>
      <c r="BK21" s="256"/>
      <c r="BL21" s="256"/>
      <c r="BM21" s="256"/>
      <c r="BN21" s="574"/>
      <c r="BO21" s="256"/>
      <c r="BP21" s="256"/>
      <c r="BQ21" s="256"/>
      <c r="BR21" s="256"/>
      <c r="BS21" s="256"/>
      <c r="BT21" s="256"/>
      <c r="BU21" s="256"/>
      <c r="CB21" s="536">
        <v>1</v>
      </c>
      <c r="CC21" s="537">
        <v>42364</v>
      </c>
    </row>
    <row r="22" spans="1:89" ht="21.75" customHeight="1" thickBot="1" x14ac:dyDescent="0.3">
      <c r="A22" s="236">
        <f>IF('Master List'!A12=0," ",'Master List'!A12)</f>
        <v>95618367</v>
      </c>
      <c r="B22" s="808" t="s">
        <v>147</v>
      </c>
      <c r="C22" s="288">
        <v>10</v>
      </c>
      <c r="D22" s="806" t="s">
        <v>147</v>
      </c>
      <c r="E22" s="546" t="str">
        <f>IF('Master List'!$C12=0," ",'Master List'!$C12)</f>
        <v>P. BRUCE</v>
      </c>
      <c r="F22" s="842" t="s">
        <v>93</v>
      </c>
      <c r="G22" s="727">
        <v>3</v>
      </c>
      <c r="H22" s="727" t="s">
        <v>90</v>
      </c>
      <c r="I22" s="727" t="s">
        <v>365</v>
      </c>
      <c r="J22" s="727" t="s">
        <v>103</v>
      </c>
      <c r="K22" s="727" t="s">
        <v>103</v>
      </c>
      <c r="L22" s="727" t="s">
        <v>365</v>
      </c>
      <c r="M22" s="729" t="s">
        <v>373</v>
      </c>
      <c r="N22" s="570"/>
      <c r="O22" s="513"/>
      <c r="AG22" s="30">
        <f t="shared" si="8"/>
        <v>1</v>
      </c>
      <c r="AH22" s="30">
        <f t="shared" si="9"/>
        <v>1</v>
      </c>
      <c r="AI22" s="30" t="str">
        <f t="shared" si="3"/>
        <v xml:space="preserve"> </v>
      </c>
      <c r="AJ22" s="30" t="str">
        <f t="shared" si="4"/>
        <v xml:space="preserve"> </v>
      </c>
      <c r="AK22" s="30" t="str">
        <f t="shared" si="5"/>
        <v xml:space="preserve"> </v>
      </c>
      <c r="AL22" s="30" t="str">
        <f t="shared" si="6"/>
        <v xml:space="preserve"> </v>
      </c>
      <c r="AM22" s="30" t="str">
        <f t="shared" si="7"/>
        <v xml:space="preserve"> </v>
      </c>
      <c r="AN22" s="540"/>
      <c r="AO22" s="219"/>
      <c r="AP22" s="219"/>
      <c r="AQ22" s="219"/>
      <c r="AR22" s="219"/>
      <c r="AS22" s="219"/>
      <c r="AT22" s="219"/>
      <c r="AU22" s="219"/>
      <c r="AV22" s="219"/>
      <c r="AW22" s="256"/>
      <c r="AX22" s="256"/>
      <c r="AY22" s="256"/>
      <c r="AZ22" s="256"/>
      <c r="BA22" s="256"/>
      <c r="BB22" s="256"/>
      <c r="BC22" s="256"/>
      <c r="BD22" s="256"/>
      <c r="BE22" s="256"/>
      <c r="BF22" s="256"/>
      <c r="BG22" s="256"/>
      <c r="BH22" s="256"/>
      <c r="BI22" s="256"/>
      <c r="BJ22" s="256"/>
      <c r="BK22" s="256"/>
      <c r="BL22" s="578"/>
      <c r="BM22" s="256"/>
      <c r="BN22" s="256"/>
      <c r="BO22" s="256"/>
      <c r="BP22" s="256"/>
      <c r="BQ22" s="256"/>
      <c r="BR22" s="256"/>
      <c r="BS22" s="256"/>
      <c r="BT22" s="256"/>
      <c r="BU22" s="256"/>
      <c r="CB22" s="536">
        <v>2</v>
      </c>
      <c r="CC22" s="537">
        <f>CC21+14</f>
        <v>42378</v>
      </c>
    </row>
    <row r="23" spans="1:89" ht="21.75" customHeight="1" thickBot="1" x14ac:dyDescent="0.3">
      <c r="A23" s="236">
        <f>IF('Master List'!A13=0," ",'Master List'!A13)</f>
        <v>95783319</v>
      </c>
      <c r="B23" s="808" t="s">
        <v>147</v>
      </c>
      <c r="C23" s="288">
        <v>10</v>
      </c>
      <c r="D23" s="824"/>
      <c r="E23" s="546" t="str">
        <f>IF('Master List'!$C13=0," ",'Master List'!$C13)</f>
        <v>T. PHAM</v>
      </c>
      <c r="F23" s="730">
        <v>3</v>
      </c>
      <c r="G23" s="727">
        <v>3</v>
      </c>
      <c r="H23" s="727">
        <v>3</v>
      </c>
      <c r="I23" s="835" t="s">
        <v>93</v>
      </c>
      <c r="J23" s="727" t="s">
        <v>90</v>
      </c>
      <c r="K23" s="727">
        <v>3</v>
      </c>
      <c r="L23" s="737">
        <v>3</v>
      </c>
      <c r="M23" s="729"/>
      <c r="N23" s="569"/>
      <c r="O23" s="513" t="str">
        <f t="shared" si="10"/>
        <v xml:space="preserve"> </v>
      </c>
      <c r="R23" s="228"/>
      <c r="S23" s="228"/>
      <c r="T23" s="228"/>
      <c r="U23" s="100" t="s">
        <v>97</v>
      </c>
      <c r="V23" s="228"/>
      <c r="W23" s="228"/>
      <c r="AG23" s="30">
        <f t="shared" si="8"/>
        <v>1</v>
      </c>
      <c r="AH23" s="30">
        <f t="shared" si="9"/>
        <v>1</v>
      </c>
      <c r="AI23" s="30">
        <f t="shared" si="3"/>
        <v>1</v>
      </c>
      <c r="AJ23" s="30">
        <f t="shared" si="4"/>
        <v>1</v>
      </c>
      <c r="AK23" s="30" t="str">
        <f t="shared" si="5"/>
        <v xml:space="preserve"> </v>
      </c>
      <c r="AL23" s="30">
        <f t="shared" si="6"/>
        <v>1</v>
      </c>
      <c r="AM23" s="30">
        <f t="shared" si="7"/>
        <v>1</v>
      </c>
      <c r="AN23" s="540"/>
      <c r="AO23" s="219"/>
      <c r="AP23" s="219"/>
      <c r="AQ23" s="219"/>
      <c r="AR23" s="219"/>
      <c r="AS23" s="219"/>
      <c r="AT23" s="219"/>
      <c r="AU23" s="219"/>
      <c r="AV23" s="219"/>
      <c r="AW23" s="256"/>
      <c r="AX23" s="256"/>
      <c r="AY23" s="256"/>
      <c r="AZ23" s="256"/>
      <c r="BA23" s="256"/>
      <c r="BB23" s="256"/>
      <c r="BC23" s="256"/>
      <c r="BD23" s="256"/>
      <c r="BE23" s="256"/>
      <c r="BF23" s="256"/>
      <c r="BG23" s="256"/>
      <c r="BH23" s="256"/>
      <c r="BI23" s="256"/>
      <c r="BJ23" s="256"/>
      <c r="BK23" s="256"/>
      <c r="BL23" s="256"/>
      <c r="BM23" s="256"/>
      <c r="BN23" s="256"/>
      <c r="BO23" s="256"/>
      <c r="BP23" s="256"/>
      <c r="BQ23" s="256"/>
      <c r="BR23" s="256"/>
      <c r="BS23" s="256"/>
      <c r="BT23" s="256"/>
      <c r="BU23" s="256"/>
      <c r="CB23" s="536">
        <v>3</v>
      </c>
      <c r="CC23" s="537">
        <f t="shared" ref="CC23:CC37" si="11">CC22+14</f>
        <v>42392</v>
      </c>
    </row>
    <row r="24" spans="1:89" ht="21.75" customHeight="1" thickBot="1" x14ac:dyDescent="0.3">
      <c r="A24" s="236">
        <f>IF('Master List'!A14=0," ",'Master List'!A14)</f>
        <v>70224073</v>
      </c>
      <c r="B24" s="808" t="s">
        <v>147</v>
      </c>
      <c r="C24" s="288">
        <v>10</v>
      </c>
      <c r="D24" s="806" t="s">
        <v>147</v>
      </c>
      <c r="E24" s="546" t="str">
        <f>IF('Master List'!$C14=0," ",'Master List'!$C14)</f>
        <v>C. PAN</v>
      </c>
      <c r="F24" s="730" t="s">
        <v>359</v>
      </c>
      <c r="G24" s="734">
        <v>3</v>
      </c>
      <c r="H24" s="735" t="s">
        <v>93</v>
      </c>
      <c r="I24" s="727" t="s">
        <v>90</v>
      </c>
      <c r="J24" s="727">
        <v>3</v>
      </c>
      <c r="K24" s="727">
        <v>3</v>
      </c>
      <c r="L24" s="728">
        <v>3</v>
      </c>
      <c r="M24" s="729"/>
      <c r="N24" s="569"/>
      <c r="O24" s="513"/>
      <c r="Q24" s="228"/>
      <c r="R24" s="228"/>
      <c r="S24" s="228"/>
      <c r="T24" s="228"/>
      <c r="U24" s="100"/>
      <c r="V24" s="228"/>
      <c r="W24" s="228"/>
      <c r="AG24" s="30" t="str">
        <f t="shared" si="8"/>
        <v xml:space="preserve"> </v>
      </c>
      <c r="AH24" s="30">
        <f t="shared" si="9"/>
        <v>1</v>
      </c>
      <c r="AI24" s="30">
        <f t="shared" si="3"/>
        <v>1</v>
      </c>
      <c r="AJ24" s="30" t="str">
        <f t="shared" si="4"/>
        <v xml:space="preserve"> </v>
      </c>
      <c r="AK24" s="30">
        <f t="shared" si="5"/>
        <v>1</v>
      </c>
      <c r="AL24" s="30">
        <f t="shared" si="6"/>
        <v>1</v>
      </c>
      <c r="AM24" s="30">
        <f t="shared" si="7"/>
        <v>1</v>
      </c>
      <c r="AN24" s="540"/>
      <c r="AO24" s="219"/>
      <c r="AP24" s="219"/>
      <c r="AQ24" s="219"/>
      <c r="AR24" s="219"/>
      <c r="AS24" s="219"/>
      <c r="AT24" s="219"/>
      <c r="AU24" s="219"/>
      <c r="AV24" s="219"/>
      <c r="AW24" s="256"/>
      <c r="AX24" s="256"/>
      <c r="AY24" s="256"/>
      <c r="AZ24" s="256"/>
      <c r="BA24" s="256"/>
      <c r="BB24" s="256"/>
      <c r="BC24" s="256"/>
      <c r="BD24" s="256"/>
      <c r="BE24" s="256"/>
      <c r="BF24" s="256"/>
      <c r="BG24" s="256"/>
      <c r="BH24" s="256"/>
      <c r="BI24" s="256"/>
      <c r="BJ24" s="256"/>
      <c r="BK24" s="256"/>
      <c r="BL24" s="256"/>
      <c r="BM24" s="256"/>
      <c r="BN24" s="574"/>
      <c r="BO24" s="256"/>
      <c r="BP24" s="256"/>
      <c r="BQ24" s="256"/>
      <c r="BR24" s="256"/>
      <c r="BS24" s="256"/>
      <c r="BT24" s="256"/>
      <c r="BU24" s="256"/>
      <c r="CB24" s="536">
        <v>4</v>
      </c>
      <c r="CC24" s="537">
        <f t="shared" si="11"/>
        <v>42406</v>
      </c>
    </row>
    <row r="25" spans="1:89" ht="21.75" customHeight="1" thickBot="1" x14ac:dyDescent="0.3">
      <c r="A25" s="236">
        <f>IF('Master List'!A15=0," ",'Master List'!A15)</f>
        <v>95501687</v>
      </c>
      <c r="B25" s="662"/>
      <c r="C25" s="288">
        <v>10</v>
      </c>
      <c r="D25" s="694"/>
      <c r="E25" s="546" t="str">
        <f>IF('Master List'!$C15=0," ",'Master List'!$C15)</f>
        <v>T. CHEN</v>
      </c>
      <c r="F25" s="730">
        <v>3</v>
      </c>
      <c r="G25" s="835" t="s">
        <v>93</v>
      </c>
      <c r="H25" s="727" t="s">
        <v>90</v>
      </c>
      <c r="I25" s="727">
        <v>3</v>
      </c>
      <c r="J25" s="727">
        <v>3</v>
      </c>
      <c r="K25" s="727">
        <v>3</v>
      </c>
      <c r="L25" s="728">
        <v>3</v>
      </c>
      <c r="M25" s="729"/>
      <c r="N25" s="569"/>
      <c r="O25" s="513"/>
      <c r="S25" s="228"/>
      <c r="T25" s="228"/>
      <c r="U25" s="232" t="s">
        <v>90</v>
      </c>
      <c r="V25" s="228"/>
      <c r="W25" s="228" t="s">
        <v>104</v>
      </c>
      <c r="AG25" s="30">
        <f t="shared" si="8"/>
        <v>1</v>
      </c>
      <c r="AH25" s="30">
        <f t="shared" si="9"/>
        <v>1</v>
      </c>
      <c r="AI25" s="30" t="str">
        <f t="shared" si="3"/>
        <v xml:space="preserve"> </v>
      </c>
      <c r="AJ25" s="30">
        <f t="shared" si="4"/>
        <v>1</v>
      </c>
      <c r="AK25" s="30">
        <f t="shared" si="5"/>
        <v>1</v>
      </c>
      <c r="AL25" s="30">
        <f t="shared" si="6"/>
        <v>1</v>
      </c>
      <c r="AM25" s="30">
        <f t="shared" si="7"/>
        <v>1</v>
      </c>
      <c r="AN25" s="540"/>
      <c r="AO25" s="219"/>
      <c r="AP25" s="219"/>
      <c r="AQ25" s="219"/>
      <c r="AR25" s="219"/>
      <c r="AS25" s="219"/>
      <c r="AT25" s="219"/>
      <c r="AU25" s="219"/>
      <c r="AV25" s="219"/>
      <c r="AW25" s="256"/>
      <c r="AX25" s="256"/>
      <c r="AY25" s="256"/>
      <c r="AZ25" s="256"/>
      <c r="BA25" s="256"/>
      <c r="BB25" s="256"/>
      <c r="BC25" s="256"/>
      <c r="BD25" s="256"/>
      <c r="BE25" s="256"/>
      <c r="BF25" s="256"/>
      <c r="BG25" s="256"/>
      <c r="BH25" s="256"/>
      <c r="BI25" s="256"/>
      <c r="BJ25" s="256"/>
      <c r="BK25" s="256"/>
      <c r="BL25" s="256"/>
      <c r="BM25" s="256"/>
      <c r="BN25" s="256"/>
      <c r="BO25" s="256"/>
      <c r="BP25" s="256"/>
      <c r="BQ25" s="256"/>
      <c r="BR25" s="256"/>
      <c r="BS25" s="256"/>
      <c r="BT25" s="256"/>
      <c r="BU25" s="256"/>
      <c r="CB25" s="536">
        <v>5</v>
      </c>
      <c r="CC25" s="537">
        <f t="shared" si="11"/>
        <v>42420</v>
      </c>
      <c r="CJ25" s="505"/>
      <c r="CK25" s="505"/>
    </row>
    <row r="26" spans="1:89" ht="21.75" customHeight="1" thickBot="1" x14ac:dyDescent="0.3">
      <c r="A26" s="236">
        <f>IF('Master List'!A16=0," ",'Master List'!A16)</f>
        <v>95618367</v>
      </c>
      <c r="B26" s="833" t="s">
        <v>147</v>
      </c>
      <c r="C26" s="288">
        <v>10</v>
      </c>
      <c r="D26" s="806" t="s">
        <v>147</v>
      </c>
      <c r="E26" s="546" t="str">
        <f>IF('Master List'!$C16=0," ",'Master List'!$C16)</f>
        <v>W. STIERS</v>
      </c>
      <c r="F26" s="730" t="s">
        <v>200</v>
      </c>
      <c r="G26" s="727" t="s">
        <v>200</v>
      </c>
      <c r="H26" s="727" t="s">
        <v>200</v>
      </c>
      <c r="I26" s="731" t="s">
        <v>200</v>
      </c>
      <c r="J26" s="731" t="s">
        <v>200</v>
      </c>
      <c r="K26" s="727" t="s">
        <v>200</v>
      </c>
      <c r="L26" s="728" t="s">
        <v>200</v>
      </c>
      <c r="M26" s="729" t="s">
        <v>342</v>
      </c>
      <c r="N26" s="569"/>
      <c r="O26" s="513" t="str">
        <f t="shared" si="10"/>
        <v xml:space="preserve"> </v>
      </c>
      <c r="S26" s="228"/>
      <c r="T26" s="228"/>
      <c r="U26" s="232"/>
      <c r="V26" s="228"/>
      <c r="W26" s="228"/>
      <c r="AG26" s="30" t="str">
        <f t="shared" si="8"/>
        <v xml:space="preserve"> </v>
      </c>
      <c r="AH26" s="30" t="str">
        <f t="shared" si="9"/>
        <v xml:space="preserve"> </v>
      </c>
      <c r="AI26" s="30" t="str">
        <f t="shared" si="3"/>
        <v xml:space="preserve"> </v>
      </c>
      <c r="AJ26" s="30" t="str">
        <f t="shared" si="4"/>
        <v xml:space="preserve"> </v>
      </c>
      <c r="AK26" s="30" t="str">
        <f t="shared" si="5"/>
        <v xml:space="preserve"> </v>
      </c>
      <c r="AL26" s="30" t="str">
        <f t="shared" si="6"/>
        <v xml:space="preserve"> </v>
      </c>
      <c r="AM26" s="30" t="str">
        <f t="shared" si="7"/>
        <v xml:space="preserve"> </v>
      </c>
      <c r="AN26" s="540"/>
      <c r="AO26" s="219"/>
      <c r="AP26" s="219"/>
      <c r="AQ26" s="219"/>
      <c r="AR26" s="219"/>
      <c r="AS26" s="219"/>
      <c r="AT26" s="219"/>
      <c r="AU26" s="219"/>
      <c r="AV26" s="219"/>
      <c r="AW26" s="256"/>
      <c r="AX26" s="256"/>
      <c r="AY26" s="256"/>
      <c r="AZ26" s="256"/>
      <c r="BA26" s="256"/>
      <c r="BB26" s="256"/>
      <c r="BC26" s="256"/>
      <c r="BD26" s="256"/>
      <c r="BE26" s="256"/>
      <c r="BF26" s="256"/>
      <c r="BG26" s="256"/>
      <c r="BH26" s="256"/>
      <c r="BI26" s="256"/>
      <c r="BJ26" s="256"/>
      <c r="BK26" s="256"/>
      <c r="BL26" s="256"/>
      <c r="BM26" s="256"/>
      <c r="BN26" s="574"/>
      <c r="BO26" s="574"/>
      <c r="BP26" s="574"/>
      <c r="BQ26" s="574"/>
      <c r="BR26" s="574"/>
      <c r="BS26" s="256"/>
      <c r="BT26" s="574"/>
      <c r="BU26" s="574"/>
      <c r="CB26" s="536">
        <v>6</v>
      </c>
      <c r="CC26" s="537">
        <f t="shared" si="11"/>
        <v>42434</v>
      </c>
    </row>
    <row r="27" spans="1:89" ht="21.75" customHeight="1" thickBot="1" x14ac:dyDescent="0.3">
      <c r="A27" s="236">
        <f>IF('Master List'!A17=0," ",'Master List'!A17)</f>
        <v>71324029</v>
      </c>
      <c r="B27" s="833" t="s">
        <v>147</v>
      </c>
      <c r="C27" s="288">
        <v>10</v>
      </c>
      <c r="D27" s="806" t="s">
        <v>147</v>
      </c>
      <c r="E27" s="546" t="str">
        <f>IF('Master List'!$C17=0," ",'Master List'!$C17)</f>
        <v>J. HILL</v>
      </c>
      <c r="F27" s="730">
        <v>3</v>
      </c>
      <c r="G27" s="727">
        <v>3</v>
      </c>
      <c r="H27" s="727">
        <v>3</v>
      </c>
      <c r="I27" s="727">
        <v>3</v>
      </c>
      <c r="J27" s="735" t="s">
        <v>93</v>
      </c>
      <c r="K27" s="727" t="s">
        <v>90</v>
      </c>
      <c r="L27" s="728">
        <v>3</v>
      </c>
      <c r="M27" s="729"/>
      <c r="N27" s="569"/>
      <c r="O27" s="513" t="str">
        <f t="shared" si="10"/>
        <v xml:space="preserve"> </v>
      </c>
      <c r="S27" s="228"/>
      <c r="T27" s="228"/>
      <c r="U27" s="232"/>
      <c r="V27" s="228"/>
      <c r="W27" s="228"/>
      <c r="AG27" s="30">
        <f t="shared" si="8"/>
        <v>1</v>
      </c>
      <c r="AH27" s="30">
        <f t="shared" si="9"/>
        <v>1</v>
      </c>
      <c r="AI27" s="30">
        <f t="shared" si="3"/>
        <v>1</v>
      </c>
      <c r="AJ27" s="30">
        <f t="shared" si="4"/>
        <v>1</v>
      </c>
      <c r="AK27" s="30">
        <f t="shared" si="5"/>
        <v>1</v>
      </c>
      <c r="AL27" s="30" t="str">
        <f t="shared" si="6"/>
        <v xml:space="preserve"> </v>
      </c>
      <c r="AM27" s="30">
        <f t="shared" si="7"/>
        <v>1</v>
      </c>
      <c r="AN27" s="540"/>
      <c r="AO27" s="219"/>
      <c r="AP27" s="219"/>
      <c r="AQ27" s="219"/>
      <c r="AR27" s="219"/>
      <c r="AS27" s="219"/>
      <c r="AT27" s="219"/>
      <c r="AU27" s="219"/>
      <c r="AV27" s="219"/>
      <c r="AW27" s="256"/>
      <c r="AX27" s="256"/>
      <c r="AY27" s="256"/>
      <c r="AZ27" s="256"/>
      <c r="BA27" s="256"/>
      <c r="BB27" s="256"/>
      <c r="BC27" s="256"/>
      <c r="BD27" s="256"/>
      <c r="BE27" s="256"/>
      <c r="BF27" s="256"/>
      <c r="BG27" s="256"/>
      <c r="BH27" s="256"/>
      <c r="BI27" s="256"/>
      <c r="BJ27" s="579"/>
      <c r="BK27" s="256"/>
      <c r="BL27" s="256"/>
      <c r="BM27" s="256"/>
      <c r="BN27" s="256"/>
      <c r="BO27" s="256"/>
      <c r="BP27" s="256"/>
      <c r="BQ27" s="256"/>
      <c r="BR27" s="256"/>
      <c r="BS27" s="256"/>
      <c r="BT27" s="256"/>
      <c r="CB27" s="536">
        <v>7</v>
      </c>
      <c r="CC27" s="537">
        <f t="shared" si="11"/>
        <v>42448</v>
      </c>
    </row>
    <row r="28" spans="1:89" ht="21.75" customHeight="1" thickBot="1" x14ac:dyDescent="0.3">
      <c r="A28" s="236">
        <f>IF('Master List'!A18=0," ",'Master List'!A18)</f>
        <v>71324026</v>
      </c>
      <c r="B28" s="694"/>
      <c r="C28" s="288">
        <v>10</v>
      </c>
      <c r="D28" s="694"/>
      <c r="E28" s="546" t="str">
        <f>IF('Master List'!$C18=0," ",'Master List'!$C18)</f>
        <v>C. SANGEL</v>
      </c>
      <c r="F28" s="730">
        <v>3</v>
      </c>
      <c r="G28" s="727">
        <v>3</v>
      </c>
      <c r="H28" s="727" t="s">
        <v>90</v>
      </c>
      <c r="I28" s="835" t="s">
        <v>93</v>
      </c>
      <c r="J28" s="731">
        <v>3</v>
      </c>
      <c r="K28" s="727">
        <v>3</v>
      </c>
      <c r="L28" s="728">
        <v>3</v>
      </c>
      <c r="M28" s="739"/>
      <c r="N28" s="571"/>
      <c r="O28" s="513" t="str">
        <f t="shared" si="10"/>
        <v xml:space="preserve"> </v>
      </c>
      <c r="S28" s="228"/>
      <c r="T28" s="228"/>
      <c r="U28" s="232"/>
      <c r="V28" s="228"/>
      <c r="W28" s="228"/>
      <c r="AG28" s="30">
        <f t="shared" ref="AG28:AM28" si="12">IF(OR(F28="*3",F28="OT**",F28=3,F28="OT",F28="3V",F28="OTNV",F28="OTV",F28="3NV",F28="3*",F28="2OTBT",F28="OT*",F28="2OTET",F28="4OTET",F28="*OTBT",F28="*OTET"),1," ")</f>
        <v>1</v>
      </c>
      <c r="AH28" s="30">
        <f t="shared" si="12"/>
        <v>1</v>
      </c>
      <c r="AI28" s="30" t="str">
        <f t="shared" si="12"/>
        <v xml:space="preserve"> </v>
      </c>
      <c r="AJ28" s="30">
        <f t="shared" si="12"/>
        <v>1</v>
      </c>
      <c r="AK28" s="30">
        <f t="shared" si="12"/>
        <v>1</v>
      </c>
      <c r="AL28" s="30">
        <f t="shared" si="12"/>
        <v>1</v>
      </c>
      <c r="AM28" s="30">
        <f t="shared" si="12"/>
        <v>1</v>
      </c>
      <c r="AN28" s="540"/>
      <c r="AO28" s="219"/>
      <c r="AP28" s="219"/>
      <c r="AQ28" s="219"/>
      <c r="AR28" s="219"/>
      <c r="AS28" s="219"/>
      <c r="AT28" s="219"/>
      <c r="AU28" s="219"/>
      <c r="AV28" s="219"/>
      <c r="AW28" s="256"/>
      <c r="AX28" s="256"/>
      <c r="AY28" s="256"/>
      <c r="AZ28" s="256"/>
      <c r="BA28" s="256"/>
      <c r="BB28" s="256"/>
      <c r="BC28" s="256"/>
      <c r="BD28" s="256"/>
      <c r="BE28" s="256"/>
      <c r="BF28" s="256"/>
      <c r="BG28" s="256"/>
      <c r="BH28" s="256"/>
      <c r="BI28" s="256"/>
      <c r="BK28" s="256"/>
      <c r="BL28" s="256"/>
      <c r="BM28" s="256"/>
      <c r="BN28" s="256"/>
      <c r="BO28" s="256"/>
      <c r="BP28" s="256"/>
      <c r="BQ28" s="256"/>
      <c r="BR28" s="256"/>
      <c r="BS28" s="256"/>
      <c r="BT28" s="256"/>
      <c r="CB28" s="536">
        <v>8</v>
      </c>
      <c r="CC28" s="537">
        <f t="shared" si="11"/>
        <v>42462</v>
      </c>
      <c r="CJ28" s="505"/>
      <c r="CK28" s="505"/>
    </row>
    <row r="29" spans="1:89" ht="21.75" customHeight="1" thickBot="1" x14ac:dyDescent="0.3">
      <c r="A29" s="236">
        <f>IF('Master List'!A19=0," ",'Master List'!A19)</f>
        <v>95731743</v>
      </c>
      <c r="B29" s="662"/>
      <c r="C29" s="288">
        <v>10</v>
      </c>
      <c r="D29" s="694"/>
      <c r="E29" s="546" t="str">
        <f>IF('Master List'!$C19=0," ",'Master List'!$C19)</f>
        <v>T. GILES</v>
      </c>
      <c r="F29" s="843" t="s">
        <v>365</v>
      </c>
      <c r="G29" s="727" t="s">
        <v>90</v>
      </c>
      <c r="H29" s="727">
        <v>3</v>
      </c>
      <c r="I29" s="731">
        <v>3</v>
      </c>
      <c r="J29" s="727">
        <v>3</v>
      </c>
      <c r="K29" s="727">
        <v>3</v>
      </c>
      <c r="L29" s="728">
        <v>3</v>
      </c>
      <c r="M29" s="726"/>
      <c r="N29" s="512"/>
      <c r="O29" s="513"/>
      <c r="R29" s="228"/>
      <c r="S29" s="228"/>
      <c r="T29" s="228"/>
      <c r="U29" s="232" t="s">
        <v>66</v>
      </c>
      <c r="V29" s="228"/>
      <c r="W29" s="228" t="s">
        <v>105</v>
      </c>
      <c r="AG29" s="30" t="str">
        <f t="shared" si="8"/>
        <v xml:space="preserve"> </v>
      </c>
      <c r="AH29" s="30" t="str">
        <f t="shared" si="9"/>
        <v xml:space="preserve"> </v>
      </c>
      <c r="AI29" s="30">
        <f t="shared" si="3"/>
        <v>1</v>
      </c>
      <c r="AJ29" s="30">
        <f t="shared" si="4"/>
        <v>1</v>
      </c>
      <c r="AK29" s="30">
        <f t="shared" si="5"/>
        <v>1</v>
      </c>
      <c r="AL29" s="30">
        <f t="shared" si="6"/>
        <v>1</v>
      </c>
      <c r="AM29" s="30">
        <f t="shared" si="7"/>
        <v>1</v>
      </c>
      <c r="AN29" s="540"/>
      <c r="AO29" s="219"/>
      <c r="AP29" s="219"/>
      <c r="AQ29" s="219"/>
      <c r="AR29" s="219"/>
      <c r="AS29" s="219"/>
      <c r="AT29" s="219"/>
      <c r="AU29" s="219"/>
      <c r="AV29" s="219"/>
      <c r="AW29" s="256"/>
      <c r="AX29" s="256"/>
      <c r="AY29" s="256"/>
      <c r="AZ29" s="256"/>
      <c r="BA29" s="256"/>
      <c r="BB29" s="256"/>
      <c r="BC29" s="256"/>
      <c r="BD29" s="256"/>
      <c r="BE29" s="256"/>
      <c r="BF29" s="256"/>
      <c r="BG29" s="256"/>
      <c r="BH29" s="256"/>
      <c r="BI29" s="256"/>
      <c r="BJ29" s="256"/>
      <c r="BK29" s="256"/>
      <c r="BL29" s="256"/>
      <c r="BM29" s="256"/>
      <c r="BN29" s="256"/>
      <c r="BO29" s="256"/>
      <c r="BP29" s="256"/>
      <c r="BQ29" s="256"/>
      <c r="BR29" s="256"/>
      <c r="BS29" s="256"/>
      <c r="BT29" s="256"/>
      <c r="CB29" s="536">
        <v>9</v>
      </c>
      <c r="CC29" s="537">
        <f t="shared" si="11"/>
        <v>42476</v>
      </c>
    </row>
    <row r="30" spans="1:89" ht="21.75" customHeight="1" thickBot="1" x14ac:dyDescent="0.3">
      <c r="A30" s="236">
        <f>IF('Master List'!A20=0," ",'Master List'!A20)</f>
        <v>95735491</v>
      </c>
      <c r="B30" s="808" t="s">
        <v>147</v>
      </c>
      <c r="C30" s="288">
        <v>10</v>
      </c>
      <c r="D30" s="694"/>
      <c r="E30" s="546" t="str">
        <f>IF('Master List'!$C20=0," ",'Master List'!$C20)</f>
        <v>S. HERNANDEZ</v>
      </c>
      <c r="F30" s="841" t="s">
        <v>93</v>
      </c>
      <c r="G30" s="727" t="s">
        <v>90</v>
      </c>
      <c r="H30" s="727">
        <v>3</v>
      </c>
      <c r="I30" s="727">
        <v>3</v>
      </c>
      <c r="J30" s="727">
        <v>3</v>
      </c>
      <c r="K30" s="727">
        <v>3</v>
      </c>
      <c r="L30" s="728">
        <v>3</v>
      </c>
      <c r="M30" s="726"/>
      <c r="N30" s="514"/>
      <c r="O30" s="513" t="str">
        <f>IF(F30="#",Z$11,IF(G30="#",Z$11,IF(H30="#",Z$11,IF(I30="#",Z$11,IF(J30="#",Z$11,IF(K30="#",Z$11,IF(L30="#",Z$11," ")))))))</f>
        <v xml:space="preserve"> </v>
      </c>
      <c r="Q30" s="228"/>
      <c r="R30" s="228"/>
      <c r="S30" s="228"/>
      <c r="T30" s="228"/>
      <c r="U30" s="238">
        <v>0</v>
      </c>
      <c r="V30" s="228"/>
      <c r="W30" s="228" t="s">
        <v>106</v>
      </c>
      <c r="AG30" s="30">
        <f t="shared" ref="AG30:AM32" si="13">IF(OR(F30="*3",F30="OT**",F30=3,F30="OT",F30="3V",F30="OTNV",F30="OTV",F30="3NV",F30="3*",F30="2OTBT",F30="OT*",F30="2OTET",F30="4OTET",F30="*OTBT",F30="*OTET"),1," ")</f>
        <v>1</v>
      </c>
      <c r="AH30" s="30" t="str">
        <f t="shared" si="13"/>
        <v xml:space="preserve"> </v>
      </c>
      <c r="AI30" s="30">
        <f t="shared" si="13"/>
        <v>1</v>
      </c>
      <c r="AJ30" s="30">
        <f t="shared" si="13"/>
        <v>1</v>
      </c>
      <c r="AK30" s="30">
        <f t="shared" si="13"/>
        <v>1</v>
      </c>
      <c r="AL30" s="30">
        <f t="shared" si="13"/>
        <v>1</v>
      </c>
      <c r="AM30" s="30">
        <f t="shared" si="13"/>
        <v>1</v>
      </c>
      <c r="AN30" s="540"/>
      <c r="AO30" s="219"/>
      <c r="AP30" s="219"/>
      <c r="AQ30" s="219"/>
      <c r="AR30" s="219"/>
      <c r="AS30" s="219"/>
      <c r="AT30" s="219"/>
      <c r="AU30" s="219"/>
      <c r="AV30" s="219"/>
      <c r="AW30" s="256"/>
      <c r="AX30" s="256"/>
      <c r="AY30" s="256"/>
      <c r="AZ30" s="256"/>
      <c r="BA30" s="256"/>
      <c r="BB30" s="256"/>
      <c r="BC30" s="256"/>
      <c r="BD30" s="256"/>
      <c r="BE30" s="256"/>
      <c r="BF30" s="256"/>
      <c r="BG30" s="256"/>
      <c r="BH30" s="256"/>
      <c r="BI30" s="256"/>
      <c r="BJ30" s="256"/>
      <c r="BK30" s="256"/>
      <c r="BL30" s="256"/>
      <c r="BM30" s="256"/>
      <c r="BN30" s="256"/>
      <c r="BO30" s="256"/>
      <c r="BP30" s="256"/>
      <c r="BQ30" s="256"/>
      <c r="BR30" s="256"/>
      <c r="BS30" s="256"/>
      <c r="BT30" s="256"/>
      <c r="CB30" s="536">
        <v>10</v>
      </c>
      <c r="CC30" s="537">
        <f t="shared" si="11"/>
        <v>42490</v>
      </c>
    </row>
    <row r="31" spans="1:89" ht="21.75" customHeight="1" thickBot="1" x14ac:dyDescent="0.3">
      <c r="A31" s="236">
        <f>IF('Master List'!A21=0," ",'Master List'!A21)</f>
        <v>95842831</v>
      </c>
      <c r="B31" s="662"/>
      <c r="C31" s="288">
        <v>10</v>
      </c>
      <c r="D31" s="694"/>
      <c r="E31" s="546" t="str">
        <f>IF('Master List'!$C21=0," ",'Master List'!$C21)</f>
        <v>S. ALEXANDER</v>
      </c>
      <c r="F31" s="730">
        <v>3</v>
      </c>
      <c r="G31" s="727">
        <v>3</v>
      </c>
      <c r="H31" s="727">
        <v>3</v>
      </c>
      <c r="I31" s="727" t="s">
        <v>90</v>
      </c>
      <c r="J31" s="727" t="s">
        <v>90</v>
      </c>
      <c r="K31" s="727">
        <v>3</v>
      </c>
      <c r="L31" s="728">
        <v>3</v>
      </c>
      <c r="M31" s="726"/>
      <c r="N31" s="567"/>
      <c r="O31" s="568"/>
      <c r="Q31" s="228"/>
      <c r="R31" s="228"/>
      <c r="S31" s="228"/>
      <c r="T31" s="228"/>
      <c r="U31" s="238"/>
      <c r="V31" s="228"/>
      <c r="W31" s="228"/>
      <c r="AG31" s="30">
        <f t="shared" si="13"/>
        <v>1</v>
      </c>
      <c r="AH31" s="30">
        <f t="shared" si="13"/>
        <v>1</v>
      </c>
      <c r="AI31" s="30">
        <f t="shared" si="13"/>
        <v>1</v>
      </c>
      <c r="AJ31" s="30" t="str">
        <f t="shared" si="13"/>
        <v xml:space="preserve"> </v>
      </c>
      <c r="AK31" s="30" t="str">
        <f t="shared" si="13"/>
        <v xml:space="preserve"> </v>
      </c>
      <c r="AL31" s="30">
        <f t="shared" si="13"/>
        <v>1</v>
      </c>
      <c r="AM31" s="30">
        <f t="shared" si="13"/>
        <v>1</v>
      </c>
      <c r="AN31" s="540"/>
      <c r="AO31" s="219"/>
      <c r="AP31" s="219"/>
      <c r="AQ31" s="219"/>
      <c r="AR31" s="219"/>
      <c r="AS31" s="219"/>
      <c r="AT31" s="219"/>
      <c r="AU31" s="219"/>
      <c r="AV31" s="219"/>
      <c r="AW31" s="256"/>
      <c r="AX31" s="256"/>
      <c r="AY31" s="256"/>
      <c r="AZ31" s="256"/>
      <c r="BA31" s="256"/>
      <c r="BB31" s="256"/>
      <c r="BC31" s="256"/>
      <c r="BD31" s="256"/>
      <c r="BE31" s="256"/>
      <c r="BF31" s="256"/>
      <c r="BG31" s="256"/>
      <c r="BH31" s="256"/>
      <c r="BI31" s="256"/>
      <c r="BJ31" s="256"/>
      <c r="BK31" s="256"/>
      <c r="BL31" s="256"/>
      <c r="BM31" s="256"/>
      <c r="BN31" s="256"/>
      <c r="BO31" s="256"/>
      <c r="BP31" s="256"/>
      <c r="BQ31" s="256"/>
      <c r="BR31" s="256"/>
      <c r="BS31" s="256"/>
      <c r="BT31" s="256"/>
      <c r="CB31" s="536">
        <v>11</v>
      </c>
      <c r="CC31" s="537">
        <f t="shared" si="11"/>
        <v>42504</v>
      </c>
    </row>
    <row r="32" spans="1:89" ht="21.75" customHeight="1" thickBot="1" x14ac:dyDescent="0.3">
      <c r="A32" s="236">
        <f>IF('Master List'!A22=0," ",'Master List'!A22)</f>
        <v>95699640</v>
      </c>
      <c r="B32" s="826" t="s">
        <v>147</v>
      </c>
      <c r="C32" s="288">
        <v>10</v>
      </c>
      <c r="D32" s="806" t="s">
        <v>147</v>
      </c>
      <c r="E32" s="546" t="str">
        <f>IF('Master List'!$C22=0," ",'Master List'!$C22)</f>
        <v>Y. KWAN</v>
      </c>
      <c r="F32" s="730" t="s">
        <v>90</v>
      </c>
      <c r="G32" s="727" t="s">
        <v>90</v>
      </c>
      <c r="H32" s="727" t="s">
        <v>103</v>
      </c>
      <c r="I32" s="727" t="s">
        <v>103</v>
      </c>
      <c r="J32" s="727" t="s">
        <v>103</v>
      </c>
      <c r="K32" s="727" t="s">
        <v>103</v>
      </c>
      <c r="L32" s="728" t="s">
        <v>103</v>
      </c>
      <c r="M32" s="726" t="s">
        <v>366</v>
      </c>
      <c r="N32" s="567"/>
      <c r="O32" s="568"/>
      <c r="Q32" s="228"/>
      <c r="R32" s="228"/>
      <c r="S32" s="228"/>
      <c r="T32" s="228"/>
      <c r="U32" s="238"/>
      <c r="V32" s="228"/>
      <c r="W32" s="228"/>
      <c r="AG32" s="30" t="str">
        <f t="shared" si="13"/>
        <v xml:space="preserve"> </v>
      </c>
      <c r="AH32" s="30" t="str">
        <f t="shared" si="13"/>
        <v xml:space="preserve"> </v>
      </c>
      <c r="AI32" s="30" t="str">
        <f t="shared" si="13"/>
        <v xml:space="preserve"> </v>
      </c>
      <c r="AJ32" s="30" t="str">
        <f t="shared" si="13"/>
        <v xml:space="preserve"> </v>
      </c>
      <c r="AK32" s="30" t="str">
        <f t="shared" si="13"/>
        <v xml:space="preserve"> </v>
      </c>
      <c r="AL32" s="30" t="str">
        <f t="shared" si="13"/>
        <v xml:space="preserve"> </v>
      </c>
      <c r="AM32" s="30" t="str">
        <f t="shared" si="13"/>
        <v xml:space="preserve"> </v>
      </c>
      <c r="AN32" s="540"/>
      <c r="AO32" s="219"/>
      <c r="AP32" s="219"/>
      <c r="AQ32" s="219"/>
      <c r="AR32" s="219"/>
      <c r="AS32" s="219"/>
      <c r="AT32" s="219"/>
      <c r="AU32" s="219"/>
      <c r="AV32" s="219"/>
      <c r="AW32" s="256"/>
      <c r="AX32" s="256"/>
      <c r="AY32" s="256"/>
      <c r="AZ32" s="256"/>
      <c r="BA32" s="256"/>
      <c r="BB32" s="256"/>
      <c r="BC32" s="256"/>
      <c r="BD32" s="256"/>
      <c r="BE32" s="256"/>
      <c r="BF32" s="256"/>
      <c r="BG32" s="256"/>
      <c r="BH32" s="256"/>
      <c r="BI32" s="256"/>
      <c r="BJ32" s="256"/>
      <c r="BK32" s="256"/>
      <c r="BL32" s="256"/>
      <c r="BM32" s="256"/>
      <c r="BN32" s="256"/>
      <c r="BO32" s="256"/>
      <c r="BP32" s="256"/>
      <c r="BQ32" s="256"/>
      <c r="BR32" s="256"/>
      <c r="BS32" s="256"/>
      <c r="BT32" s="256"/>
      <c r="CB32" s="536">
        <v>12</v>
      </c>
      <c r="CC32" s="537">
        <f t="shared" si="11"/>
        <v>42518</v>
      </c>
    </row>
    <row r="33" spans="1:82" ht="21.75" customHeight="1" thickBot="1" x14ac:dyDescent="0.3">
      <c r="A33" s="236">
        <f>IF('Master List'!A23=0," ",'Master List'!A23)</f>
        <v>70432729</v>
      </c>
      <c r="B33" s="826"/>
      <c r="C33" s="288">
        <v>10</v>
      </c>
      <c r="D33" s="810" t="s">
        <v>147</v>
      </c>
      <c r="E33" s="546" t="str">
        <f>IF('Master List'!$C23=0," ",'Master List'!$C23)</f>
        <v>R. AQUINO</v>
      </c>
      <c r="F33" s="730">
        <v>3</v>
      </c>
      <c r="G33" s="727">
        <v>3</v>
      </c>
      <c r="H33" s="727">
        <v>3</v>
      </c>
      <c r="I33" s="735" t="s">
        <v>93</v>
      </c>
      <c r="J33" s="727" t="s">
        <v>90</v>
      </c>
      <c r="K33" s="727">
        <v>3</v>
      </c>
      <c r="L33" s="728">
        <v>3</v>
      </c>
      <c r="M33" s="726"/>
      <c r="N33" s="567"/>
      <c r="O33" s="568"/>
      <c r="Q33" s="228"/>
      <c r="R33" s="228"/>
      <c r="S33" s="228"/>
      <c r="T33" s="228"/>
      <c r="U33" s="238"/>
      <c r="V33" s="228"/>
      <c r="W33" s="228"/>
      <c r="AG33" s="30">
        <f t="shared" ref="AG33:AM40" si="14">IF(OR(F33="*3",F33="OT**",F33=3,F33="OT",F33="3V",F33="OTNV",F33="OTV",F33="3NV",F33="3*",F33="2OTBT",F33="OT*",F33="2OTET",F33="4OTET",F33="*OTBT",F33="*OTET"),1," ")</f>
        <v>1</v>
      </c>
      <c r="AH33" s="30">
        <f t="shared" si="14"/>
        <v>1</v>
      </c>
      <c r="AI33" s="30">
        <f t="shared" si="14"/>
        <v>1</v>
      </c>
      <c r="AJ33" s="30">
        <f t="shared" si="14"/>
        <v>1</v>
      </c>
      <c r="AK33" s="30" t="str">
        <f t="shared" si="14"/>
        <v xml:space="preserve"> </v>
      </c>
      <c r="AL33" s="30">
        <f t="shared" si="14"/>
        <v>1</v>
      </c>
      <c r="AM33" s="30">
        <f t="shared" si="14"/>
        <v>1</v>
      </c>
      <c r="AN33" s="540"/>
      <c r="AO33" s="219"/>
      <c r="AP33" s="219"/>
      <c r="AQ33" s="219"/>
      <c r="AR33" s="219"/>
      <c r="AS33" s="219"/>
      <c r="AT33" s="219"/>
      <c r="AU33" s="219"/>
      <c r="AV33" s="219"/>
      <c r="AW33" s="256"/>
      <c r="AX33" s="256"/>
      <c r="AY33" s="256"/>
      <c r="AZ33" s="256"/>
      <c r="BA33" s="256"/>
      <c r="BB33" s="256"/>
      <c r="BC33" s="256"/>
      <c r="BD33" s="256"/>
      <c r="BE33" s="256"/>
      <c r="BF33" s="256"/>
      <c r="BG33" s="256"/>
      <c r="BH33" s="256"/>
      <c r="BI33" s="256"/>
      <c r="BJ33" s="256"/>
      <c r="BK33" s="256"/>
      <c r="BL33" s="256"/>
      <c r="BM33" s="256"/>
      <c r="BN33" s="256"/>
      <c r="BO33" s="256"/>
      <c r="BP33" s="256"/>
      <c r="BQ33" s="256"/>
      <c r="BR33" s="256"/>
      <c r="BS33" s="256"/>
      <c r="BT33" s="256"/>
      <c r="CB33" s="536">
        <v>13</v>
      </c>
      <c r="CC33" s="537">
        <f t="shared" si="11"/>
        <v>42532</v>
      </c>
    </row>
    <row r="34" spans="1:82" ht="21.75" customHeight="1" thickBot="1" x14ac:dyDescent="0.3">
      <c r="A34" s="236">
        <f>IF('Master List'!A24=0," ",'Master List'!A24)</f>
        <v>71305072</v>
      </c>
      <c r="B34" s="662"/>
      <c r="C34" s="288">
        <v>10</v>
      </c>
      <c r="D34" s="662"/>
      <c r="E34" s="546" t="str">
        <f>IF('Master List'!$C24=0," ",'Master List'!$C24)</f>
        <v>D. CURRY</v>
      </c>
      <c r="F34" s="730">
        <v>3</v>
      </c>
      <c r="G34" s="727">
        <v>3</v>
      </c>
      <c r="H34" s="835" t="s">
        <v>93</v>
      </c>
      <c r="I34" s="727" t="s">
        <v>90</v>
      </c>
      <c r="J34" s="727">
        <v>3</v>
      </c>
      <c r="K34" s="727">
        <v>3</v>
      </c>
      <c r="L34" s="728">
        <v>3</v>
      </c>
      <c r="M34" s="726"/>
      <c r="N34" s="567"/>
      <c r="O34" s="568"/>
      <c r="Q34" s="228"/>
      <c r="R34" s="228"/>
      <c r="S34" s="228"/>
      <c r="T34" s="228"/>
      <c r="U34" s="238"/>
      <c r="V34" s="228"/>
      <c r="W34" s="228"/>
      <c r="AG34" s="30">
        <f t="shared" si="14"/>
        <v>1</v>
      </c>
      <c r="AH34" s="30">
        <f t="shared" si="14"/>
        <v>1</v>
      </c>
      <c r="AI34" s="30">
        <f t="shared" si="14"/>
        <v>1</v>
      </c>
      <c r="AJ34" s="30" t="str">
        <f t="shared" si="14"/>
        <v xml:space="preserve"> </v>
      </c>
      <c r="AK34" s="30">
        <f t="shared" si="14"/>
        <v>1</v>
      </c>
      <c r="AL34" s="30">
        <f t="shared" si="14"/>
        <v>1</v>
      </c>
      <c r="AM34" s="30">
        <f t="shared" si="14"/>
        <v>1</v>
      </c>
      <c r="AN34" s="540"/>
      <c r="AO34" s="219"/>
      <c r="AP34" s="219"/>
      <c r="AQ34" s="219"/>
      <c r="AR34" s="219"/>
      <c r="AS34" s="219"/>
      <c r="AT34" s="219"/>
      <c r="AU34" s="219"/>
      <c r="AV34" s="219"/>
      <c r="AW34" s="256"/>
      <c r="AX34" s="256"/>
      <c r="AY34" s="256"/>
      <c r="AZ34" s="256"/>
      <c r="BA34" s="256"/>
      <c r="BB34" s="256"/>
      <c r="BC34" s="256"/>
      <c r="BD34" s="256"/>
      <c r="BE34" s="256"/>
      <c r="BF34" s="256"/>
      <c r="BG34" s="256"/>
      <c r="BH34" s="256"/>
      <c r="BI34" s="256"/>
      <c r="BJ34" s="256"/>
      <c r="BK34" s="256"/>
      <c r="BL34" s="256"/>
      <c r="BM34" s="256"/>
      <c r="BN34" s="256"/>
      <c r="BO34" s="256"/>
      <c r="BP34" s="256"/>
      <c r="BQ34" s="256"/>
      <c r="BR34" s="256"/>
      <c r="BS34" s="256"/>
      <c r="BT34" s="256"/>
      <c r="CB34" s="536">
        <v>14</v>
      </c>
      <c r="CC34" s="537">
        <f t="shared" si="11"/>
        <v>42546</v>
      </c>
    </row>
    <row r="35" spans="1:82" ht="21.75" customHeight="1" thickBot="1" x14ac:dyDescent="0.3">
      <c r="A35" s="236">
        <f>IF('Master List'!A25=0," ",'Master List'!A25)</f>
        <v>95618151</v>
      </c>
      <c r="B35" s="662"/>
      <c r="C35" s="288">
        <v>10</v>
      </c>
      <c r="D35" s="694"/>
      <c r="E35" s="546" t="str">
        <f>IF('Master List'!$C25=0," ",'Master List'!$C25)</f>
        <v>A. BEECHING</v>
      </c>
      <c r="F35" s="730" t="s">
        <v>200</v>
      </c>
      <c r="G35" s="727" t="s">
        <v>200</v>
      </c>
      <c r="H35" s="727" t="s">
        <v>200</v>
      </c>
      <c r="I35" s="727" t="s">
        <v>200</v>
      </c>
      <c r="J35" s="727" t="s">
        <v>90</v>
      </c>
      <c r="K35" s="727" t="s">
        <v>90</v>
      </c>
      <c r="L35" s="728" t="s">
        <v>200</v>
      </c>
      <c r="M35" s="726" t="s">
        <v>354</v>
      </c>
      <c r="N35" s="567"/>
      <c r="O35" s="568"/>
      <c r="Q35" s="228"/>
      <c r="R35" s="228"/>
      <c r="S35" s="228"/>
      <c r="T35" s="228"/>
      <c r="U35" s="238"/>
      <c r="V35" s="228"/>
      <c r="W35" s="228"/>
      <c r="AG35" s="30" t="str">
        <f t="shared" si="14"/>
        <v xml:space="preserve"> </v>
      </c>
      <c r="AH35" s="30" t="str">
        <f t="shared" si="14"/>
        <v xml:space="preserve"> </v>
      </c>
      <c r="AI35" s="30" t="str">
        <f t="shared" si="14"/>
        <v xml:space="preserve"> </v>
      </c>
      <c r="AJ35" s="30" t="str">
        <f t="shared" si="14"/>
        <v xml:space="preserve"> </v>
      </c>
      <c r="AK35" s="30" t="str">
        <f t="shared" si="14"/>
        <v xml:space="preserve"> </v>
      </c>
      <c r="AL35" s="30" t="str">
        <f t="shared" si="14"/>
        <v xml:space="preserve"> </v>
      </c>
      <c r="AM35" s="30" t="str">
        <f t="shared" si="14"/>
        <v xml:space="preserve"> </v>
      </c>
      <c r="AN35" s="540"/>
      <c r="AO35" s="219"/>
      <c r="AP35" s="219"/>
      <c r="AQ35" s="219"/>
      <c r="AR35" s="219"/>
      <c r="AS35" s="219"/>
      <c r="AT35" s="219"/>
      <c r="AU35" s="219"/>
      <c r="AV35" s="219"/>
      <c r="AW35" s="256"/>
      <c r="AX35" s="256"/>
      <c r="AY35" s="256"/>
      <c r="AZ35" s="256"/>
      <c r="BA35" s="256"/>
      <c r="BB35" s="256"/>
      <c r="BC35" s="256"/>
      <c r="BD35" s="256"/>
      <c r="BE35" s="256"/>
      <c r="BF35" s="256"/>
      <c r="BG35" s="256"/>
      <c r="BH35" s="256"/>
      <c r="BI35" s="256"/>
      <c r="BJ35" s="256"/>
      <c r="BK35" s="256"/>
      <c r="BL35" s="256"/>
      <c r="BM35" s="256"/>
      <c r="BN35" s="256"/>
      <c r="BO35" s="256"/>
      <c r="BP35" s="256"/>
      <c r="BQ35" s="256"/>
      <c r="BR35" s="256"/>
      <c r="BS35" s="256"/>
      <c r="BT35" s="256"/>
      <c r="CB35" s="536">
        <v>15</v>
      </c>
      <c r="CC35" s="537">
        <f t="shared" si="11"/>
        <v>42560</v>
      </c>
    </row>
    <row r="36" spans="1:82" ht="21.75" customHeight="1" thickBot="1" x14ac:dyDescent="0.3">
      <c r="A36" s="236" t="str">
        <f>IF('Master List'!A26=0," ",'Master List'!A26)</f>
        <v xml:space="preserve"> </v>
      </c>
      <c r="B36" s="662"/>
      <c r="C36" s="288"/>
      <c r="D36" s="662"/>
      <c r="E36" s="546" t="str">
        <f>IF('Master List'!$C26=0," ",'Master List'!$C26)</f>
        <v xml:space="preserve"> </v>
      </c>
      <c r="F36" s="773"/>
      <c r="G36" s="727"/>
      <c r="H36" s="734"/>
      <c r="I36" s="776"/>
      <c r="J36" s="821"/>
      <c r="K36" s="778"/>
      <c r="L36" s="776"/>
      <c r="M36" s="726"/>
      <c r="N36" s="567"/>
      <c r="O36" s="568"/>
      <c r="Q36" s="228"/>
      <c r="R36" s="228"/>
      <c r="S36" s="228"/>
      <c r="T36" s="228"/>
      <c r="U36" s="238"/>
      <c r="V36" s="228"/>
      <c r="W36" s="228"/>
      <c r="AG36" s="30" t="str">
        <f t="shared" si="14"/>
        <v xml:space="preserve"> </v>
      </c>
      <c r="AH36" s="30" t="str">
        <f t="shared" si="14"/>
        <v xml:space="preserve"> </v>
      </c>
      <c r="AI36" s="30" t="str">
        <f t="shared" si="14"/>
        <v xml:space="preserve"> </v>
      </c>
      <c r="AJ36" s="30" t="str">
        <f t="shared" si="14"/>
        <v xml:space="preserve"> </v>
      </c>
      <c r="AK36" s="30" t="str">
        <f t="shared" si="14"/>
        <v xml:space="preserve"> </v>
      </c>
      <c r="AL36" s="30" t="str">
        <f t="shared" si="14"/>
        <v xml:space="preserve"> </v>
      </c>
      <c r="AM36" s="30" t="str">
        <f t="shared" si="14"/>
        <v xml:space="preserve"> </v>
      </c>
      <c r="AN36" s="540"/>
      <c r="AO36" s="219"/>
      <c r="AP36" s="219"/>
      <c r="AQ36" s="219"/>
      <c r="AR36" s="219"/>
      <c r="AS36" s="219"/>
      <c r="AT36" s="219"/>
      <c r="AU36" s="219"/>
      <c r="AV36" s="219"/>
      <c r="AW36" s="256"/>
      <c r="AX36" s="256"/>
      <c r="AY36" s="256"/>
      <c r="AZ36" s="256"/>
      <c r="BA36" s="256"/>
      <c r="BB36" s="256"/>
      <c r="BC36" s="256"/>
      <c r="BD36" s="256"/>
      <c r="BE36" s="256"/>
      <c r="BF36" s="256"/>
      <c r="BG36" s="256"/>
      <c r="BH36" s="256"/>
      <c r="BI36" s="256"/>
      <c r="BJ36" s="256"/>
      <c r="BK36" s="256"/>
      <c r="BL36" s="256"/>
      <c r="BM36" s="256"/>
      <c r="BN36" s="256"/>
      <c r="BO36" s="256"/>
      <c r="BP36" s="256"/>
      <c r="BQ36" s="256"/>
      <c r="BR36" s="256"/>
      <c r="BS36" s="256"/>
      <c r="BT36" s="256"/>
      <c r="CB36" s="536">
        <v>16</v>
      </c>
      <c r="CC36" s="537">
        <f t="shared" si="11"/>
        <v>42574</v>
      </c>
    </row>
    <row r="37" spans="1:82" ht="21.75" customHeight="1" thickBot="1" x14ac:dyDescent="0.3">
      <c r="A37" s="236" t="str">
        <f>IF('Master List'!A27=0," ",'Master List'!A27)</f>
        <v xml:space="preserve"> </v>
      </c>
      <c r="B37" s="662"/>
      <c r="C37" s="288"/>
      <c r="D37" s="694"/>
      <c r="E37" s="546" t="str">
        <f>IF('Master List'!$C27=0," ",'Master List'!$C27)</f>
        <v xml:space="preserve"> </v>
      </c>
      <c r="F37" s="773"/>
      <c r="G37" s="727"/>
      <c r="H37" s="734"/>
      <c r="I37" s="776"/>
      <c r="J37" s="777"/>
      <c r="K37" s="778"/>
      <c r="L37" s="776"/>
      <c r="M37" s="726"/>
      <c r="N37" s="567"/>
      <c r="O37" s="568"/>
      <c r="Q37" s="228"/>
      <c r="R37" s="228"/>
      <c r="S37" s="228"/>
      <c r="T37" s="228"/>
      <c r="U37" s="238"/>
      <c r="V37" s="228"/>
      <c r="W37" s="228"/>
      <c r="AG37" s="30" t="str">
        <f t="shared" si="14"/>
        <v xml:space="preserve"> </v>
      </c>
      <c r="AH37" s="30" t="str">
        <f t="shared" si="14"/>
        <v xml:space="preserve"> </v>
      </c>
      <c r="AI37" s="30" t="str">
        <f t="shared" si="14"/>
        <v xml:space="preserve"> </v>
      </c>
      <c r="AJ37" s="30" t="str">
        <f t="shared" si="14"/>
        <v xml:space="preserve"> </v>
      </c>
      <c r="AK37" s="30" t="str">
        <f t="shared" si="14"/>
        <v xml:space="preserve"> </v>
      </c>
      <c r="AL37" s="30" t="str">
        <f t="shared" si="14"/>
        <v xml:space="preserve"> </v>
      </c>
      <c r="AM37" s="30" t="str">
        <f t="shared" si="14"/>
        <v xml:space="preserve"> </v>
      </c>
      <c r="AN37" s="540"/>
      <c r="AO37" s="219"/>
      <c r="AP37" s="219"/>
      <c r="AQ37" s="219"/>
      <c r="AR37" s="219"/>
      <c r="AS37" s="219"/>
      <c r="AT37" s="219"/>
      <c r="AU37" s="219"/>
      <c r="AV37" s="219"/>
      <c r="AW37" s="256"/>
      <c r="AX37" s="256"/>
      <c r="AY37" s="256"/>
      <c r="AZ37" s="256"/>
      <c r="BA37" s="256"/>
      <c r="BB37" s="256"/>
      <c r="BC37" s="256"/>
      <c r="BD37" s="256"/>
      <c r="BE37" s="256"/>
      <c r="BF37" s="256"/>
      <c r="BG37" s="256"/>
      <c r="BH37" s="256"/>
      <c r="BI37" s="256"/>
      <c r="BJ37" s="256"/>
      <c r="BK37" s="256"/>
      <c r="BL37" s="256"/>
      <c r="BM37" s="256"/>
      <c r="BN37" s="256"/>
      <c r="BO37" s="256"/>
      <c r="BP37" s="256"/>
      <c r="BQ37" s="256"/>
      <c r="BR37" s="256"/>
      <c r="BS37" s="256"/>
      <c r="BT37" s="256"/>
      <c r="CB37" s="536">
        <v>17</v>
      </c>
      <c r="CC37" s="537">
        <f t="shared" si="11"/>
        <v>42588</v>
      </c>
    </row>
    <row r="38" spans="1:82" ht="21.75" customHeight="1" thickBot="1" x14ac:dyDescent="0.3">
      <c r="A38" s="236" t="str">
        <f>IF('Master List'!A28=0," ",'Master List'!A28)</f>
        <v xml:space="preserve"> </v>
      </c>
      <c r="B38" s="662"/>
      <c r="C38" s="288"/>
      <c r="D38" s="694"/>
      <c r="E38" s="546" t="str">
        <f>IF('Master List'!$C28=0," ",'Master List'!$C28)</f>
        <v xml:space="preserve"> </v>
      </c>
      <c r="F38" s="773"/>
      <c r="G38" s="727"/>
      <c r="H38" s="734"/>
      <c r="I38" s="776"/>
      <c r="J38" s="777"/>
      <c r="K38" s="778"/>
      <c r="L38" s="776"/>
      <c r="M38" s="726"/>
      <c r="N38" s="567"/>
      <c r="O38" s="568"/>
      <c r="Q38" s="228"/>
      <c r="R38" s="228"/>
      <c r="S38" s="228"/>
      <c r="T38" s="228"/>
      <c r="U38" s="238"/>
      <c r="V38" s="228"/>
      <c r="W38" s="228"/>
      <c r="AG38" s="30" t="str">
        <f t="shared" ref="AG38:AM38" si="15">IF(OR(F38="*3",F38="OT**",F38=3,F38="OT",F38="3V",F38="OTNV",F38="OTV",F38="3NV",F38="3*",F38="2OTBT",F38="OT*",F38="2OTET",F38="4OTET",F38="*OTBT",F38="*OTET"),1," ")</f>
        <v xml:space="preserve"> </v>
      </c>
      <c r="AH38" s="30" t="str">
        <f t="shared" si="15"/>
        <v xml:space="preserve"> </v>
      </c>
      <c r="AI38" s="30" t="str">
        <f t="shared" si="15"/>
        <v xml:space="preserve"> </v>
      </c>
      <c r="AJ38" s="30" t="str">
        <f t="shared" si="15"/>
        <v xml:space="preserve"> </v>
      </c>
      <c r="AK38" s="30" t="str">
        <f t="shared" si="15"/>
        <v xml:space="preserve"> </v>
      </c>
      <c r="AL38" s="30" t="str">
        <f t="shared" si="15"/>
        <v xml:space="preserve"> </v>
      </c>
      <c r="AM38" s="30" t="str">
        <f t="shared" si="15"/>
        <v xml:space="preserve"> </v>
      </c>
      <c r="AN38" s="540"/>
      <c r="AO38" s="219"/>
      <c r="AP38" s="219"/>
      <c r="AQ38" s="219"/>
      <c r="AR38" s="219"/>
      <c r="AS38" s="219"/>
      <c r="AT38" s="219"/>
      <c r="AU38" s="219"/>
      <c r="AV38" s="219"/>
      <c r="AW38" s="256"/>
      <c r="AX38" s="256"/>
      <c r="AY38" s="256"/>
      <c r="AZ38" s="256"/>
      <c r="BA38" s="256"/>
      <c r="BB38" s="256"/>
      <c r="BC38" s="256"/>
      <c r="BD38" s="256"/>
      <c r="BE38" s="256"/>
      <c r="BF38" s="256"/>
      <c r="BG38" s="256"/>
      <c r="BH38" s="256"/>
      <c r="BI38" s="256"/>
      <c r="BJ38" s="256"/>
      <c r="BK38" s="256"/>
      <c r="BL38" s="256"/>
      <c r="BM38" s="256"/>
      <c r="BN38" s="256"/>
      <c r="BO38" s="256"/>
      <c r="BP38" s="256"/>
      <c r="BQ38" s="256"/>
      <c r="BR38" s="256"/>
      <c r="BS38" s="256"/>
      <c r="BT38" s="256"/>
      <c r="CB38" s="536">
        <v>18</v>
      </c>
      <c r="CC38" s="537">
        <f t="shared" ref="CC38:CC48" si="16">CC37+14</f>
        <v>42602</v>
      </c>
    </row>
    <row r="39" spans="1:82" ht="21.75" customHeight="1" thickBot="1" x14ac:dyDescent="0.3">
      <c r="A39" s="236" t="str">
        <f>IF('Master List'!A29=0," ",'Master List'!A29)</f>
        <v xml:space="preserve"> </v>
      </c>
      <c r="B39" s="662"/>
      <c r="C39" s="288"/>
      <c r="D39" s="694"/>
      <c r="E39" s="546" t="str">
        <f>IF('Master List'!$C29=0," ",'Master List'!$C29)</f>
        <v xml:space="preserve"> </v>
      </c>
      <c r="F39" s="773"/>
      <c r="G39" s="774"/>
      <c r="H39" s="775"/>
      <c r="I39" s="776"/>
      <c r="J39" s="777"/>
      <c r="K39" s="778"/>
      <c r="L39" s="776"/>
      <c r="M39" s="726"/>
      <c r="N39" s="567"/>
      <c r="O39" s="568"/>
      <c r="Q39" s="228"/>
      <c r="R39" s="228"/>
      <c r="S39" s="228"/>
      <c r="T39" s="228"/>
      <c r="U39" s="238"/>
      <c r="V39" s="228"/>
      <c r="W39" s="228"/>
      <c r="AG39" s="30" t="str">
        <f t="shared" si="14"/>
        <v xml:space="preserve"> </v>
      </c>
      <c r="AH39" s="30" t="str">
        <f t="shared" si="14"/>
        <v xml:space="preserve"> </v>
      </c>
      <c r="AI39" s="30" t="str">
        <f t="shared" si="14"/>
        <v xml:space="preserve"> </v>
      </c>
      <c r="AJ39" s="30" t="str">
        <f t="shared" si="14"/>
        <v xml:space="preserve"> </v>
      </c>
      <c r="AK39" s="30" t="str">
        <f t="shared" si="14"/>
        <v xml:space="preserve"> </v>
      </c>
      <c r="AL39" s="30" t="str">
        <f t="shared" si="14"/>
        <v xml:space="preserve"> </v>
      </c>
      <c r="AM39" s="30" t="str">
        <f t="shared" si="14"/>
        <v xml:space="preserve"> </v>
      </c>
      <c r="AN39" s="540"/>
      <c r="AO39" s="219"/>
      <c r="AP39" s="219"/>
      <c r="AQ39" s="219"/>
      <c r="AR39" s="219"/>
      <c r="AS39" s="219"/>
      <c r="AT39" s="219"/>
      <c r="AU39" s="219"/>
      <c r="AV39" s="219"/>
      <c r="AW39" s="256"/>
      <c r="AX39" s="256"/>
      <c r="AY39" s="256"/>
      <c r="AZ39" s="256"/>
      <c r="BA39" s="256"/>
      <c r="BB39" s="256"/>
      <c r="BC39" s="256"/>
      <c r="BD39" s="256"/>
      <c r="BE39" s="256"/>
      <c r="BF39" s="256"/>
      <c r="BG39" s="256"/>
      <c r="BH39" s="256"/>
      <c r="BI39" s="256"/>
      <c r="BJ39" s="256"/>
      <c r="BK39" s="256"/>
      <c r="BL39" s="256"/>
      <c r="BM39" s="256"/>
      <c r="BN39" s="256"/>
      <c r="BO39" s="256"/>
      <c r="BP39" s="256"/>
      <c r="BQ39" s="256"/>
      <c r="BR39" s="256"/>
      <c r="BS39" s="256"/>
      <c r="BT39" s="256"/>
      <c r="CB39" s="536">
        <v>19</v>
      </c>
      <c r="CC39" s="537">
        <f t="shared" si="16"/>
        <v>42616</v>
      </c>
    </row>
    <row r="40" spans="1:82" ht="21.75" customHeight="1" thickBot="1" x14ac:dyDescent="0.3">
      <c r="A40" s="236" t="str">
        <f>IF('Master List'!A30=0," ",'Master List'!A30)</f>
        <v xml:space="preserve"> </v>
      </c>
      <c r="B40" s="662"/>
      <c r="C40" s="288"/>
      <c r="D40" s="396"/>
      <c r="E40" s="546" t="str">
        <f>IF('Master List'!$C30=0," ",'Master List'!$C30)</f>
        <v xml:space="preserve"> </v>
      </c>
      <c r="F40" s="773"/>
      <c r="G40" s="774"/>
      <c r="H40" s="775"/>
      <c r="I40" s="776"/>
      <c r="J40" s="777"/>
      <c r="K40" s="778"/>
      <c r="L40" s="776"/>
      <c r="M40" s="726"/>
      <c r="N40" s="541"/>
      <c r="O40" s="542"/>
      <c r="R40" s="228"/>
      <c r="S40" s="228"/>
      <c r="T40" s="228"/>
      <c r="U40" s="238"/>
      <c r="V40" s="228"/>
      <c r="W40" s="228"/>
      <c r="AG40" s="30" t="str">
        <f t="shared" si="14"/>
        <v xml:space="preserve"> </v>
      </c>
      <c r="AH40" s="30" t="str">
        <f t="shared" si="14"/>
        <v xml:space="preserve"> </v>
      </c>
      <c r="AI40" s="30" t="str">
        <f t="shared" si="14"/>
        <v xml:space="preserve"> </v>
      </c>
      <c r="AJ40" s="30" t="str">
        <f t="shared" si="14"/>
        <v xml:space="preserve"> </v>
      </c>
      <c r="AK40" s="30" t="str">
        <f t="shared" si="14"/>
        <v xml:space="preserve"> </v>
      </c>
      <c r="AL40" s="30" t="str">
        <f t="shared" si="14"/>
        <v xml:space="preserve"> </v>
      </c>
      <c r="AM40" s="30" t="str">
        <f t="shared" si="14"/>
        <v xml:space="preserve"> </v>
      </c>
      <c r="AN40" s="540"/>
      <c r="AO40" s="219"/>
      <c r="AP40" s="219"/>
      <c r="AQ40" s="219"/>
      <c r="AR40" s="219"/>
      <c r="AS40" s="219"/>
      <c r="AT40" s="219"/>
      <c r="AU40" s="219"/>
      <c r="AV40" s="219"/>
      <c r="AW40" s="256"/>
      <c r="AX40" s="256"/>
      <c r="AY40" s="256"/>
      <c r="AZ40" s="256"/>
      <c r="BA40" s="256"/>
      <c r="BB40" s="256"/>
      <c r="BC40" s="256"/>
      <c r="BD40" s="256"/>
      <c r="BE40" s="256"/>
      <c r="BF40" s="256"/>
      <c r="BG40" s="256"/>
      <c r="BH40" s="256"/>
      <c r="BI40" s="256"/>
      <c r="BJ40" s="256"/>
      <c r="BK40" s="256"/>
      <c r="BL40" s="256"/>
      <c r="BM40" s="256"/>
      <c r="BN40" s="256"/>
      <c r="BO40" s="256"/>
      <c r="BP40" s="256"/>
      <c r="BQ40" s="256"/>
      <c r="BR40" s="256"/>
      <c r="BS40" s="256"/>
      <c r="BT40" s="256"/>
      <c r="BU40" s="575"/>
      <c r="CB40" s="536">
        <v>20</v>
      </c>
      <c r="CC40" s="537">
        <f t="shared" si="16"/>
        <v>42630</v>
      </c>
    </row>
    <row r="41" spans="1:82" ht="21.75" customHeight="1" thickBot="1" x14ac:dyDescent="0.3">
      <c r="A41" s="230" t="str">
        <f>IF('Master List'!A31="0"," ",'Master List'!A31)</f>
        <v>MPE</v>
      </c>
      <c r="B41" s="231"/>
      <c r="C41" s="231"/>
      <c r="D41" s="231"/>
      <c r="E41" s="417" t="str">
        <f>IF('Master List'!$C$31=0," ",'Master List'!$C$31)</f>
        <v>CREW  031  P/L 530</v>
      </c>
      <c r="F41" s="239">
        <f t="shared" ref="F41:L41" si="17">AG41</f>
        <v>10</v>
      </c>
      <c r="G41" s="239">
        <f t="shared" si="17"/>
        <v>7</v>
      </c>
      <c r="H41" s="239">
        <f t="shared" si="17"/>
        <v>10</v>
      </c>
      <c r="I41" s="239">
        <f t="shared" si="17"/>
        <v>12</v>
      </c>
      <c r="J41" s="239">
        <f t="shared" si="17"/>
        <v>10</v>
      </c>
      <c r="K41" s="239">
        <f t="shared" si="17"/>
        <v>11</v>
      </c>
      <c r="L41" s="239">
        <f t="shared" si="17"/>
        <v>11</v>
      </c>
      <c r="M41" s="471"/>
      <c r="N41" s="451"/>
      <c r="O41" s="286"/>
      <c r="Q41" s="228"/>
      <c r="R41" s="228"/>
      <c r="S41" s="228"/>
      <c r="T41" s="228"/>
      <c r="U41" s="100" t="s">
        <v>99</v>
      </c>
      <c r="V41" s="228"/>
      <c r="W41" s="228"/>
      <c r="AG41" s="479">
        <f t="shared" ref="AG41:AM41" si="18">COUNTIF(AG42:AG65,"=1")</f>
        <v>10</v>
      </c>
      <c r="AH41" s="479">
        <f t="shared" si="18"/>
        <v>7</v>
      </c>
      <c r="AI41" s="479">
        <f t="shared" si="18"/>
        <v>10</v>
      </c>
      <c r="AJ41" s="479">
        <f t="shared" si="18"/>
        <v>12</v>
      </c>
      <c r="AK41" s="479">
        <f t="shared" si="18"/>
        <v>10</v>
      </c>
      <c r="AL41" s="479">
        <f t="shared" si="18"/>
        <v>11</v>
      </c>
      <c r="AM41" s="479">
        <f t="shared" si="18"/>
        <v>11</v>
      </c>
      <c r="AN41" s="540"/>
      <c r="AO41" s="219"/>
      <c r="AP41" s="219"/>
      <c r="AQ41" s="219"/>
      <c r="AR41" s="219"/>
      <c r="AS41" s="219"/>
      <c r="AT41" s="219"/>
      <c r="AU41" s="219"/>
      <c r="AV41" s="219"/>
      <c r="AW41" s="256"/>
      <c r="AX41" s="256"/>
      <c r="AY41" s="256"/>
      <c r="AZ41" s="256"/>
      <c r="BA41" s="256"/>
      <c r="BB41" s="256"/>
      <c r="BC41" s="256"/>
      <c r="BD41" s="256"/>
      <c r="BE41" s="256"/>
      <c r="BF41" s="256"/>
      <c r="BG41" s="256"/>
      <c r="BH41" s="256"/>
      <c r="BI41" s="256"/>
      <c r="BJ41" s="256"/>
      <c r="BK41" s="256"/>
      <c r="BL41" s="256"/>
      <c r="BM41" s="256"/>
      <c r="BN41" s="256"/>
      <c r="BO41" s="256"/>
      <c r="BP41" s="256"/>
      <c r="BQ41" s="256"/>
      <c r="BR41" s="256"/>
      <c r="BS41" s="256"/>
      <c r="BT41" s="256"/>
      <c r="CB41" s="536">
        <v>21</v>
      </c>
      <c r="CC41" s="537">
        <f t="shared" si="16"/>
        <v>42644</v>
      </c>
    </row>
    <row r="42" spans="1:82" ht="21.75" customHeight="1" thickBot="1" x14ac:dyDescent="0.3">
      <c r="A42" s="236">
        <f>IF('Master List'!A32=0," ",'Master List'!A32)</f>
        <v>70234856</v>
      </c>
      <c r="B42" s="477"/>
      <c r="C42" s="242">
        <v>9</v>
      </c>
      <c r="D42" s="397"/>
      <c r="E42" s="546" t="str">
        <f>IF('Master List'!$C32=0," ",'Master List'!$C32)</f>
        <v>J. BRADHAM</v>
      </c>
      <c r="F42" s="836">
        <v>3</v>
      </c>
      <c r="G42" s="723">
        <v>3</v>
      </c>
      <c r="H42" s="723">
        <v>3</v>
      </c>
      <c r="I42" s="723">
        <v>3</v>
      </c>
      <c r="J42" s="723" t="s">
        <v>90</v>
      </c>
      <c r="K42" s="723" t="s">
        <v>90</v>
      </c>
      <c r="L42" s="725">
        <v>3</v>
      </c>
      <c r="M42" s="739"/>
      <c r="N42" s="516"/>
      <c r="O42" s="509"/>
      <c r="Q42" s="228"/>
      <c r="R42" s="228"/>
      <c r="S42" s="228"/>
      <c r="T42" s="228"/>
      <c r="U42" s="232" t="s">
        <v>107</v>
      </c>
      <c r="V42" s="228"/>
      <c r="W42" s="228" t="s">
        <v>108</v>
      </c>
      <c r="AG42" s="30">
        <f t="shared" ref="AG42:AG48" si="19">IF(OR(F42="*3",F42="OT**",F42=3,F42="OT",F42="3V",F42="OTNV",F42="OTV",F42="3NV",F42="3*",F42="2OTBT",F42="OT*",F42="2OTET",F42="4OTET",F42="*OTBT",F42="*OTET"),1," ")</f>
        <v>1</v>
      </c>
      <c r="AH42" s="30">
        <f t="shared" ref="AH42:AH49" si="20">IF(OR(G42="*3",G42="OT**",G42=3,G42="OT",G42="3V",G42="OTNV",G42="OTV",G42="3NV",G42="3*",G42="2OTBT",G42="OT*",G42="2OTET",G42="4OTET",G42="*OTBT",G42="*OTET"),1," ")</f>
        <v>1</v>
      </c>
      <c r="AI42" s="30">
        <f t="shared" ref="AI42:AI49" si="21">IF(OR(H42="*3",H42="OT**",H42=3,H42="OT",H42="3V",H42="OTNV",H42="OTV",H42="3NV",H42="3*",H42="2OTBT",H42="OT*",H42="2OTET",H42="4OTET",H42="*OTBT",H42="*OTET"),1," ")</f>
        <v>1</v>
      </c>
      <c r="AJ42" s="30">
        <f t="shared" ref="AJ42:AJ49" si="22">IF(OR(I42="*3",I42="OT**",I42=3,I42="OT",I42="3V",I42="OTNV",I42="OTV",I42="3NV",I42="3*",I42="2OTBT",I42="OT*",I42="2OTET",I42="4OTET",I42="*OTBT",I42="*OTET"),1," ")</f>
        <v>1</v>
      </c>
      <c r="AK42" s="30" t="str">
        <f t="shared" ref="AK42:AK49" si="23">IF(OR(J42="*3",J42="OT**",J42=3,J42="OT",J42="3V",J42="OTNV",J42="OTV",J42="3NV",J42="3*",J42="2OTBT",J42="OT*",J42="2OTET",J42="4OTET",J42="*OTBT",J42="*OTET"),1," ")</f>
        <v xml:space="preserve"> </v>
      </c>
      <c r="AL42" s="30" t="str">
        <f t="shared" ref="AL42:AL49" si="24">IF(OR(K42="*3",K42="OT**",K42=3,K42="OT",K42="3V",K42="OTNV",K42="OTV",K42="3NV",K42="3*",K42="2OTBT",K42="OT*",K42="2OTET",K42="4OTET",K42="*OTBT",K42="*OTET"),1," ")</f>
        <v xml:space="preserve"> </v>
      </c>
      <c r="AM42" s="30">
        <f t="shared" ref="AM42:AM49" si="25">IF(OR(L42="*3",L42="OT**",L42=3,L42="OT",L42="3V",L42="OTNV",L42="OTV",L42="3NV",L42="3*",L42="2OTBT",L42="OT*",L42="2OTET",L42="4OTET",L42="*OTBT",L42="*OTET"),1," ")</f>
        <v>1</v>
      </c>
      <c r="AN42" s="540"/>
      <c r="AO42" s="219"/>
      <c r="AP42" s="219"/>
      <c r="AQ42" s="219"/>
      <c r="AR42" s="219"/>
      <c r="AS42" s="219"/>
      <c r="AT42" s="219"/>
      <c r="AU42" s="219"/>
      <c r="AV42" s="219"/>
      <c r="AW42" s="256"/>
      <c r="AX42" s="256"/>
      <c r="AY42" s="256"/>
      <c r="AZ42" s="256"/>
      <c r="BA42" s="256"/>
      <c r="BB42" s="256"/>
      <c r="BC42" s="256"/>
      <c r="BD42" s="256"/>
      <c r="BE42" s="256"/>
      <c r="BF42" s="256"/>
      <c r="BG42" s="256"/>
      <c r="BH42" s="256"/>
      <c r="BI42" s="256"/>
      <c r="BJ42" s="256"/>
      <c r="BK42" s="256"/>
      <c r="BL42" s="256"/>
      <c r="BM42" s="256"/>
      <c r="BN42" s="256"/>
      <c r="BO42" s="256"/>
      <c r="BP42" s="256"/>
      <c r="BQ42" s="256"/>
      <c r="BR42" s="256"/>
      <c r="BS42" s="256"/>
      <c r="BT42" s="256"/>
      <c r="CB42" s="536">
        <v>22</v>
      </c>
      <c r="CC42" s="537">
        <f t="shared" si="16"/>
        <v>42658</v>
      </c>
    </row>
    <row r="43" spans="1:82" ht="21.75" customHeight="1" thickBot="1" x14ac:dyDescent="0.3">
      <c r="A43" s="236">
        <f>IF('Master List'!A33=0," ",'Master List'!A33)</f>
        <v>95615023</v>
      </c>
      <c r="B43" s="477"/>
      <c r="C43" s="242">
        <v>9</v>
      </c>
      <c r="D43" s="397"/>
      <c r="E43" s="546" t="str">
        <f>IF('Master List'!$C33=0," ",'Master List'!$C33)</f>
        <v>C. FERNANDEZ JR</v>
      </c>
      <c r="F43" s="730">
        <v>3</v>
      </c>
      <c r="G43" s="727" t="s">
        <v>90</v>
      </c>
      <c r="H43" s="727" t="s">
        <v>90</v>
      </c>
      <c r="I43" s="727">
        <v>3</v>
      </c>
      <c r="J43" s="727">
        <v>3</v>
      </c>
      <c r="K43" s="731">
        <v>3</v>
      </c>
      <c r="L43" s="728">
        <v>3</v>
      </c>
      <c r="M43" s="741"/>
      <c r="N43" s="570"/>
      <c r="O43" s="513"/>
      <c r="Q43" s="228"/>
      <c r="R43" s="228"/>
      <c r="S43" s="228"/>
      <c r="T43" s="228"/>
      <c r="U43" s="232"/>
      <c r="V43" s="228"/>
      <c r="W43" s="228"/>
      <c r="AG43" s="30">
        <f t="shared" si="19"/>
        <v>1</v>
      </c>
      <c r="AH43" s="30" t="str">
        <f t="shared" si="20"/>
        <v xml:space="preserve"> </v>
      </c>
      <c r="AI43" s="30" t="str">
        <f t="shared" si="21"/>
        <v xml:space="preserve"> </v>
      </c>
      <c r="AJ43" s="30">
        <f t="shared" si="22"/>
        <v>1</v>
      </c>
      <c r="AK43" s="30">
        <f t="shared" si="23"/>
        <v>1</v>
      </c>
      <c r="AL43" s="30">
        <f t="shared" si="24"/>
        <v>1</v>
      </c>
      <c r="AM43" s="30">
        <f t="shared" si="25"/>
        <v>1</v>
      </c>
      <c r="AN43" s="540"/>
      <c r="AO43" s="219"/>
      <c r="AP43" s="219"/>
      <c r="AQ43" s="219"/>
      <c r="AR43" s="219"/>
      <c r="AS43" s="219"/>
      <c r="AT43" s="219"/>
      <c r="AU43" s="219"/>
      <c r="AV43" s="219"/>
      <c r="AW43" s="256"/>
      <c r="AX43" s="256"/>
      <c r="AY43" s="256"/>
      <c r="AZ43" s="256"/>
      <c r="BA43" s="256"/>
      <c r="BB43" s="256"/>
      <c r="BC43" s="256"/>
      <c r="BD43" s="256"/>
      <c r="BE43" s="256"/>
      <c r="BF43" s="256"/>
      <c r="BG43" s="256"/>
      <c r="BH43" s="256"/>
      <c r="BI43" s="256"/>
      <c r="BJ43" s="256"/>
      <c r="BK43" s="256"/>
      <c r="BL43" s="256"/>
      <c r="BM43" s="256"/>
      <c r="BN43" s="256"/>
      <c r="BO43" s="256"/>
      <c r="BP43" s="256"/>
      <c r="BQ43" s="256"/>
      <c r="BR43" s="256"/>
      <c r="BS43" s="256"/>
      <c r="BT43" s="256"/>
      <c r="CB43" s="536">
        <v>23</v>
      </c>
      <c r="CC43" s="537">
        <f t="shared" si="16"/>
        <v>42672</v>
      </c>
    </row>
    <row r="44" spans="1:82" ht="21.75" customHeight="1" thickBot="1" x14ac:dyDescent="0.3">
      <c r="A44" s="236">
        <f>IF('Master List'!A34=0," ",'Master List'!A34)</f>
        <v>70214765</v>
      </c>
      <c r="B44" s="477"/>
      <c r="C44" s="242">
        <v>9</v>
      </c>
      <c r="D44" s="396"/>
      <c r="E44" s="546" t="str">
        <f>IF('Master List'!$C34=0," ",'Master List'!$C34)</f>
        <v>W. BROWN</v>
      </c>
      <c r="F44" s="730" t="s">
        <v>90</v>
      </c>
      <c r="G44" s="727">
        <v>3</v>
      </c>
      <c r="H44" s="727">
        <v>3</v>
      </c>
      <c r="I44" s="731">
        <v>3</v>
      </c>
      <c r="J44" s="731">
        <v>3</v>
      </c>
      <c r="K44" s="727">
        <v>3</v>
      </c>
      <c r="L44" s="728" t="s">
        <v>90</v>
      </c>
      <c r="M44" s="739"/>
      <c r="N44" s="570"/>
      <c r="O44" s="513"/>
      <c r="Q44" s="228"/>
      <c r="R44" s="228"/>
      <c r="S44" s="228"/>
      <c r="T44" s="228"/>
      <c r="U44" s="232" t="s">
        <v>109</v>
      </c>
      <c r="V44" s="228"/>
      <c r="W44" s="228" t="s">
        <v>110</v>
      </c>
      <c r="AG44" s="30" t="str">
        <f t="shared" si="19"/>
        <v xml:space="preserve"> </v>
      </c>
      <c r="AH44" s="30">
        <f t="shared" si="20"/>
        <v>1</v>
      </c>
      <c r="AI44" s="30">
        <f t="shared" si="21"/>
        <v>1</v>
      </c>
      <c r="AJ44" s="30">
        <f t="shared" si="22"/>
        <v>1</v>
      </c>
      <c r="AK44" s="30">
        <f t="shared" si="23"/>
        <v>1</v>
      </c>
      <c r="AL44" s="30">
        <f t="shared" si="24"/>
        <v>1</v>
      </c>
      <c r="AM44" s="30" t="str">
        <f t="shared" si="25"/>
        <v xml:space="preserve"> </v>
      </c>
      <c r="AN44" s="540"/>
      <c r="AO44" s="219"/>
      <c r="AP44" s="219"/>
      <c r="AQ44" s="219"/>
      <c r="AR44" s="219"/>
      <c r="AS44" s="219"/>
      <c r="AT44" s="219"/>
      <c r="AU44" s="219"/>
      <c r="AV44" s="219"/>
      <c r="AW44" s="256"/>
      <c r="AX44" s="256"/>
      <c r="AY44" s="256"/>
      <c r="AZ44" s="256"/>
      <c r="BA44" s="256"/>
      <c r="BB44" s="256"/>
      <c r="BC44" s="256"/>
      <c r="BD44" s="256"/>
      <c r="BE44" s="256"/>
      <c r="BF44" s="256"/>
      <c r="BG44" s="256"/>
      <c r="BH44" s="256"/>
      <c r="BI44" s="256"/>
      <c r="BJ44" s="256"/>
      <c r="BK44" s="256"/>
      <c r="BL44" s="256"/>
      <c r="BM44" s="256"/>
      <c r="BN44" s="256"/>
      <c r="BO44" s="256"/>
      <c r="BP44" s="256"/>
      <c r="BQ44" s="256"/>
      <c r="BR44" s="256"/>
      <c r="BS44" s="256"/>
      <c r="BT44" s="256"/>
      <c r="CB44" s="536">
        <v>24</v>
      </c>
      <c r="CC44" s="537">
        <f t="shared" si="16"/>
        <v>42686</v>
      </c>
    </row>
    <row r="45" spans="1:82" ht="21.75" customHeight="1" thickBot="1" x14ac:dyDescent="0.3">
      <c r="A45" s="236">
        <f>IF('Master List'!A35=0," ",'Master List'!A35)</f>
        <v>95697011</v>
      </c>
      <c r="B45" s="395"/>
      <c r="C45" s="242">
        <v>9</v>
      </c>
      <c r="D45" s="396"/>
      <c r="E45" s="546" t="str">
        <f>IF('Master List'!$C35=0," ",'Master List'!$C35)</f>
        <v>T. SERRANO</v>
      </c>
      <c r="F45" s="730" t="s">
        <v>90</v>
      </c>
      <c r="G45" s="727" t="s">
        <v>90</v>
      </c>
      <c r="H45" s="727">
        <v>3</v>
      </c>
      <c r="I45" s="731">
        <v>3</v>
      </c>
      <c r="J45" s="727">
        <v>3</v>
      </c>
      <c r="K45" s="731">
        <v>3</v>
      </c>
      <c r="L45" s="728">
        <v>3</v>
      </c>
      <c r="M45" s="736" t="s">
        <v>369</v>
      </c>
      <c r="N45" s="517"/>
      <c r="O45" s="510"/>
      <c r="Q45" s="228"/>
      <c r="R45" s="228"/>
      <c r="S45" s="228"/>
      <c r="T45" s="228"/>
      <c r="U45" s="232" t="s">
        <v>111</v>
      </c>
      <c r="V45" s="228"/>
      <c r="W45" s="228" t="s">
        <v>112</v>
      </c>
      <c r="AG45" s="30" t="str">
        <f t="shared" si="19"/>
        <v xml:space="preserve"> </v>
      </c>
      <c r="AH45" s="30" t="str">
        <f t="shared" si="20"/>
        <v xml:space="preserve"> </v>
      </c>
      <c r="AI45" s="30">
        <f t="shared" si="21"/>
        <v>1</v>
      </c>
      <c r="AJ45" s="30">
        <f t="shared" si="22"/>
        <v>1</v>
      </c>
      <c r="AK45" s="30">
        <f t="shared" si="23"/>
        <v>1</v>
      </c>
      <c r="AL45" s="30">
        <f t="shared" si="24"/>
        <v>1</v>
      </c>
      <c r="AM45" s="30">
        <f t="shared" si="25"/>
        <v>1</v>
      </c>
      <c r="AN45" s="540"/>
      <c r="AO45" s="219"/>
      <c r="AP45" s="219"/>
      <c r="AQ45" s="219"/>
      <c r="AR45" s="219"/>
      <c r="AS45" s="219"/>
      <c r="AT45" s="219"/>
      <c r="AU45" s="219"/>
      <c r="AV45" s="219"/>
      <c r="AW45" s="256"/>
      <c r="AX45" s="256"/>
      <c r="AY45" s="256"/>
      <c r="AZ45" s="256"/>
      <c r="BA45" s="256"/>
      <c r="BB45" s="256"/>
      <c r="BC45" s="256"/>
      <c r="BD45" s="256"/>
      <c r="BE45" s="256"/>
      <c r="BF45" s="256"/>
      <c r="BG45" s="256"/>
      <c r="BH45" s="256"/>
      <c r="BI45" s="256"/>
      <c r="BJ45" s="256"/>
      <c r="BK45" s="256"/>
      <c r="BL45" s="256"/>
      <c r="BM45" s="256"/>
      <c r="BN45" s="256"/>
      <c r="BO45" s="256"/>
      <c r="BP45" s="256"/>
      <c r="BQ45" s="256"/>
      <c r="BR45" s="256"/>
      <c r="BS45" s="256"/>
      <c r="BT45" s="256"/>
      <c r="CB45" s="536">
        <v>25</v>
      </c>
      <c r="CC45" s="537">
        <f t="shared" si="16"/>
        <v>42700</v>
      </c>
    </row>
    <row r="46" spans="1:82" ht="21.75" customHeight="1" thickBot="1" x14ac:dyDescent="0.3">
      <c r="A46" s="236">
        <v>95838720</v>
      </c>
      <c r="B46" s="395"/>
      <c r="C46" s="242">
        <v>9</v>
      </c>
      <c r="D46" s="662"/>
      <c r="E46" s="546" t="str">
        <f>IF('Master List'!$C36=0," ",'Master List'!$C36)</f>
        <v>K. CRAWFORD</v>
      </c>
      <c r="F46" s="730" t="s">
        <v>90</v>
      </c>
      <c r="G46" s="727" t="s">
        <v>90</v>
      </c>
      <c r="H46" s="727">
        <v>3</v>
      </c>
      <c r="I46" s="727">
        <v>3</v>
      </c>
      <c r="J46" s="727">
        <v>3</v>
      </c>
      <c r="K46" s="727">
        <v>3</v>
      </c>
      <c r="L46" s="728" t="s">
        <v>359</v>
      </c>
      <c r="M46" s="739" t="s">
        <v>374</v>
      </c>
      <c r="N46" s="518"/>
      <c r="O46" s="510"/>
      <c r="Q46" s="228"/>
      <c r="R46" s="228"/>
      <c r="S46" s="228"/>
      <c r="T46" s="228"/>
      <c r="U46" s="232"/>
      <c r="V46" s="228"/>
      <c r="W46" s="228"/>
      <c r="AG46" s="30" t="str">
        <f t="shared" si="19"/>
        <v xml:space="preserve"> </v>
      </c>
      <c r="AH46" s="30" t="str">
        <f t="shared" si="20"/>
        <v xml:space="preserve"> </v>
      </c>
      <c r="AI46" s="30">
        <f t="shared" si="21"/>
        <v>1</v>
      </c>
      <c r="AJ46" s="30">
        <f t="shared" si="22"/>
        <v>1</v>
      </c>
      <c r="AK46" s="30">
        <f t="shared" si="23"/>
        <v>1</v>
      </c>
      <c r="AL46" s="30">
        <f t="shared" si="24"/>
        <v>1</v>
      </c>
      <c r="AM46" s="30" t="str">
        <f t="shared" si="25"/>
        <v xml:space="preserve"> </v>
      </c>
      <c r="AN46" s="540"/>
      <c r="AO46" s="219"/>
      <c r="AP46" s="219"/>
      <c r="AQ46" s="219"/>
      <c r="AR46" s="219"/>
      <c r="AS46" s="219"/>
      <c r="AT46" s="219"/>
      <c r="AU46" s="219"/>
      <c r="AV46" s="219"/>
      <c r="AW46" s="256"/>
      <c r="AX46" s="256"/>
      <c r="AY46" s="256"/>
      <c r="AZ46" s="256"/>
      <c r="BA46" s="256"/>
      <c r="BB46" s="256"/>
      <c r="BC46" s="256"/>
      <c r="BD46" s="256"/>
      <c r="BE46" s="256"/>
      <c r="BF46" s="256"/>
      <c r="BG46" s="256"/>
      <c r="BH46" s="256"/>
      <c r="BI46" s="256"/>
      <c r="BJ46" s="256"/>
      <c r="BK46" s="256"/>
      <c r="BL46" s="256"/>
      <c r="BM46" s="256"/>
      <c r="BN46" s="256"/>
      <c r="BO46" s="256"/>
      <c r="BP46" s="256"/>
      <c r="BQ46" s="256"/>
      <c r="BR46" s="256"/>
      <c r="BS46" s="256"/>
      <c r="BT46" s="256"/>
      <c r="CB46" s="536">
        <v>26</v>
      </c>
      <c r="CC46" s="537">
        <f t="shared" si="16"/>
        <v>42714</v>
      </c>
    </row>
    <row r="47" spans="1:82" ht="21.75" customHeight="1" thickBot="1" x14ac:dyDescent="0.3">
      <c r="A47" s="236">
        <f>IF('Master List'!A37=0," ",'Master List'!A37)</f>
        <v>95526948</v>
      </c>
      <c r="B47" s="396"/>
      <c r="C47" s="242">
        <v>9</v>
      </c>
      <c r="D47" s="396"/>
      <c r="E47" s="546" t="str">
        <f>IF('Master List'!$C37=0," ",'Master List'!$C37)</f>
        <v>L. WHITTEN</v>
      </c>
      <c r="F47" s="730" t="s">
        <v>200</v>
      </c>
      <c r="G47" s="727" t="s">
        <v>200</v>
      </c>
      <c r="H47" s="758" t="s">
        <v>200</v>
      </c>
      <c r="I47" s="727" t="s">
        <v>200</v>
      </c>
      <c r="J47" s="727" t="s">
        <v>200</v>
      </c>
      <c r="K47" s="731" t="s">
        <v>200</v>
      </c>
      <c r="L47" s="728" t="s">
        <v>200</v>
      </c>
      <c r="M47" s="736" t="s">
        <v>342</v>
      </c>
      <c r="N47" s="519"/>
      <c r="O47" s="510"/>
      <c r="Q47" s="228"/>
      <c r="R47" s="228"/>
      <c r="S47" s="228"/>
      <c r="T47" s="228"/>
      <c r="U47" s="232" t="s">
        <v>113</v>
      </c>
      <c r="V47" s="228"/>
      <c r="W47" s="228" t="s">
        <v>114</v>
      </c>
      <c r="AG47" s="30" t="str">
        <f t="shared" si="19"/>
        <v xml:space="preserve"> </v>
      </c>
      <c r="AH47" s="30" t="str">
        <f t="shared" si="20"/>
        <v xml:space="preserve"> </v>
      </c>
      <c r="AI47" s="30" t="str">
        <f t="shared" si="21"/>
        <v xml:space="preserve"> </v>
      </c>
      <c r="AJ47" s="30" t="str">
        <f t="shared" si="22"/>
        <v xml:space="preserve"> </v>
      </c>
      <c r="AK47" s="30" t="str">
        <f t="shared" si="23"/>
        <v xml:space="preserve"> </v>
      </c>
      <c r="AL47" s="30" t="str">
        <f t="shared" si="24"/>
        <v xml:space="preserve"> </v>
      </c>
      <c r="AM47" s="30" t="str">
        <f t="shared" si="25"/>
        <v xml:space="preserve"> </v>
      </c>
      <c r="AN47" s="540"/>
      <c r="AO47" s="219"/>
      <c r="AP47" s="219"/>
      <c r="AQ47" s="219"/>
      <c r="AR47" s="219"/>
      <c r="AS47" s="219"/>
      <c r="AT47" s="219"/>
      <c r="AU47" s="219"/>
      <c r="AV47" s="219"/>
      <c r="AW47" s="256"/>
      <c r="AX47" s="256"/>
      <c r="AY47" s="256"/>
      <c r="AZ47" s="256"/>
      <c r="BA47" s="256"/>
      <c r="BB47" s="256"/>
      <c r="BC47" s="256"/>
      <c r="BD47" s="256"/>
      <c r="BE47" s="256"/>
      <c r="BF47" s="256"/>
      <c r="BG47" s="256"/>
      <c r="BH47" s="256"/>
      <c r="BI47" s="256"/>
      <c r="BJ47" s="256"/>
      <c r="BK47" s="256"/>
      <c r="BL47" s="256"/>
      <c r="BM47" s="256"/>
      <c r="BN47" s="256"/>
      <c r="BO47" s="256"/>
      <c r="BP47" s="256"/>
      <c r="BQ47" s="256"/>
      <c r="BR47" s="256"/>
      <c r="BS47" s="256"/>
      <c r="BT47" s="256"/>
      <c r="CB47" s="536">
        <v>27</v>
      </c>
      <c r="CC47" s="537">
        <f t="shared" si="16"/>
        <v>42728</v>
      </c>
    </row>
    <row r="48" spans="1:82" ht="21.75" customHeight="1" thickBot="1" x14ac:dyDescent="0.3">
      <c r="A48" s="236">
        <f>IF('Master List'!A38=0," ",'Master List'!A38)</f>
        <v>96838720</v>
      </c>
      <c r="B48" s="245"/>
      <c r="C48" s="242">
        <v>9</v>
      </c>
      <c r="D48" s="245"/>
      <c r="E48" s="546" t="str">
        <f>IF('Master List'!$C38=0," ",'Master List'!$C38)</f>
        <v>W. BATES</v>
      </c>
      <c r="F48" s="730" t="s">
        <v>200</v>
      </c>
      <c r="G48" s="727" t="s">
        <v>200</v>
      </c>
      <c r="H48" s="727" t="s">
        <v>200</v>
      </c>
      <c r="I48" s="727" t="s">
        <v>200</v>
      </c>
      <c r="J48" s="727" t="s">
        <v>200</v>
      </c>
      <c r="K48" s="731" t="s">
        <v>200</v>
      </c>
      <c r="L48" s="728" t="s">
        <v>200</v>
      </c>
      <c r="M48" s="739" t="s">
        <v>355</v>
      </c>
      <c r="N48" s="570"/>
      <c r="O48" s="513"/>
      <c r="P48" s="534" t="s">
        <v>56</v>
      </c>
      <c r="Q48" s="228"/>
      <c r="R48" s="228"/>
      <c r="S48" s="228"/>
      <c r="T48" s="228"/>
      <c r="U48" s="232" t="s">
        <v>115</v>
      </c>
      <c r="V48" s="228"/>
      <c r="W48" s="228" t="s">
        <v>116</v>
      </c>
      <c r="AG48" s="30" t="str">
        <f t="shared" si="19"/>
        <v xml:space="preserve"> </v>
      </c>
      <c r="AH48" s="30" t="str">
        <f t="shared" si="20"/>
        <v xml:space="preserve"> </v>
      </c>
      <c r="AI48" s="30" t="str">
        <f t="shared" si="21"/>
        <v xml:space="preserve"> </v>
      </c>
      <c r="AJ48" s="30" t="str">
        <f t="shared" si="22"/>
        <v xml:space="preserve"> </v>
      </c>
      <c r="AK48" s="30" t="str">
        <f t="shared" si="23"/>
        <v xml:space="preserve"> </v>
      </c>
      <c r="AL48" s="30" t="str">
        <f t="shared" si="24"/>
        <v xml:space="preserve"> </v>
      </c>
      <c r="AM48" s="30" t="str">
        <f t="shared" si="25"/>
        <v xml:space="preserve"> </v>
      </c>
      <c r="AN48" s="540"/>
      <c r="AO48" s="219"/>
      <c r="AP48" s="219"/>
      <c r="AQ48" s="219"/>
      <c r="AR48" s="219"/>
      <c r="AS48" s="219"/>
      <c r="AT48" s="219"/>
      <c r="AU48" s="219"/>
      <c r="AV48" s="219"/>
      <c r="AW48" s="256"/>
      <c r="AX48" s="256"/>
      <c r="AY48" s="256"/>
      <c r="AZ48" s="256"/>
      <c r="BA48" s="256"/>
      <c r="BB48" s="256"/>
      <c r="BC48" s="256"/>
      <c r="BD48" s="256"/>
      <c r="BE48" s="256"/>
      <c r="BF48" s="256"/>
      <c r="BG48" s="256"/>
      <c r="BH48" s="256"/>
      <c r="BI48" s="256"/>
      <c r="BJ48" s="256"/>
      <c r="BK48" s="256"/>
      <c r="BL48" s="256"/>
      <c r="BM48" s="256"/>
      <c r="BN48" s="256"/>
      <c r="BO48" s="256"/>
      <c r="BP48" s="256"/>
      <c r="BQ48" s="256"/>
      <c r="BR48" s="256"/>
      <c r="BS48" s="256"/>
      <c r="BT48" s="256"/>
      <c r="CB48" s="536"/>
      <c r="CC48" s="537">
        <f t="shared" si="16"/>
        <v>42742</v>
      </c>
      <c r="CD48" s="534" t="s">
        <v>314</v>
      </c>
    </row>
    <row r="49" spans="1:82" ht="21.75" customHeight="1" thickBot="1" x14ac:dyDescent="0.3">
      <c r="A49" s="234">
        <f>IF('Master List'!A39=0," ",'Master List'!A39)</f>
        <v>95697011</v>
      </c>
      <c r="B49" s="396"/>
      <c r="C49" s="583">
        <v>9</v>
      </c>
      <c r="D49" s="620" t="s">
        <v>147</v>
      </c>
      <c r="E49" s="584" t="str">
        <f>IF('Master List'!$C39=0," ",'Master List'!$C39)</f>
        <v>M. RESENDEZ</v>
      </c>
      <c r="F49" s="730">
        <v>3</v>
      </c>
      <c r="G49" s="727">
        <v>3</v>
      </c>
      <c r="H49" s="727">
        <v>3</v>
      </c>
      <c r="I49" s="727">
        <v>3</v>
      </c>
      <c r="J49" s="727">
        <v>3</v>
      </c>
      <c r="K49" s="727" t="s">
        <v>90</v>
      </c>
      <c r="L49" s="844" t="s">
        <v>93</v>
      </c>
      <c r="M49" s="736"/>
      <c r="N49" s="520"/>
      <c r="O49" s="510"/>
      <c r="Q49" s="228"/>
      <c r="R49" s="228"/>
      <c r="S49" s="228"/>
      <c r="T49" s="228"/>
      <c r="U49" s="232" t="s">
        <v>117</v>
      </c>
      <c r="V49" s="228"/>
      <c r="W49" s="228" t="s">
        <v>118</v>
      </c>
      <c r="AG49" s="30">
        <f>IF(OR(F49="*3",F49="OT**",F49=3,F49="OT",F49="3V",F49="OTNV",F49="OTV",F49="3NV",F49="3*",F49="2OTBT",F49="OT*",F49="2OTET",F49="4OTET",F49="*OTBT",F49="*OTET"),1," ")</f>
        <v>1</v>
      </c>
      <c r="AH49" s="30">
        <f t="shared" si="20"/>
        <v>1</v>
      </c>
      <c r="AI49" s="30">
        <f t="shared" si="21"/>
        <v>1</v>
      </c>
      <c r="AJ49" s="30">
        <f t="shared" si="22"/>
        <v>1</v>
      </c>
      <c r="AK49" s="30">
        <f t="shared" si="23"/>
        <v>1</v>
      </c>
      <c r="AL49" s="30" t="str">
        <f t="shared" si="24"/>
        <v xml:space="preserve"> </v>
      </c>
      <c r="AM49" s="30">
        <f t="shared" si="25"/>
        <v>1</v>
      </c>
      <c r="AN49" s="540"/>
      <c r="AO49" s="219"/>
      <c r="AP49" s="219"/>
      <c r="AQ49" s="219"/>
      <c r="AR49" s="219"/>
      <c r="AS49" s="219"/>
      <c r="AT49" s="219"/>
      <c r="AU49" s="219"/>
      <c r="AV49" s="219"/>
      <c r="AW49" s="256"/>
      <c r="AX49" s="256"/>
      <c r="AY49" s="256"/>
      <c r="AZ49" s="256"/>
      <c r="BA49" s="256"/>
      <c r="BB49" s="256"/>
      <c r="BC49" s="256"/>
      <c r="BD49" s="256"/>
      <c r="BE49" s="256"/>
      <c r="BF49" s="256"/>
      <c r="BG49" s="256"/>
      <c r="BH49" s="256"/>
      <c r="BI49" s="256"/>
      <c r="BJ49" s="256"/>
      <c r="BK49" s="256"/>
      <c r="BL49" s="256"/>
      <c r="BM49" s="256"/>
      <c r="BN49" s="256"/>
      <c r="BO49" s="256"/>
      <c r="BP49" s="256"/>
      <c r="BQ49" s="256"/>
      <c r="BR49" s="256"/>
      <c r="BS49" s="256"/>
      <c r="BT49" s="256"/>
    </row>
    <row r="50" spans="1:82" ht="21.75" customHeight="1" thickBot="1" x14ac:dyDescent="0.3">
      <c r="A50" s="234">
        <f>IF('Master List'!A40=0," ",'Master List'!A40)</f>
        <v>71324049</v>
      </c>
      <c r="B50" s="396"/>
      <c r="C50" s="583">
        <v>9</v>
      </c>
      <c r="D50" s="396"/>
      <c r="E50" s="584" t="str">
        <f>IF('Master List'!$C40=0," ",'Master List'!$C40)</f>
        <v>M. LEE</v>
      </c>
      <c r="F50" s="730" t="s">
        <v>200</v>
      </c>
      <c r="G50" s="727" t="s">
        <v>200</v>
      </c>
      <c r="H50" s="727" t="s">
        <v>200</v>
      </c>
      <c r="I50" s="727" t="s">
        <v>200</v>
      </c>
      <c r="J50" s="727" t="s">
        <v>200</v>
      </c>
      <c r="K50" s="727" t="s">
        <v>200</v>
      </c>
      <c r="L50" s="728" t="s">
        <v>200</v>
      </c>
      <c r="M50" s="736" t="s">
        <v>342</v>
      </c>
      <c r="N50" s="520"/>
      <c r="O50" s="510"/>
      <c r="Q50" s="228"/>
      <c r="R50" s="228"/>
      <c r="S50" s="228"/>
      <c r="T50" s="228"/>
      <c r="U50" s="232"/>
      <c r="V50" s="228"/>
      <c r="W50" s="228"/>
      <c r="AG50" s="30" t="str">
        <f t="shared" ref="AG50:AG55" si="26">IF(OR(F50="*3",F50="OT**",F50=3,F50="OT",F50="3V",F50="OTNV",F50="OTV",F50="3NV",F50="3*",F50="2OTBT",F50="OT*",F50="2OTET",F50="4OTET",F50="*OTBT",F50="*OTET"),1," ")</f>
        <v xml:space="preserve"> </v>
      </c>
      <c r="AH50" s="30" t="str">
        <f t="shared" ref="AH50:AH55" si="27">IF(OR(G50="*3",G50="OT**",G50=3,G50="OT",G50="3V",G50="OTNV",G50="OTV",G50="3NV",G50="3*",G50="2OTBT",G50="OT*",G50="2OTET",G50="4OTET",G50="*OTBT",G50="*OTET"),1," ")</f>
        <v xml:space="preserve"> </v>
      </c>
      <c r="AI50" s="30" t="str">
        <f t="shared" ref="AI50:AI55" si="28">IF(OR(H50="*3",H50="OT**",H50=3,H50="OT",H50="3V",H50="OTNV",H50="OTV",H50="3NV",H50="3*",H50="2OTBT",H50="OT*",H50="2OTET",H50="4OTET",H50="*OTBT",H50="*OTET"),1," ")</f>
        <v xml:space="preserve"> </v>
      </c>
      <c r="AJ50" s="30" t="str">
        <f t="shared" ref="AJ50:AJ55" si="29">IF(OR(I50="*3",I50="OT**",I50=3,I50="OT",I50="3V",I50="OTNV",I50="OTV",I50="3NV",I50="3*",I50="2OTBT",I50="OT*",I50="2OTET",I50="4OTET",I50="*OTBT",I50="*OTET"),1," ")</f>
        <v xml:space="preserve"> </v>
      </c>
      <c r="AK50" s="30" t="str">
        <f t="shared" ref="AK50:AK55" si="30">IF(OR(J50="*3",J50="OT**",J50=3,J50="OT",J50="3V",J50="OTNV",J50="OTV",J50="3NV",J50="3*",J50="2OTBT",J50="OT*",J50="2OTET",J50="4OTET",J50="*OTBT",J50="*OTET"),1," ")</f>
        <v xml:space="preserve"> </v>
      </c>
      <c r="AL50" s="30" t="str">
        <f t="shared" ref="AL50:AL55" si="31">IF(OR(K50="*3",K50="OT**",K50=3,K50="OT",K50="3V",K50="OTNV",K50="OTV",K50="3NV",K50="3*",K50="2OTBT",K50="OT*",K50="2OTET",K50="4OTET",K50="*OTBT",K50="*OTET"),1," ")</f>
        <v xml:space="preserve"> </v>
      </c>
      <c r="AM50" s="30" t="str">
        <f t="shared" ref="AM50:AM55" si="32">IF(OR(L50="*3",L50="OT**",L50=3,L50="OT",L50="3V",L50="OTNV",L50="OTV",L50="3NV",L50="3*",L50="2OTBT",L50="OT*",L50="2OTET",L50="4OTET",L50="*OTBT",L50="*OTET"),1," ")</f>
        <v xml:space="preserve"> </v>
      </c>
      <c r="AN50" s="540"/>
      <c r="AO50" s="219"/>
      <c r="AP50" s="219"/>
      <c r="AQ50" s="219"/>
      <c r="AR50" s="219"/>
      <c r="AS50" s="219"/>
      <c r="AT50" s="219"/>
      <c r="AU50" s="219"/>
      <c r="AV50" s="219"/>
      <c r="AW50" s="256"/>
      <c r="AX50" s="256"/>
      <c r="AY50" s="256"/>
      <c r="AZ50" s="256"/>
      <c r="BA50" s="256"/>
      <c r="BB50" s="256"/>
      <c r="BC50" s="256"/>
      <c r="BD50" s="256"/>
      <c r="BE50" s="256"/>
      <c r="BF50" s="256"/>
      <c r="BG50" s="256"/>
      <c r="BH50" s="256"/>
      <c r="BI50" s="256"/>
      <c r="BJ50" s="256"/>
      <c r="BK50" s="256"/>
      <c r="BL50" s="256"/>
      <c r="BM50" s="256"/>
      <c r="BN50" s="256"/>
      <c r="BO50" s="256"/>
      <c r="BP50" s="256"/>
      <c r="BQ50" s="256"/>
      <c r="BR50" s="256"/>
      <c r="BS50" s="256"/>
      <c r="BT50" s="256"/>
      <c r="CB50" s="536"/>
      <c r="CC50" s="537"/>
    </row>
    <row r="51" spans="1:82" ht="21.75" customHeight="1" thickBot="1" x14ac:dyDescent="0.3">
      <c r="A51" s="234">
        <f>IF('Master List'!A41=0," ",'Master List'!A41)</f>
        <v>95608457</v>
      </c>
      <c r="B51" s="396"/>
      <c r="C51" s="583">
        <v>9</v>
      </c>
      <c r="D51" s="810" t="s">
        <v>147</v>
      </c>
      <c r="E51" s="584" t="str">
        <f>IF('Master List'!$C41=0," ",'Master List'!$C41)</f>
        <v>R. BAIWIR</v>
      </c>
      <c r="F51" s="730">
        <v>3</v>
      </c>
      <c r="G51" s="727">
        <v>3</v>
      </c>
      <c r="H51" s="727">
        <v>3</v>
      </c>
      <c r="I51" s="735" t="s">
        <v>93</v>
      </c>
      <c r="J51" s="727" t="s">
        <v>90</v>
      </c>
      <c r="K51" s="727">
        <v>3</v>
      </c>
      <c r="L51" s="728">
        <v>3</v>
      </c>
      <c r="M51" s="736"/>
      <c r="N51" s="520"/>
      <c r="O51" s="510"/>
      <c r="Q51" s="228"/>
      <c r="R51" s="228"/>
      <c r="S51" s="228"/>
      <c r="T51" s="228"/>
      <c r="U51" s="232"/>
      <c r="V51" s="228"/>
      <c r="W51" s="228"/>
      <c r="AG51" s="30">
        <f t="shared" si="26"/>
        <v>1</v>
      </c>
      <c r="AH51" s="30">
        <f t="shared" si="27"/>
        <v>1</v>
      </c>
      <c r="AI51" s="30">
        <f t="shared" si="28"/>
        <v>1</v>
      </c>
      <c r="AJ51" s="30">
        <f t="shared" si="29"/>
        <v>1</v>
      </c>
      <c r="AK51" s="30" t="str">
        <f t="shared" si="30"/>
        <v xml:space="preserve"> </v>
      </c>
      <c r="AL51" s="30">
        <f t="shared" si="31"/>
        <v>1</v>
      </c>
      <c r="AM51" s="30">
        <f t="shared" si="32"/>
        <v>1</v>
      </c>
      <c r="AN51" s="540"/>
      <c r="AO51" s="219"/>
      <c r="AP51" s="219"/>
      <c r="AQ51" s="219"/>
      <c r="AR51" s="219"/>
      <c r="AS51" s="219"/>
      <c r="AT51" s="219"/>
      <c r="AU51" s="219"/>
      <c r="AV51" s="219"/>
      <c r="AW51" s="256"/>
      <c r="AX51" s="256"/>
      <c r="AY51" s="256"/>
      <c r="AZ51" s="256"/>
      <c r="BA51" s="256"/>
      <c r="BB51" s="256"/>
      <c r="BC51" s="256"/>
      <c r="BD51" s="256"/>
      <c r="BE51" s="256"/>
      <c r="BF51" s="256"/>
      <c r="BG51" s="256"/>
      <c r="BH51" s="256"/>
      <c r="BI51" s="256"/>
      <c r="BJ51" s="256"/>
      <c r="BK51" s="256"/>
      <c r="BL51" s="256"/>
      <c r="BM51" s="256"/>
      <c r="BN51" s="256"/>
      <c r="BO51" s="256"/>
      <c r="BP51" s="256"/>
      <c r="BQ51" s="256"/>
      <c r="BR51" s="256"/>
      <c r="BS51" s="256"/>
      <c r="BT51" s="256"/>
      <c r="CB51" s="536"/>
      <c r="CC51" s="537"/>
    </row>
    <row r="52" spans="1:82" ht="21.75" customHeight="1" thickBot="1" x14ac:dyDescent="0.3">
      <c r="A52" s="234">
        <f>IF('Master List'!A42=0," ",'Master List'!A42)</f>
        <v>95719781</v>
      </c>
      <c r="B52" s="396"/>
      <c r="C52" s="583">
        <v>9</v>
      </c>
      <c r="D52" s="585"/>
      <c r="E52" s="584" t="str">
        <f>IF('Master List'!$C42=0," ",'Master List'!$C42)</f>
        <v>E. BONTON</v>
      </c>
      <c r="F52" s="730">
        <v>3</v>
      </c>
      <c r="G52" s="727">
        <v>3</v>
      </c>
      <c r="H52" s="835" t="s">
        <v>93</v>
      </c>
      <c r="I52" s="727" t="s">
        <v>90</v>
      </c>
      <c r="J52" s="727">
        <v>3</v>
      </c>
      <c r="K52" s="727">
        <v>3</v>
      </c>
      <c r="L52" s="728">
        <v>3</v>
      </c>
      <c r="M52" s="739"/>
      <c r="N52" s="520"/>
      <c r="O52" s="510"/>
      <c r="Q52" s="228"/>
      <c r="R52" s="228"/>
      <c r="S52" s="228"/>
      <c r="T52" s="228"/>
      <c r="U52" s="232"/>
      <c r="V52" s="228"/>
      <c r="W52" s="228"/>
      <c r="AG52" s="30">
        <f t="shared" si="26"/>
        <v>1</v>
      </c>
      <c r="AH52" s="30">
        <f t="shared" si="27"/>
        <v>1</v>
      </c>
      <c r="AI52" s="30">
        <f t="shared" si="28"/>
        <v>1</v>
      </c>
      <c r="AJ52" s="30" t="str">
        <f t="shared" si="29"/>
        <v xml:space="preserve"> </v>
      </c>
      <c r="AK52" s="30">
        <f t="shared" si="30"/>
        <v>1</v>
      </c>
      <c r="AL52" s="30">
        <f t="shared" si="31"/>
        <v>1</v>
      </c>
      <c r="AM52" s="30">
        <f t="shared" si="32"/>
        <v>1</v>
      </c>
      <c r="AN52" s="540"/>
      <c r="AO52" s="219"/>
      <c r="AP52" s="219"/>
      <c r="AQ52" s="219"/>
      <c r="AR52" s="219"/>
      <c r="AS52" s="219"/>
      <c r="AT52" s="219"/>
      <c r="AU52" s="219"/>
      <c r="AV52" s="219"/>
      <c r="AW52" s="256"/>
      <c r="AX52" s="256"/>
      <c r="AY52" s="256"/>
      <c r="AZ52" s="256"/>
      <c r="BA52" s="256"/>
      <c r="BB52" s="256"/>
      <c r="BC52" s="256"/>
      <c r="BD52" s="256"/>
      <c r="BE52" s="256"/>
      <c r="BF52" s="256"/>
      <c r="BG52" s="256"/>
      <c r="BH52" s="256"/>
      <c r="BI52" s="256"/>
      <c r="BJ52" s="256"/>
      <c r="BK52" s="256"/>
      <c r="BL52" s="256"/>
      <c r="BM52" s="256"/>
      <c r="BN52" s="256"/>
      <c r="BO52" s="256"/>
      <c r="BP52" s="256"/>
      <c r="BQ52" s="256"/>
      <c r="BR52" s="256"/>
      <c r="BS52" s="256"/>
      <c r="BT52" s="256"/>
      <c r="CB52" s="536"/>
      <c r="CC52" s="537"/>
    </row>
    <row r="53" spans="1:82" ht="21.75" customHeight="1" thickBot="1" x14ac:dyDescent="0.3">
      <c r="A53" s="234">
        <f>IF('Master List'!A43=0," ",'Master List'!A43)</f>
        <v>71324108</v>
      </c>
      <c r="B53" s="396"/>
      <c r="C53" s="583">
        <v>7</v>
      </c>
      <c r="D53" s="396"/>
      <c r="E53" s="584" t="str">
        <f>IF('Master List'!$C43=0," ",'Master List'!$C43)</f>
        <v>F. TITUS</v>
      </c>
      <c r="F53" s="730">
        <v>3</v>
      </c>
      <c r="G53" s="727" t="s">
        <v>90</v>
      </c>
      <c r="H53" s="727" t="s">
        <v>90</v>
      </c>
      <c r="I53" s="727">
        <v>3</v>
      </c>
      <c r="J53" s="727">
        <v>3</v>
      </c>
      <c r="K53" s="727">
        <v>3</v>
      </c>
      <c r="L53" s="728">
        <v>3</v>
      </c>
      <c r="M53" s="739"/>
      <c r="N53" s="520"/>
      <c r="O53" s="510"/>
      <c r="Q53" s="228"/>
      <c r="R53" s="228"/>
      <c r="S53" s="228"/>
      <c r="T53" s="228"/>
      <c r="U53" s="232"/>
      <c r="V53" s="228"/>
      <c r="W53" s="228"/>
      <c r="AG53" s="30">
        <f t="shared" si="26"/>
        <v>1</v>
      </c>
      <c r="AH53" s="30" t="str">
        <f t="shared" si="27"/>
        <v xml:space="preserve"> </v>
      </c>
      <c r="AI53" s="30" t="str">
        <f t="shared" si="28"/>
        <v xml:space="preserve"> </v>
      </c>
      <c r="AJ53" s="30">
        <f t="shared" si="29"/>
        <v>1</v>
      </c>
      <c r="AK53" s="30">
        <f t="shared" si="30"/>
        <v>1</v>
      </c>
      <c r="AL53" s="30">
        <f t="shared" si="31"/>
        <v>1</v>
      </c>
      <c r="AM53" s="30">
        <f t="shared" si="32"/>
        <v>1</v>
      </c>
      <c r="AN53" s="540"/>
      <c r="AO53" s="219"/>
      <c r="AP53" s="219"/>
      <c r="AQ53" s="219"/>
      <c r="AR53" s="219"/>
      <c r="AS53" s="219"/>
      <c r="AT53" s="219"/>
      <c r="AU53" s="219"/>
      <c r="AV53" s="219"/>
      <c r="AW53" s="256"/>
      <c r="AX53" s="256"/>
      <c r="AY53" s="256"/>
      <c r="AZ53" s="256"/>
      <c r="BA53" s="256"/>
      <c r="BB53" s="256"/>
      <c r="BC53" s="256"/>
      <c r="BD53" s="256"/>
      <c r="BE53" s="256"/>
      <c r="BF53" s="256"/>
      <c r="BG53" s="256"/>
      <c r="BH53" s="256"/>
      <c r="BI53" s="256"/>
      <c r="BJ53" s="256"/>
      <c r="BK53" s="256"/>
      <c r="BL53" s="256"/>
      <c r="BM53" s="256"/>
      <c r="BN53" s="256"/>
      <c r="BO53" s="256"/>
      <c r="BP53" s="256"/>
      <c r="BQ53" s="256"/>
      <c r="BR53" s="256"/>
      <c r="BS53" s="256"/>
      <c r="BT53" s="256"/>
      <c r="CB53" s="536"/>
      <c r="CC53" s="537"/>
    </row>
    <row r="54" spans="1:82" ht="21.75" customHeight="1" thickBot="1" x14ac:dyDescent="0.3">
      <c r="A54" s="234">
        <f>IF('Master List'!A44=0," ",'Master List'!A44)</f>
        <v>71324109</v>
      </c>
      <c r="B54" s="396"/>
      <c r="C54" s="583">
        <v>7</v>
      </c>
      <c r="D54" s="810" t="s">
        <v>147</v>
      </c>
      <c r="E54" s="584" t="str">
        <f>IF('Master List'!$C44=0," ",'Master List'!$C44)</f>
        <v>M. RAY</v>
      </c>
      <c r="F54" s="730">
        <v>3</v>
      </c>
      <c r="G54" s="727" t="s">
        <v>90</v>
      </c>
      <c r="H54" s="735" t="s">
        <v>93</v>
      </c>
      <c r="I54" s="727">
        <v>3</v>
      </c>
      <c r="J54" s="727">
        <v>3</v>
      </c>
      <c r="K54" s="727">
        <v>3</v>
      </c>
      <c r="L54" s="728">
        <v>3</v>
      </c>
      <c r="M54" s="736"/>
      <c r="N54" s="520"/>
      <c r="O54" s="510"/>
      <c r="Q54" s="228"/>
      <c r="R54" s="228"/>
      <c r="S54" s="228"/>
      <c r="T54" s="228"/>
      <c r="U54" s="232"/>
      <c r="V54" s="228"/>
      <c r="W54" s="228"/>
      <c r="AG54" s="30">
        <f t="shared" si="26"/>
        <v>1</v>
      </c>
      <c r="AH54" s="30" t="str">
        <f t="shared" si="27"/>
        <v xml:space="preserve"> </v>
      </c>
      <c r="AI54" s="30">
        <f t="shared" si="28"/>
        <v>1</v>
      </c>
      <c r="AJ54" s="30">
        <f t="shared" si="29"/>
        <v>1</v>
      </c>
      <c r="AK54" s="30">
        <f t="shared" si="30"/>
        <v>1</v>
      </c>
      <c r="AL54" s="30">
        <f t="shared" si="31"/>
        <v>1</v>
      </c>
      <c r="AM54" s="30">
        <f t="shared" si="32"/>
        <v>1</v>
      </c>
      <c r="AN54" s="540"/>
      <c r="AO54" s="219"/>
      <c r="AP54" s="219"/>
      <c r="AQ54" s="219"/>
      <c r="AR54" s="219"/>
      <c r="AS54" s="219"/>
      <c r="AT54" s="219"/>
      <c r="AU54" s="219"/>
      <c r="AV54" s="219"/>
      <c r="AW54" s="256"/>
      <c r="AX54" s="256"/>
      <c r="AY54" s="256"/>
      <c r="AZ54" s="256"/>
      <c r="BA54" s="256"/>
      <c r="BB54" s="256"/>
      <c r="BC54" s="256"/>
      <c r="BD54" s="256"/>
      <c r="BE54" s="256"/>
      <c r="BF54" s="256"/>
      <c r="BG54" s="256"/>
      <c r="BH54" s="256"/>
      <c r="BI54" s="256"/>
      <c r="BJ54" s="256"/>
      <c r="BK54" s="256"/>
      <c r="BL54" s="256"/>
      <c r="BM54" s="256"/>
      <c r="BN54" s="256"/>
      <c r="BO54" s="256"/>
      <c r="BP54" s="256"/>
      <c r="BQ54" s="256"/>
      <c r="BR54" s="256"/>
      <c r="BS54" s="256"/>
      <c r="BT54" s="256"/>
      <c r="CB54" s="536"/>
      <c r="CC54" s="537"/>
    </row>
    <row r="55" spans="1:82" ht="21.75" customHeight="1" thickBot="1" x14ac:dyDescent="0.3">
      <c r="A55" s="234">
        <f>IF('Master List'!A45=0," ",'Master List'!A45)</f>
        <v>70152088</v>
      </c>
      <c r="B55" s="396"/>
      <c r="C55" s="583">
        <v>7</v>
      </c>
      <c r="D55" s="396"/>
      <c r="E55" s="584" t="str">
        <f>IF('Master List'!$C45=0," ",'Master List'!$C45)</f>
        <v>M. ALLEN</v>
      </c>
      <c r="F55" s="730" t="s">
        <v>90</v>
      </c>
      <c r="G55" s="727" t="s">
        <v>200</v>
      </c>
      <c r="H55" s="727" t="s">
        <v>200</v>
      </c>
      <c r="I55" s="727" t="s">
        <v>200</v>
      </c>
      <c r="J55" s="727" t="s">
        <v>200</v>
      </c>
      <c r="K55" s="727" t="s">
        <v>200</v>
      </c>
      <c r="L55" s="728" t="s">
        <v>90</v>
      </c>
      <c r="M55" s="739" t="s">
        <v>318</v>
      </c>
      <c r="N55" s="520"/>
      <c r="O55" s="510"/>
      <c r="Q55" s="228"/>
      <c r="R55" s="228"/>
      <c r="S55" s="228"/>
      <c r="T55" s="228"/>
      <c r="U55" s="232"/>
      <c r="V55" s="228"/>
      <c r="W55" s="228"/>
      <c r="AG55" s="30" t="str">
        <f t="shared" si="26"/>
        <v xml:space="preserve"> </v>
      </c>
      <c r="AH55" s="30" t="str">
        <f t="shared" si="27"/>
        <v xml:space="preserve"> </v>
      </c>
      <c r="AI55" s="30" t="str">
        <f t="shared" si="28"/>
        <v xml:space="preserve"> </v>
      </c>
      <c r="AJ55" s="30" t="str">
        <f t="shared" si="29"/>
        <v xml:space="preserve"> </v>
      </c>
      <c r="AK55" s="30" t="str">
        <f t="shared" si="30"/>
        <v xml:space="preserve"> </v>
      </c>
      <c r="AL55" s="30" t="str">
        <f t="shared" si="31"/>
        <v xml:space="preserve"> </v>
      </c>
      <c r="AM55" s="30" t="str">
        <f t="shared" si="32"/>
        <v xml:space="preserve"> </v>
      </c>
      <c r="AN55" s="540"/>
      <c r="AO55" s="219"/>
      <c r="AP55" s="219"/>
      <c r="AQ55" s="219"/>
      <c r="AR55" s="219"/>
      <c r="AS55" s="219"/>
      <c r="AT55" s="219"/>
      <c r="AU55" s="219"/>
      <c r="AV55" s="219"/>
      <c r="AW55" s="256"/>
      <c r="AX55" s="256"/>
      <c r="AY55" s="256"/>
      <c r="AZ55" s="256"/>
      <c r="BA55" s="256"/>
      <c r="BB55" s="256"/>
      <c r="BC55" s="256"/>
      <c r="BD55" s="256"/>
      <c r="BE55" s="256"/>
      <c r="BF55" s="256"/>
      <c r="BG55" s="256"/>
      <c r="BH55" s="256"/>
      <c r="BI55" s="256"/>
      <c r="BJ55" s="256"/>
      <c r="BK55" s="256"/>
      <c r="BL55" s="256"/>
      <c r="BM55" s="256"/>
      <c r="BN55" s="256"/>
      <c r="BO55" s="256"/>
      <c r="BP55" s="256"/>
      <c r="BQ55" s="256"/>
      <c r="BR55" s="256"/>
      <c r="BS55" s="256"/>
      <c r="BT55" s="256"/>
      <c r="CB55" s="536"/>
      <c r="CC55" s="537"/>
    </row>
    <row r="56" spans="1:82" ht="21.75" customHeight="1" thickBot="1" x14ac:dyDescent="0.3">
      <c r="A56" s="234">
        <f>IF('Master List'!A46=0," ",'Master List'!A46)</f>
        <v>71324110</v>
      </c>
      <c r="B56" s="396"/>
      <c r="C56" s="583">
        <v>7</v>
      </c>
      <c r="D56" s="662"/>
      <c r="E56" s="584" t="str">
        <f>IF('Master List'!$C46=0," ",'Master List'!$C46)</f>
        <v>R. MALONE</v>
      </c>
      <c r="F56" s="730">
        <v>3</v>
      </c>
      <c r="G56" s="727">
        <v>3</v>
      </c>
      <c r="H56" s="727">
        <v>3</v>
      </c>
      <c r="I56" s="835" t="s">
        <v>93</v>
      </c>
      <c r="J56" s="727" t="s">
        <v>90</v>
      </c>
      <c r="K56" s="727">
        <v>3</v>
      </c>
      <c r="L56" s="728">
        <v>3</v>
      </c>
      <c r="M56" s="739"/>
      <c r="N56" s="520"/>
      <c r="O56" s="510"/>
      <c r="Q56" s="228"/>
      <c r="R56" s="228"/>
      <c r="S56" s="228"/>
      <c r="T56" s="228"/>
      <c r="U56" s="232"/>
      <c r="V56" s="228"/>
      <c r="W56" s="228"/>
      <c r="AG56" s="30">
        <f t="shared" ref="AG56:AG65" si="33">IF(OR(F56="*3",F56="OT**",F56=3,F56="OT",F56="3V",F56="OTNV",F56="OTV",F56="3NV",F56="3*",F56="2OTBT",F56="OT*",F56="2OTET",F56="4OTET",F56="*OTBT",F56="*OTET"),1," ")</f>
        <v>1</v>
      </c>
      <c r="AH56" s="30">
        <f t="shared" ref="AH56:AH65" si="34">IF(OR(G56="*3",G56="OT**",G56=3,G56="OT",G56="3V",G56="OTNV",G56="OTV",G56="3NV",G56="3*",G56="2OTBT",G56="OT*",G56="2OTET",G56="4OTET",G56="*OTBT",G56="*OTET"),1," ")</f>
        <v>1</v>
      </c>
      <c r="AI56" s="30">
        <f t="shared" ref="AI56:AI65" si="35">IF(OR(H56="*3",H56="OT**",H56=3,H56="OT",H56="3V",H56="OTNV",H56="OTV",H56="3NV",H56="3*",H56="2OTBT",H56="OT*",H56="2OTET",H56="4OTET",H56="*OTBT",H56="*OTET"),1," ")</f>
        <v>1</v>
      </c>
      <c r="AJ56" s="30">
        <f t="shared" ref="AJ56:AJ65" si="36">IF(OR(I56="*3",I56="OT**",I56=3,I56="OT",I56="3V",I56="OTNV",I56="OTV",I56="3NV",I56="3*",I56="2OTBT",I56="OT*",I56="2OTET",I56="4OTET",I56="*OTBT",I56="*OTET"),1," ")</f>
        <v>1</v>
      </c>
      <c r="AK56" s="30" t="str">
        <f t="shared" ref="AK56:AK65" si="37">IF(OR(J56="*3",J56="OT**",J56=3,J56="OT",J56="3V",J56="OTNV",J56="OTV",J56="3NV",J56="3*",J56="2OTBT",J56="OT*",J56="2OTET",J56="4OTET",J56="*OTBT",J56="*OTET"),1," ")</f>
        <v xml:space="preserve"> </v>
      </c>
      <c r="AL56" s="30">
        <f t="shared" ref="AL56:AL65" si="38">IF(OR(K56="*3",K56="OT**",K56=3,K56="OT",K56="3V",K56="OTNV",K56="OTV",K56="3NV",K56="3*",K56="2OTBT",K56="OT*",K56="2OTET",K56="4OTET",K56="*OTBT",K56="*OTET"),1," ")</f>
        <v>1</v>
      </c>
      <c r="AM56" s="30">
        <f t="shared" ref="AM56:AM65" si="39">IF(OR(L56="*3",L56="OT**",L56=3,L56="OT",L56="3V",L56="OTNV",L56="OTV",L56="3NV",L56="3*",L56="2OTBT",L56="OT*",L56="2OTET",L56="4OTET",L56="*OTBT",L56="*OTET"),1," ")</f>
        <v>1</v>
      </c>
      <c r="AN56" s="540"/>
      <c r="AO56" s="219"/>
      <c r="AP56" s="219"/>
      <c r="AQ56" s="219"/>
      <c r="AR56" s="219"/>
      <c r="AS56" s="219"/>
      <c r="AT56" s="219"/>
      <c r="AU56" s="219"/>
      <c r="AV56" s="219"/>
      <c r="AW56" s="256"/>
      <c r="AX56" s="256"/>
      <c r="AY56" s="256"/>
      <c r="AZ56" s="256"/>
      <c r="BA56" s="256"/>
      <c r="BB56" s="256"/>
      <c r="BC56" s="256"/>
      <c r="BD56" s="256"/>
      <c r="BE56" s="256"/>
      <c r="BF56" s="256"/>
      <c r="BG56" s="256"/>
      <c r="BH56" s="256"/>
      <c r="BI56" s="256"/>
      <c r="BJ56" s="256"/>
      <c r="BK56" s="256"/>
      <c r="BL56" s="256"/>
      <c r="BM56" s="256"/>
      <c r="BN56" s="256"/>
      <c r="BO56" s="256"/>
      <c r="BP56" s="256"/>
      <c r="BQ56" s="256"/>
      <c r="BR56" s="256"/>
      <c r="BS56" s="256"/>
      <c r="BT56" s="256"/>
      <c r="CB56" s="536"/>
      <c r="CC56" s="537"/>
    </row>
    <row r="57" spans="1:82" ht="21.75" customHeight="1" thickBot="1" x14ac:dyDescent="0.3">
      <c r="A57" s="236">
        <f>IF('Master List'!A47=0," ",'Master List'!A47)</f>
        <v>95688120</v>
      </c>
      <c r="B57" s="396"/>
      <c r="C57" s="242">
        <v>7</v>
      </c>
      <c r="D57" s="396"/>
      <c r="E57" s="546" t="str">
        <f>IF('Master List'!$C47=0," ",'Master List'!$C47)</f>
        <v>D. SMITH</v>
      </c>
      <c r="F57" s="730">
        <v>3</v>
      </c>
      <c r="G57" s="727" t="s">
        <v>90</v>
      </c>
      <c r="H57" s="835" t="s">
        <v>93</v>
      </c>
      <c r="I57" s="727">
        <v>3</v>
      </c>
      <c r="J57" s="727">
        <v>3</v>
      </c>
      <c r="K57" s="727">
        <v>3</v>
      </c>
      <c r="L57" s="728">
        <v>3</v>
      </c>
      <c r="M57" s="827"/>
      <c r="N57" s="511"/>
      <c r="O57" s="510"/>
      <c r="P57" s="243"/>
      <c r="Q57" s="228"/>
      <c r="R57" s="228"/>
      <c r="S57" s="228"/>
      <c r="T57" s="228"/>
      <c r="U57" s="228"/>
      <c r="V57" s="228"/>
      <c r="W57" s="228"/>
      <c r="AG57" s="30">
        <f t="shared" si="33"/>
        <v>1</v>
      </c>
      <c r="AH57" s="30" t="str">
        <f t="shared" si="34"/>
        <v xml:space="preserve"> </v>
      </c>
      <c r="AI57" s="30">
        <f t="shared" si="35"/>
        <v>1</v>
      </c>
      <c r="AJ57" s="30">
        <f t="shared" si="36"/>
        <v>1</v>
      </c>
      <c r="AK57" s="30">
        <f t="shared" si="37"/>
        <v>1</v>
      </c>
      <c r="AL57" s="30">
        <f t="shared" si="38"/>
        <v>1</v>
      </c>
      <c r="AM57" s="30">
        <f t="shared" si="39"/>
        <v>1</v>
      </c>
      <c r="AN57" s="540"/>
      <c r="AO57" s="219"/>
      <c r="AP57" s="219"/>
      <c r="AQ57" s="219"/>
      <c r="AR57" s="219"/>
      <c r="AS57" s="219"/>
      <c r="AT57" s="219"/>
      <c r="AU57" s="219"/>
      <c r="AV57" s="219"/>
      <c r="AW57" s="256"/>
      <c r="AX57" s="256"/>
      <c r="AY57" s="256"/>
      <c r="AZ57" s="256"/>
      <c r="BA57" s="256"/>
      <c r="BB57" s="256"/>
      <c r="BC57" s="256"/>
      <c r="BD57" s="256"/>
      <c r="BE57" s="256"/>
      <c r="BF57" s="256"/>
      <c r="BG57" s="256"/>
      <c r="BH57" s="256"/>
      <c r="BI57" s="256"/>
      <c r="BJ57" s="256"/>
      <c r="BK57" s="256"/>
      <c r="BL57" s="256"/>
      <c r="BM57" s="256"/>
      <c r="BN57" s="256"/>
      <c r="BO57" s="256"/>
      <c r="BP57" s="256"/>
      <c r="BQ57" s="256"/>
      <c r="BR57" s="256"/>
      <c r="BS57" s="256"/>
      <c r="BT57" s="256"/>
      <c r="CB57" s="536"/>
      <c r="CC57" s="537"/>
    </row>
    <row r="58" spans="1:82" ht="21.75" customHeight="1" thickBot="1" x14ac:dyDescent="0.3">
      <c r="A58" s="236">
        <f>IF('Master List'!A48=0," ",'Master List'!A48)</f>
        <v>71324109</v>
      </c>
      <c r="B58" s="396"/>
      <c r="C58" s="242">
        <v>7</v>
      </c>
      <c r="D58" s="810" t="s">
        <v>147</v>
      </c>
      <c r="E58" s="546" t="str">
        <f>IF('Master List'!$C48=0," ",'Master List'!$C48)</f>
        <v>T. SZYMCZAK</v>
      </c>
      <c r="F58" s="730">
        <v>3</v>
      </c>
      <c r="G58" s="735" t="s">
        <v>93</v>
      </c>
      <c r="H58" s="727" t="s">
        <v>90</v>
      </c>
      <c r="I58" s="727">
        <v>3</v>
      </c>
      <c r="J58" s="727">
        <v>3</v>
      </c>
      <c r="K58" s="727">
        <v>3</v>
      </c>
      <c r="L58" s="728">
        <v>3</v>
      </c>
      <c r="M58" s="828"/>
      <c r="N58" s="511"/>
      <c r="O58" s="513"/>
      <c r="P58" s="243"/>
      <c r="Q58" s="243"/>
      <c r="R58" s="243"/>
      <c r="S58" s="243"/>
      <c r="T58" s="243"/>
      <c r="U58" s="243"/>
      <c r="V58" s="243"/>
      <c r="W58" s="243"/>
      <c r="AG58" s="30">
        <f t="shared" si="33"/>
        <v>1</v>
      </c>
      <c r="AH58" s="30">
        <f t="shared" si="34"/>
        <v>1</v>
      </c>
      <c r="AI58" s="30" t="str">
        <f t="shared" si="35"/>
        <v xml:space="preserve"> </v>
      </c>
      <c r="AJ58" s="30">
        <f t="shared" si="36"/>
        <v>1</v>
      </c>
      <c r="AK58" s="30">
        <f t="shared" si="37"/>
        <v>1</v>
      </c>
      <c r="AL58" s="30">
        <f t="shared" si="38"/>
        <v>1</v>
      </c>
      <c r="AM58" s="30">
        <f t="shared" si="39"/>
        <v>1</v>
      </c>
      <c r="AN58" s="540"/>
      <c r="AO58" s="219"/>
      <c r="AP58" s="219"/>
      <c r="AQ58" s="219"/>
      <c r="AR58" s="219"/>
      <c r="AS58" s="219"/>
      <c r="AT58" s="219"/>
      <c r="AU58" s="219"/>
      <c r="AV58" s="219"/>
      <c r="AW58" s="256"/>
      <c r="AX58" s="256"/>
      <c r="AY58" s="256"/>
      <c r="AZ58" s="256"/>
      <c r="BA58" s="256"/>
      <c r="BB58" s="256"/>
      <c r="BC58" s="256"/>
      <c r="BD58" s="256"/>
      <c r="BE58" s="256"/>
      <c r="BF58" s="256"/>
      <c r="BG58" s="256"/>
      <c r="BH58" s="256"/>
      <c r="BI58" s="256"/>
      <c r="BJ58" s="256"/>
      <c r="BK58" s="256"/>
      <c r="BL58" s="256"/>
      <c r="BM58" s="256"/>
      <c r="BN58" s="256"/>
      <c r="BO58" s="256"/>
      <c r="BP58" s="256"/>
      <c r="BQ58" s="256"/>
      <c r="BR58" s="256"/>
      <c r="BS58" s="256"/>
      <c r="BT58" s="256"/>
      <c r="CB58" s="536"/>
      <c r="CC58" s="537"/>
    </row>
    <row r="59" spans="1:82" ht="21.75" customHeight="1" thickBot="1" x14ac:dyDescent="0.3">
      <c r="A59" s="236" t="str">
        <f>IF('Master List'!A49=0," ",'Master List'!A49)</f>
        <v xml:space="preserve"> </v>
      </c>
      <c r="B59" s="396"/>
      <c r="C59" s="242"/>
      <c r="D59" s="809"/>
      <c r="E59" s="546" t="str">
        <f>IF('Master List'!$C49=0," ",'Master List'!$C49)</f>
        <v xml:space="preserve"> </v>
      </c>
      <c r="F59" s="744"/>
      <c r="G59" s="727"/>
      <c r="H59" s="727"/>
      <c r="I59" s="727"/>
      <c r="J59" s="727"/>
      <c r="K59" s="727"/>
      <c r="L59" s="727"/>
      <c r="M59" s="739"/>
      <c r="N59" s="511"/>
      <c r="O59" s="568"/>
      <c r="P59" s="243"/>
      <c r="Q59" s="243"/>
      <c r="R59" s="243"/>
      <c r="S59" s="243"/>
      <c r="T59" s="243"/>
      <c r="U59" s="243"/>
      <c r="V59" s="243"/>
      <c r="W59" s="243"/>
      <c r="AG59" s="30" t="str">
        <f t="shared" si="33"/>
        <v xml:space="preserve"> </v>
      </c>
      <c r="AH59" s="30" t="str">
        <f t="shared" si="34"/>
        <v xml:space="preserve"> </v>
      </c>
      <c r="AI59" s="30" t="str">
        <f t="shared" si="35"/>
        <v xml:space="preserve"> </v>
      </c>
      <c r="AJ59" s="30" t="str">
        <f t="shared" si="36"/>
        <v xml:space="preserve"> </v>
      </c>
      <c r="AK59" s="30" t="str">
        <f t="shared" si="37"/>
        <v xml:space="preserve"> </v>
      </c>
      <c r="AL59" s="30" t="str">
        <f t="shared" si="38"/>
        <v xml:space="preserve"> </v>
      </c>
      <c r="AM59" s="30" t="str">
        <f t="shared" si="39"/>
        <v xml:space="preserve"> </v>
      </c>
      <c r="AN59" s="540"/>
      <c r="AO59" s="219"/>
      <c r="AP59" s="219"/>
      <c r="AQ59" s="219"/>
      <c r="AR59" s="219"/>
      <c r="AS59" s="219"/>
      <c r="AT59" s="219"/>
      <c r="AU59" s="219"/>
      <c r="AV59" s="219"/>
      <c r="AW59" s="256"/>
      <c r="AX59" s="256"/>
      <c r="AY59" s="256"/>
      <c r="AZ59" s="256"/>
      <c r="BA59" s="256"/>
      <c r="BB59" s="256"/>
      <c r="BC59" s="256"/>
      <c r="BD59" s="256"/>
      <c r="BE59" s="256"/>
      <c r="BF59" s="256"/>
      <c r="BG59" s="256"/>
      <c r="BH59" s="256"/>
      <c r="BI59" s="256"/>
      <c r="BJ59" s="256"/>
      <c r="BK59" s="256"/>
      <c r="BL59" s="256"/>
      <c r="BM59" s="256"/>
      <c r="BN59" s="256"/>
      <c r="BO59" s="256"/>
      <c r="BP59" s="256"/>
      <c r="BQ59" s="256"/>
      <c r="BR59" s="256"/>
      <c r="BS59" s="256"/>
      <c r="BT59" s="256"/>
      <c r="CB59" s="536"/>
      <c r="CC59" s="537"/>
    </row>
    <row r="60" spans="1:82" ht="21.75" customHeight="1" thickBot="1" x14ac:dyDescent="0.3">
      <c r="A60" s="236" t="str">
        <f>IF('Master List'!A50=0," ",'Master List'!A50)</f>
        <v xml:space="preserve"> </v>
      </c>
      <c r="B60" s="396"/>
      <c r="C60" s="242"/>
      <c r="D60" s="396"/>
      <c r="E60" s="546" t="str">
        <f>IF('Master List'!$C50=0," ",'Master List'!$C50)</f>
        <v xml:space="preserve"> </v>
      </c>
      <c r="F60" s="744"/>
      <c r="G60" s="727"/>
      <c r="H60" s="727"/>
      <c r="I60" s="727"/>
      <c r="J60" s="727"/>
      <c r="K60" s="727"/>
      <c r="L60" s="727"/>
      <c r="M60" s="726"/>
      <c r="N60" s="511"/>
      <c r="O60" s="568"/>
      <c r="P60" s="243"/>
      <c r="Q60" s="243"/>
      <c r="R60" s="243"/>
      <c r="S60" s="243"/>
      <c r="T60" s="243"/>
      <c r="U60" s="243"/>
      <c r="V60" s="243"/>
      <c r="W60" s="243"/>
      <c r="AG60" s="30" t="str">
        <f t="shared" si="33"/>
        <v xml:space="preserve"> </v>
      </c>
      <c r="AH60" s="30" t="str">
        <f t="shared" si="34"/>
        <v xml:space="preserve"> </v>
      </c>
      <c r="AI60" s="30" t="str">
        <f t="shared" si="35"/>
        <v xml:space="preserve"> </v>
      </c>
      <c r="AJ60" s="30" t="str">
        <f t="shared" si="36"/>
        <v xml:space="preserve"> </v>
      </c>
      <c r="AK60" s="30" t="str">
        <f t="shared" si="37"/>
        <v xml:space="preserve"> </v>
      </c>
      <c r="AL60" s="30" t="str">
        <f t="shared" si="38"/>
        <v xml:space="preserve"> </v>
      </c>
      <c r="AM60" s="30" t="str">
        <f t="shared" si="39"/>
        <v xml:space="preserve"> </v>
      </c>
      <c r="AN60" s="540"/>
      <c r="AO60" s="219"/>
      <c r="AP60" s="219"/>
      <c r="AQ60" s="219"/>
      <c r="AR60" s="219"/>
      <c r="AS60" s="219"/>
      <c r="AT60" s="219"/>
      <c r="AU60" s="219"/>
      <c r="AV60" s="219"/>
      <c r="AW60" s="256"/>
      <c r="AX60" s="256"/>
      <c r="AY60" s="256"/>
      <c r="AZ60" s="256"/>
      <c r="BA60" s="256"/>
      <c r="BB60" s="256"/>
      <c r="BC60" s="256"/>
      <c r="BD60" s="256"/>
      <c r="BE60" s="256"/>
      <c r="BF60" s="256"/>
      <c r="BG60" s="256"/>
      <c r="BH60" s="256"/>
      <c r="BI60" s="256"/>
      <c r="BJ60" s="256"/>
      <c r="BK60" s="256"/>
      <c r="BL60" s="256"/>
      <c r="BM60" s="256"/>
      <c r="BN60" s="256"/>
      <c r="BO60" s="256"/>
      <c r="BP60" s="256"/>
      <c r="BQ60" s="256"/>
      <c r="BR60" s="256"/>
      <c r="BS60" s="256"/>
      <c r="BT60" s="256"/>
      <c r="CB60" s="536"/>
      <c r="CC60" s="537"/>
    </row>
    <row r="61" spans="1:82" ht="21.75" customHeight="1" thickBot="1" x14ac:dyDescent="0.3">
      <c r="A61" s="236" t="str">
        <f>IF('Master List'!A51=0," ",'Master List'!A51)</f>
        <v xml:space="preserve"> </v>
      </c>
      <c r="B61" s="396"/>
      <c r="C61" s="242"/>
      <c r="D61" s="396"/>
      <c r="E61" s="839" t="str">
        <f>IF('Master List'!$C51=0," ",'Master List'!$C51)</f>
        <v xml:space="preserve"> </v>
      </c>
      <c r="F61" s="734"/>
      <c r="G61" s="727"/>
      <c r="H61" s="727"/>
      <c r="I61" s="727"/>
      <c r="J61" s="727"/>
      <c r="K61" s="727"/>
      <c r="L61" s="727"/>
      <c r="M61" s="726"/>
      <c r="N61" s="710"/>
      <c r="O61" s="568"/>
      <c r="P61" s="243"/>
      <c r="Q61" s="243"/>
      <c r="R61" s="243"/>
      <c r="S61" s="243"/>
      <c r="T61" s="243"/>
      <c r="U61" s="243"/>
      <c r="V61" s="243"/>
      <c r="W61" s="243"/>
      <c r="AG61" s="30" t="str">
        <f t="shared" si="33"/>
        <v xml:space="preserve"> </v>
      </c>
      <c r="AH61" s="30" t="str">
        <f t="shared" si="34"/>
        <v xml:space="preserve"> </v>
      </c>
      <c r="AI61" s="30" t="str">
        <f t="shared" si="35"/>
        <v xml:space="preserve"> </v>
      </c>
      <c r="AJ61" s="30" t="str">
        <f t="shared" si="36"/>
        <v xml:space="preserve"> </v>
      </c>
      <c r="AK61" s="30" t="str">
        <f t="shared" si="37"/>
        <v xml:space="preserve"> </v>
      </c>
      <c r="AL61" s="30" t="str">
        <f t="shared" si="38"/>
        <v xml:space="preserve"> </v>
      </c>
      <c r="AM61" s="30" t="str">
        <f t="shared" si="39"/>
        <v xml:space="preserve"> </v>
      </c>
      <c r="AN61" s="540"/>
      <c r="AO61" s="219"/>
      <c r="AP61" s="219"/>
      <c r="AQ61" s="219"/>
      <c r="AR61" s="219"/>
      <c r="AS61" s="219"/>
      <c r="AT61" s="219"/>
      <c r="AU61" s="219"/>
      <c r="AV61" s="219"/>
      <c r="AW61" s="256"/>
      <c r="AX61" s="256"/>
      <c r="AY61" s="256"/>
      <c r="AZ61" s="256"/>
      <c r="BA61" s="256"/>
      <c r="BB61" s="256"/>
      <c r="BC61" s="256"/>
      <c r="BD61" s="256"/>
      <c r="BE61" s="256"/>
      <c r="BF61" s="256"/>
      <c r="BG61" s="256"/>
      <c r="BH61" s="256"/>
      <c r="BI61" s="256"/>
      <c r="BJ61" s="256"/>
      <c r="BK61" s="256"/>
      <c r="BL61" s="256"/>
      <c r="BM61" s="256"/>
      <c r="BN61" s="256"/>
      <c r="BO61" s="256"/>
      <c r="BP61" s="256"/>
      <c r="BQ61" s="256"/>
      <c r="BR61" s="256"/>
      <c r="BS61" s="256"/>
      <c r="BT61" s="256"/>
      <c r="CB61" s="536"/>
      <c r="CC61" s="537"/>
      <c r="CD61" s="534"/>
    </row>
    <row r="62" spans="1:82" ht="21.75" customHeight="1" thickBot="1" x14ac:dyDescent="0.3">
      <c r="A62" s="236" t="str">
        <f>IF('Master List'!A52=0," ",'Master List'!A52)</f>
        <v xml:space="preserve"> </v>
      </c>
      <c r="B62" s="396"/>
      <c r="C62" s="242"/>
      <c r="D62" s="396"/>
      <c r="E62" s="839" t="str">
        <f>IF('Master List'!$C52=0," ",'Master List'!$C52)</f>
        <v xml:space="preserve"> </v>
      </c>
      <c r="F62" s="838"/>
      <c r="G62" s="727"/>
      <c r="H62" s="727"/>
      <c r="I62" s="727"/>
      <c r="J62" s="727"/>
      <c r="K62" s="727"/>
      <c r="L62" s="727"/>
      <c r="M62" s="739"/>
      <c r="N62" s="710"/>
      <c r="O62" s="568"/>
      <c r="P62" s="243"/>
      <c r="Q62" s="243"/>
      <c r="R62" s="243"/>
      <c r="S62" s="243"/>
      <c r="T62" s="243"/>
      <c r="U62" s="243"/>
      <c r="V62" s="243"/>
      <c r="W62" s="243"/>
      <c r="AG62" s="30" t="str">
        <f t="shared" si="33"/>
        <v xml:space="preserve"> </v>
      </c>
      <c r="AH62" s="30" t="str">
        <f t="shared" si="34"/>
        <v xml:space="preserve"> </v>
      </c>
      <c r="AI62" s="30" t="str">
        <f t="shared" si="35"/>
        <v xml:space="preserve"> </v>
      </c>
      <c r="AJ62" s="30" t="str">
        <f t="shared" si="36"/>
        <v xml:space="preserve"> </v>
      </c>
      <c r="AK62" s="30" t="str">
        <f t="shared" si="37"/>
        <v xml:space="preserve"> </v>
      </c>
      <c r="AL62" s="30" t="str">
        <f t="shared" si="38"/>
        <v xml:space="preserve"> </v>
      </c>
      <c r="AM62" s="30" t="str">
        <f t="shared" si="39"/>
        <v xml:space="preserve"> </v>
      </c>
      <c r="AN62" s="540"/>
      <c r="AO62" s="219"/>
      <c r="AP62" s="219"/>
      <c r="AQ62" s="219"/>
      <c r="AR62" s="219"/>
      <c r="AS62" s="219"/>
      <c r="AT62" s="219"/>
      <c r="AU62" s="219"/>
      <c r="AV62" s="219"/>
      <c r="AW62" s="256"/>
      <c r="AX62" s="256"/>
      <c r="AY62" s="256"/>
      <c r="AZ62" s="256"/>
      <c r="BA62" s="256"/>
      <c r="BB62" s="256"/>
      <c r="BC62" s="256"/>
      <c r="BD62" s="256"/>
      <c r="BE62" s="256"/>
      <c r="BF62" s="256"/>
      <c r="BG62" s="256"/>
      <c r="BH62" s="256"/>
      <c r="BI62" s="256"/>
      <c r="BJ62" s="256"/>
      <c r="BK62" s="256"/>
      <c r="BL62" s="256"/>
      <c r="BM62" s="256"/>
      <c r="BN62" s="256"/>
      <c r="BO62" s="256"/>
      <c r="BP62" s="256"/>
      <c r="BQ62" s="256"/>
      <c r="BR62" s="256"/>
      <c r="BS62" s="256"/>
      <c r="BT62" s="256"/>
      <c r="CB62" s="536"/>
      <c r="CC62" s="537"/>
      <c r="CD62" s="534"/>
    </row>
    <row r="63" spans="1:82" ht="21.75" customHeight="1" thickBot="1" x14ac:dyDescent="0.3">
      <c r="A63" s="236" t="str">
        <f>IF('Master List'!A53=0," ",'Master List'!A53)</f>
        <v xml:space="preserve"> </v>
      </c>
      <c r="B63" s="396"/>
      <c r="C63" s="242"/>
      <c r="D63" s="396"/>
      <c r="E63" s="839" t="str">
        <f>IF('Master List'!$C53=0," ",'Master List'!$C53)</f>
        <v xml:space="preserve"> </v>
      </c>
      <c r="F63" s="838"/>
      <c r="G63" s="731"/>
      <c r="H63" s="727"/>
      <c r="I63" s="727"/>
      <c r="J63" s="727"/>
      <c r="K63" s="727"/>
      <c r="L63" s="727"/>
      <c r="M63" s="739"/>
      <c r="N63" s="710"/>
      <c r="O63" s="568"/>
      <c r="P63" s="243"/>
      <c r="Q63" s="243"/>
      <c r="R63" s="243"/>
      <c r="S63" s="243"/>
      <c r="T63" s="243"/>
      <c r="U63" s="243"/>
      <c r="V63" s="243"/>
      <c r="W63" s="243"/>
      <c r="AG63" s="30" t="str">
        <f t="shared" si="33"/>
        <v xml:space="preserve"> </v>
      </c>
      <c r="AH63" s="30" t="str">
        <f t="shared" si="34"/>
        <v xml:space="preserve"> </v>
      </c>
      <c r="AI63" s="30" t="str">
        <f t="shared" si="35"/>
        <v xml:space="preserve"> </v>
      </c>
      <c r="AJ63" s="30" t="str">
        <f t="shared" si="36"/>
        <v xml:space="preserve"> </v>
      </c>
      <c r="AK63" s="30" t="str">
        <f t="shared" si="37"/>
        <v xml:space="preserve"> </v>
      </c>
      <c r="AL63" s="30" t="str">
        <f t="shared" si="38"/>
        <v xml:space="preserve"> </v>
      </c>
      <c r="AM63" s="30" t="str">
        <f t="shared" si="39"/>
        <v xml:space="preserve"> </v>
      </c>
      <c r="AN63" s="540"/>
      <c r="AO63" s="219"/>
      <c r="AP63" s="219"/>
      <c r="AQ63" s="219"/>
      <c r="AR63" s="219"/>
      <c r="AS63" s="219"/>
      <c r="AT63" s="219"/>
      <c r="AU63" s="219"/>
      <c r="AV63" s="219"/>
      <c r="AW63" s="256"/>
      <c r="AX63" s="256"/>
      <c r="AY63" s="256"/>
      <c r="AZ63" s="256"/>
      <c r="BA63" s="256"/>
      <c r="BB63" s="256"/>
      <c r="BC63" s="256"/>
      <c r="BD63" s="256"/>
      <c r="BE63" s="256"/>
      <c r="BF63" s="256"/>
      <c r="BG63" s="256"/>
      <c r="BH63" s="256"/>
      <c r="BI63" s="256"/>
      <c r="BJ63" s="256"/>
      <c r="BK63" s="256"/>
      <c r="BL63" s="256"/>
      <c r="BM63" s="256"/>
      <c r="BN63" s="256"/>
      <c r="BO63" s="256"/>
      <c r="BP63" s="256"/>
      <c r="BQ63" s="256"/>
      <c r="BR63" s="256"/>
      <c r="BS63" s="256"/>
      <c r="BT63" s="256"/>
      <c r="CB63" s="536"/>
      <c r="CC63" s="537"/>
      <c r="CD63" s="534"/>
    </row>
    <row r="64" spans="1:82" ht="21.75" customHeight="1" thickBot="1" x14ac:dyDescent="0.3">
      <c r="A64" s="236" t="str">
        <f>IF('Master List'!A54=0," ",'Master List'!A54)</f>
        <v xml:space="preserve"> </v>
      </c>
      <c r="B64" s="396"/>
      <c r="C64" s="242"/>
      <c r="D64" s="396"/>
      <c r="E64" s="839" t="str">
        <f>IF('Master List'!$C54=0," ",'Master List'!$C54)</f>
        <v xml:space="preserve"> </v>
      </c>
      <c r="F64" s="734"/>
      <c r="G64" s="727"/>
      <c r="H64" s="727"/>
      <c r="I64" s="727"/>
      <c r="J64" s="727"/>
      <c r="K64" s="727"/>
      <c r="L64" s="727"/>
      <c r="M64" s="739"/>
      <c r="N64" s="710"/>
      <c r="O64" s="568"/>
      <c r="P64" s="243"/>
      <c r="Q64" s="243"/>
      <c r="R64" s="243"/>
      <c r="S64" s="243"/>
      <c r="T64" s="243"/>
      <c r="U64" s="243"/>
      <c r="V64" s="243"/>
      <c r="W64" s="243"/>
      <c r="AG64" s="30" t="str">
        <f t="shared" si="33"/>
        <v xml:space="preserve"> </v>
      </c>
      <c r="AH64" s="30" t="str">
        <f t="shared" si="34"/>
        <v xml:space="preserve"> </v>
      </c>
      <c r="AI64" s="30" t="str">
        <f t="shared" si="35"/>
        <v xml:space="preserve"> </v>
      </c>
      <c r="AJ64" s="30" t="str">
        <f t="shared" si="36"/>
        <v xml:space="preserve"> </v>
      </c>
      <c r="AK64" s="30" t="str">
        <f t="shared" si="37"/>
        <v xml:space="preserve"> </v>
      </c>
      <c r="AL64" s="30" t="str">
        <f t="shared" si="38"/>
        <v xml:space="preserve"> </v>
      </c>
      <c r="AM64" s="30" t="str">
        <f t="shared" si="39"/>
        <v xml:space="preserve"> </v>
      </c>
      <c r="AN64" s="540"/>
      <c r="AO64" s="219"/>
      <c r="AP64" s="219"/>
      <c r="AQ64" s="219"/>
      <c r="AR64" s="219"/>
      <c r="AS64" s="219"/>
      <c r="AT64" s="219"/>
      <c r="AU64" s="219"/>
      <c r="AV64" s="219"/>
      <c r="AW64" s="256"/>
      <c r="AX64" s="256"/>
      <c r="AY64" s="256"/>
      <c r="AZ64" s="256"/>
      <c r="BA64" s="256"/>
      <c r="BB64" s="256"/>
      <c r="BC64" s="256"/>
      <c r="BD64" s="256"/>
      <c r="BE64" s="256"/>
      <c r="BF64" s="256"/>
      <c r="BG64" s="256"/>
      <c r="BH64" s="256"/>
      <c r="BI64" s="256"/>
      <c r="BJ64" s="256"/>
      <c r="BK64" s="256"/>
      <c r="BL64" s="256"/>
      <c r="BM64" s="256"/>
      <c r="BN64" s="256"/>
      <c r="BO64" s="256"/>
      <c r="BP64" s="256"/>
      <c r="BQ64" s="256"/>
      <c r="BR64" s="256"/>
      <c r="BS64" s="256"/>
      <c r="BT64" s="256"/>
      <c r="CB64" s="536"/>
      <c r="CC64" s="537"/>
      <c r="CD64" s="534"/>
    </row>
    <row r="65" spans="1:81" ht="21.75" customHeight="1" thickBot="1" x14ac:dyDescent="0.3">
      <c r="A65" s="236" t="str">
        <f>IF('Master List'!A55=0," ",'Master List'!A55)</f>
        <v xml:space="preserve"> </v>
      </c>
      <c r="B65" s="396"/>
      <c r="C65" s="242"/>
      <c r="D65" s="396"/>
      <c r="E65" s="759" t="str">
        <f>IF('Master List'!$C55=0," ",'Master List'!$C55)</f>
        <v xml:space="preserve"> </v>
      </c>
      <c r="F65" s="743"/>
      <c r="G65" s="731"/>
      <c r="H65" s="731"/>
      <c r="I65" s="727"/>
      <c r="J65" s="732"/>
      <c r="K65" s="727"/>
      <c r="L65" s="727"/>
      <c r="M65" s="726"/>
      <c r="N65" s="521"/>
      <c r="O65" s="522"/>
      <c r="P65" s="243"/>
      <c r="Q65" s="243"/>
      <c r="R65" s="243"/>
      <c r="S65" s="243"/>
      <c r="T65" s="243"/>
      <c r="U65" s="243"/>
      <c r="V65" s="243"/>
      <c r="W65" s="243"/>
      <c r="AG65" s="30" t="str">
        <f t="shared" si="33"/>
        <v xml:space="preserve"> </v>
      </c>
      <c r="AH65" s="30" t="str">
        <f t="shared" si="34"/>
        <v xml:space="preserve"> </v>
      </c>
      <c r="AI65" s="30" t="str">
        <f t="shared" si="35"/>
        <v xml:space="preserve"> </v>
      </c>
      <c r="AJ65" s="30" t="str">
        <f t="shared" si="36"/>
        <v xml:space="preserve"> </v>
      </c>
      <c r="AK65" s="30" t="str">
        <f t="shared" si="37"/>
        <v xml:space="preserve"> </v>
      </c>
      <c r="AL65" s="30" t="str">
        <f t="shared" si="38"/>
        <v xml:space="preserve"> </v>
      </c>
      <c r="AM65" s="30" t="str">
        <f t="shared" si="39"/>
        <v xml:space="preserve"> </v>
      </c>
      <c r="AN65" s="540"/>
      <c r="AO65" s="219"/>
      <c r="AP65" s="219"/>
      <c r="AQ65" s="219"/>
      <c r="AR65" s="219"/>
      <c r="AS65" s="219"/>
      <c r="AT65" s="219"/>
      <c r="AU65" s="219"/>
      <c r="AV65" s="219"/>
      <c r="AW65" s="256"/>
      <c r="AX65" s="256"/>
      <c r="AY65" s="256"/>
      <c r="AZ65" s="256"/>
      <c r="BA65" s="256"/>
      <c r="BB65" s="256"/>
      <c r="BC65" s="256"/>
      <c r="BD65" s="256"/>
      <c r="BE65" s="256"/>
      <c r="BF65" s="256"/>
      <c r="BG65" s="256"/>
      <c r="BH65" s="256"/>
      <c r="BI65" s="256"/>
      <c r="BJ65" s="256"/>
      <c r="BK65" s="256"/>
      <c r="BL65" s="256"/>
      <c r="BM65" s="256"/>
      <c r="BN65" s="256"/>
      <c r="BO65" s="256"/>
      <c r="BP65" s="256"/>
      <c r="BQ65" s="256"/>
      <c r="BR65" s="256"/>
      <c r="BS65" s="256"/>
      <c r="BT65" s="256"/>
      <c r="CB65" s="536"/>
      <c r="CC65" s="537"/>
    </row>
    <row r="66" spans="1:81" ht="21.75" customHeight="1" thickBot="1" x14ac:dyDescent="0.3">
      <c r="A66" s="230" t="str">
        <f>IF('Master List'!A63="0"," ",'Master List'!A63)</f>
        <v>CUST</v>
      </c>
      <c r="B66" s="231"/>
      <c r="C66" s="244"/>
      <c r="D66" s="244"/>
      <c r="E66" s="417" t="str">
        <f>IF('Master List'!$C$63=0," ",'Master List'!$C$63)</f>
        <v>CREW 032 P/L 530</v>
      </c>
      <c r="F66" s="464">
        <f>AG66</f>
        <v>7</v>
      </c>
      <c r="G66" s="464">
        <f t="shared" ref="G66:L66" si="40">AH66</f>
        <v>10</v>
      </c>
      <c r="H66" s="464">
        <f t="shared" si="40"/>
        <v>11</v>
      </c>
      <c r="I66" s="464">
        <f t="shared" si="40"/>
        <v>9</v>
      </c>
      <c r="J66" s="464">
        <f t="shared" si="40"/>
        <v>9</v>
      </c>
      <c r="K66" s="464">
        <f t="shared" si="40"/>
        <v>11</v>
      </c>
      <c r="L66" s="464">
        <f t="shared" si="40"/>
        <v>9</v>
      </c>
      <c r="M66" s="472"/>
      <c r="N66" s="452"/>
      <c r="O66" s="286" t="str">
        <f>IF(F66="#",Z$11,IF(G66="#",Z$11,IF(H66="#",Z$11,IF(I66="#",Z$11,IF(J66="#",Z$11,IF(K66="#",Z$11,IF(L66="#",Z$11," ")))))))</f>
        <v xml:space="preserve"> </v>
      </c>
      <c r="P66" s="243"/>
      <c r="Q66" s="243"/>
      <c r="R66" s="243"/>
      <c r="S66" s="243"/>
      <c r="T66" s="556"/>
      <c r="U66" s="243"/>
      <c r="V66" s="243"/>
      <c r="W66" s="243"/>
      <c r="AG66" s="479">
        <f>SUM(AG67:AG85)</f>
        <v>7</v>
      </c>
      <c r="AH66" s="479">
        <f t="shared" ref="AH66:AM66" si="41">SUM(AH67:AH85)</f>
        <v>10</v>
      </c>
      <c r="AI66" s="479">
        <f t="shared" si="41"/>
        <v>11</v>
      </c>
      <c r="AJ66" s="479">
        <f t="shared" si="41"/>
        <v>9</v>
      </c>
      <c r="AK66" s="479">
        <f>SUM(AK67:AK85)</f>
        <v>9</v>
      </c>
      <c r="AL66" s="479">
        <f t="shared" si="41"/>
        <v>11</v>
      </c>
      <c r="AM66" s="479">
        <f t="shared" si="41"/>
        <v>9</v>
      </c>
      <c r="AN66" s="540"/>
      <c r="AO66" s="219"/>
      <c r="AP66" s="219"/>
      <c r="AQ66" s="219"/>
      <c r="AR66" s="219"/>
      <c r="AS66" s="219"/>
      <c r="AT66" s="219"/>
      <c r="AU66" s="219"/>
      <c r="AV66" s="219"/>
      <c r="AW66" s="256"/>
      <c r="AX66" s="256"/>
      <c r="AY66" s="256"/>
      <c r="AZ66" s="256"/>
      <c r="BA66" s="256"/>
      <c r="BB66" s="256"/>
      <c r="BC66" s="256"/>
      <c r="BD66" s="256"/>
      <c r="BE66" s="256"/>
      <c r="BF66" s="256"/>
      <c r="BG66" s="256"/>
      <c r="BH66" s="256"/>
      <c r="BI66" s="256"/>
      <c r="BJ66" s="256"/>
      <c r="BK66" s="256"/>
      <c r="BL66" s="256"/>
      <c r="BM66" s="256"/>
      <c r="BN66" s="256"/>
      <c r="BO66" s="256"/>
      <c r="BP66" s="256"/>
      <c r="BQ66" s="256"/>
      <c r="BR66" s="256"/>
      <c r="BS66" s="256"/>
      <c r="BT66" s="256"/>
      <c r="CB66" s="536"/>
    </row>
    <row r="67" spans="1:81" ht="21.75" customHeight="1" thickBot="1" x14ac:dyDescent="0.3">
      <c r="A67" s="234">
        <f>IF('Master List'!A64=0," ",'Master List'!A64)</f>
        <v>70222754</v>
      </c>
      <c r="B67" s="396"/>
      <c r="C67" s="235">
        <v>5</v>
      </c>
      <c r="D67" s="477"/>
      <c r="E67" s="547" t="str">
        <f>IF('Master List'!C64=0," ",'Master List'!C64)</f>
        <v>R. WISEMAN</v>
      </c>
      <c r="F67" s="836" t="s">
        <v>359</v>
      </c>
      <c r="G67" s="837" t="s">
        <v>90</v>
      </c>
      <c r="H67" s="837" t="s">
        <v>90</v>
      </c>
      <c r="I67" s="724">
        <v>3</v>
      </c>
      <c r="J67" s="724">
        <v>3</v>
      </c>
      <c r="K67" s="723">
        <v>3</v>
      </c>
      <c r="L67" s="724">
        <v>3</v>
      </c>
      <c r="M67" s="745"/>
      <c r="N67" s="523"/>
      <c r="O67" s="509"/>
      <c r="P67" s="243"/>
      <c r="Q67" s="243"/>
      <c r="R67" s="243"/>
      <c r="S67" s="243"/>
      <c r="T67" s="556"/>
      <c r="U67" s="243"/>
      <c r="V67" s="243"/>
      <c r="W67" s="243"/>
      <c r="AG67" s="30" t="str">
        <f t="shared" ref="AG67:AG76" si="42">IF(OR(F67="OT**",F67=3,F67="OT",F67="3V",F67="OTNV",F67="OTV",F67="3NV",F67="3*",F67="3**",F67="OT*",F67="2OTET",F67="4OTET",F67="*OTBT",F67="*OTET"),1," ")</f>
        <v xml:space="preserve"> </v>
      </c>
      <c r="AH67" s="30" t="str">
        <f t="shared" ref="AH67:AH76" si="43">IF(OR(G67="OT**",G67=3,G67="OT",G67="3V",G67="OTNV",G67="OTV",G67="3NV",G67="3*",G67="3**",G67="OT*",G67="2OTET",G67="4OTET",G67="*OTBT",G67="*OTET"),1," ")</f>
        <v xml:space="preserve"> </v>
      </c>
      <c r="AI67" s="30" t="str">
        <f t="shared" ref="AI67:AI76" si="44">IF(OR(H67="OT**",H67=3,H67="OT",H67="3V",H67="OTNV",H67="OTV",H67="3NV",H67="3*",H67="3**",H67="OT*",H67="2OTET",H67="4OTET",H67="*OTBT",H67="*OTET"),1," ")</f>
        <v xml:space="preserve"> </v>
      </c>
      <c r="AJ67" s="30">
        <f t="shared" ref="AJ67:AJ76" si="45">IF(OR(I67="OT**",I67=3,I67="OT",I67="3V",I67="OTNV",I67="OTV",I67="3NV",I67="3*",I67="3**",I67="OT*",I67="2OTET",I67="4OTET",I67="*OTBT",I67="*OTET"),1," ")</f>
        <v>1</v>
      </c>
      <c r="AK67" s="30">
        <f t="shared" ref="AK67:AK76" si="46">IF(OR(J67="OT**",J67=3,J67="OT",J67="3V",J67="OTNV",J67="OTV",J67="3NV",J67="3*",J67="3**",J67="OT*",J67="2OTET",J67="4OTET",J67="*OTBT",J67="*OTET"),1," ")</f>
        <v>1</v>
      </c>
      <c r="AL67" s="30">
        <f t="shared" ref="AL67:AL76" si="47">IF(OR(K67="OT**",K67=3,K67="OT",K67="3V",K67="OTNV",K67="OTV",K67="3NV",K67="3*",K67="3**",K67="OT*",K67="2OTET",K67="4OTET",K67="*OTBT",K67="*OTET"),1," ")</f>
        <v>1</v>
      </c>
      <c r="AM67" s="30">
        <f t="shared" ref="AM67:AM76" si="48">IF(OR(L67="OT**",L67=3,L67="OT",L67="3V",L67="OTNV",L67="OTV",L67="3NV",L67="3*",L67="3**",L67="OT*",L67="2OTET",L67="4OTET",L67="*OTBT",L67="*OTET"),1," ")</f>
        <v>1</v>
      </c>
      <c r="AN67" s="540"/>
      <c r="AO67" s="219"/>
      <c r="AP67" s="219"/>
      <c r="AQ67" s="219"/>
      <c r="AR67" s="219"/>
      <c r="AS67" s="219"/>
      <c r="AT67" s="219"/>
      <c r="AU67" s="219"/>
      <c r="AV67" s="219"/>
      <c r="AW67" s="256"/>
      <c r="AX67" s="256"/>
      <c r="AY67" s="256"/>
      <c r="AZ67" s="256"/>
      <c r="BA67" s="256"/>
      <c r="BB67" s="256"/>
      <c r="BC67" s="256"/>
      <c r="BD67" s="256"/>
      <c r="BE67" s="256"/>
      <c r="BF67" s="256"/>
      <c r="BG67" s="256"/>
      <c r="BH67" s="256"/>
      <c r="BI67" s="256"/>
      <c r="BJ67" s="256"/>
      <c r="BK67" s="256"/>
      <c r="BL67" s="256"/>
      <c r="BM67" s="256"/>
      <c r="BN67" s="256"/>
      <c r="BO67" s="256"/>
      <c r="BP67" s="256"/>
      <c r="BQ67" s="256"/>
      <c r="BR67" s="256"/>
      <c r="BS67" s="256"/>
      <c r="BT67" s="256"/>
      <c r="CB67" s="536"/>
      <c r="CC67" s="537"/>
    </row>
    <row r="68" spans="1:81" ht="21.75" customHeight="1" thickBot="1" x14ac:dyDescent="0.3">
      <c r="A68" s="234">
        <f>IF('Master List'!A65=0," ",'Master List'!A65)</f>
        <v>95626567</v>
      </c>
      <c r="B68" s="396"/>
      <c r="C68" s="235">
        <f>IF('Master List'!B65=0," ",'Master List'!B65)</f>
        <v>4</v>
      </c>
      <c r="D68" s="477"/>
      <c r="E68" s="547" t="str">
        <f>IF('Master List'!C65=0," ",'Master List'!C65)</f>
        <v>M. BURNS</v>
      </c>
      <c r="F68" s="733" t="s">
        <v>90</v>
      </c>
      <c r="G68" s="727">
        <v>3</v>
      </c>
      <c r="H68" s="734">
        <v>3</v>
      </c>
      <c r="I68" s="731">
        <v>3</v>
      </c>
      <c r="J68" s="727">
        <v>3</v>
      </c>
      <c r="K68" s="727">
        <v>3</v>
      </c>
      <c r="L68" s="727" t="s">
        <v>90</v>
      </c>
      <c r="M68" s="746"/>
      <c r="N68" s="524"/>
      <c r="O68" s="510"/>
      <c r="P68" s="243"/>
      <c r="Q68" s="243"/>
      <c r="R68" s="243"/>
      <c r="S68" s="243"/>
      <c r="T68" s="556"/>
      <c r="U68" s="243"/>
      <c r="V68" s="243"/>
      <c r="W68" s="243"/>
      <c r="AG68" s="30" t="str">
        <f t="shared" si="42"/>
        <v xml:space="preserve"> </v>
      </c>
      <c r="AH68" s="30">
        <f t="shared" si="43"/>
        <v>1</v>
      </c>
      <c r="AI68" s="30">
        <f t="shared" si="44"/>
        <v>1</v>
      </c>
      <c r="AJ68" s="30">
        <f t="shared" si="45"/>
        <v>1</v>
      </c>
      <c r="AK68" s="30">
        <f t="shared" si="46"/>
        <v>1</v>
      </c>
      <c r="AL68" s="30">
        <f t="shared" si="47"/>
        <v>1</v>
      </c>
      <c r="AM68" s="30" t="str">
        <f t="shared" si="48"/>
        <v xml:space="preserve"> </v>
      </c>
      <c r="AN68" s="540"/>
      <c r="AO68" s="219"/>
      <c r="AP68" s="219"/>
      <c r="AQ68" s="219"/>
      <c r="AR68" s="219"/>
      <c r="AS68" s="219"/>
      <c r="AT68" s="219"/>
      <c r="AU68" s="219"/>
      <c r="AV68" s="219"/>
      <c r="AW68" s="256"/>
      <c r="AX68" s="256"/>
      <c r="AY68" s="256"/>
      <c r="AZ68" s="256"/>
      <c r="BA68" s="256"/>
      <c r="BB68" s="256"/>
      <c r="BC68" s="256"/>
      <c r="BD68" s="256"/>
      <c r="BE68" s="256"/>
      <c r="BF68" s="256"/>
      <c r="BG68" s="256"/>
      <c r="BH68" s="256"/>
      <c r="BI68" s="256"/>
      <c r="BJ68" s="256"/>
      <c r="BK68" s="256"/>
      <c r="BL68" s="256"/>
      <c r="BM68" s="256"/>
      <c r="BN68" s="256"/>
      <c r="BO68" s="256"/>
      <c r="BP68" s="256"/>
      <c r="BQ68" s="256"/>
      <c r="BR68" s="256"/>
      <c r="BS68" s="256"/>
      <c r="BT68" s="256"/>
      <c r="CB68" s="536"/>
      <c r="CC68" s="537"/>
    </row>
    <row r="69" spans="1:81" ht="21.75" customHeight="1" thickBot="1" x14ac:dyDescent="0.3">
      <c r="A69" s="234">
        <f>IF('Master List'!A66=0," ",'Master List'!A66)</f>
        <v>95849818</v>
      </c>
      <c r="B69" s="396"/>
      <c r="C69" s="235">
        <f>IF('Master List'!B67=0," ",'Master List'!B67)</f>
        <v>4</v>
      </c>
      <c r="D69" s="825" t="s">
        <v>147</v>
      </c>
      <c r="E69" s="547" t="str">
        <f>IF('Master List'!C66=0," ",'Master List'!C66)</f>
        <v>W. COHEN</v>
      </c>
      <c r="F69" s="733" t="s">
        <v>200</v>
      </c>
      <c r="G69" s="727" t="s">
        <v>200</v>
      </c>
      <c r="H69" s="734" t="s">
        <v>200</v>
      </c>
      <c r="I69" s="727" t="s">
        <v>200</v>
      </c>
      <c r="J69" s="727" t="s">
        <v>200</v>
      </c>
      <c r="K69" s="727" t="s">
        <v>200</v>
      </c>
      <c r="L69" s="727" t="s">
        <v>200</v>
      </c>
      <c r="M69" s="831"/>
      <c r="N69" s="524"/>
      <c r="O69" s="510"/>
      <c r="P69" s="243"/>
      <c r="Q69" s="243"/>
      <c r="R69" s="243"/>
      <c r="S69" s="243"/>
      <c r="T69" s="556"/>
      <c r="U69" s="243"/>
      <c r="V69" s="243"/>
      <c r="W69" s="243"/>
      <c r="AG69" s="30" t="str">
        <f t="shared" si="42"/>
        <v xml:space="preserve"> </v>
      </c>
      <c r="AH69" s="30" t="str">
        <f t="shared" si="43"/>
        <v xml:space="preserve"> </v>
      </c>
      <c r="AI69" s="30" t="str">
        <f t="shared" si="44"/>
        <v xml:space="preserve"> </v>
      </c>
      <c r="AJ69" s="30" t="str">
        <f t="shared" si="45"/>
        <v xml:space="preserve"> </v>
      </c>
      <c r="AK69" s="30" t="str">
        <f t="shared" si="46"/>
        <v xml:space="preserve"> </v>
      </c>
      <c r="AL69" s="30" t="str">
        <f t="shared" si="47"/>
        <v xml:space="preserve"> </v>
      </c>
      <c r="AM69" s="30" t="str">
        <f t="shared" si="48"/>
        <v xml:space="preserve"> </v>
      </c>
      <c r="AN69" s="540"/>
      <c r="AO69" s="219"/>
      <c r="AP69" s="219"/>
      <c r="AQ69" s="219"/>
      <c r="AR69" s="219"/>
      <c r="AS69" s="219"/>
      <c r="AT69" s="219"/>
      <c r="AU69" s="219"/>
      <c r="AV69" s="219"/>
      <c r="AW69" s="256"/>
      <c r="AX69" s="256"/>
      <c r="AY69" s="256"/>
      <c r="AZ69" s="256"/>
      <c r="BA69" s="256"/>
      <c r="BB69" s="256"/>
      <c r="BC69" s="256"/>
      <c r="BD69" s="256"/>
      <c r="BE69" s="256"/>
      <c r="BF69" s="256"/>
      <c r="BG69" s="256"/>
      <c r="BH69" s="256"/>
      <c r="BI69" s="256"/>
      <c r="BJ69" s="256"/>
      <c r="BK69" s="256"/>
      <c r="BL69" s="256"/>
      <c r="BM69" s="256"/>
      <c r="BN69" s="256"/>
      <c r="BO69" s="256"/>
      <c r="BP69" s="256"/>
      <c r="BQ69" s="256"/>
      <c r="BR69" s="256"/>
      <c r="BS69" s="256"/>
      <c r="BT69" s="256"/>
    </row>
    <row r="70" spans="1:81" ht="21.75" customHeight="1" thickBot="1" x14ac:dyDescent="0.3">
      <c r="A70" s="234">
        <f>IF('Master List'!A67=0," ",'Master List'!A67)</f>
        <v>95774943</v>
      </c>
      <c r="B70" s="396"/>
      <c r="C70" s="235">
        <f>IF('Master List'!B68=0," ",'Master List'!B68)</f>
        <v>4</v>
      </c>
      <c r="D70" s="825" t="s">
        <v>147</v>
      </c>
      <c r="E70" s="547" t="str">
        <f>IF('Master List'!C67=0," ",'Master List'!C67)</f>
        <v>J. PALACIOS</v>
      </c>
      <c r="F70" s="733" t="s">
        <v>90</v>
      </c>
      <c r="G70" s="830" t="s">
        <v>90</v>
      </c>
      <c r="H70" s="727">
        <v>3</v>
      </c>
      <c r="I70" s="727">
        <v>3</v>
      </c>
      <c r="J70" s="727">
        <v>3</v>
      </c>
      <c r="K70" s="727">
        <v>3</v>
      </c>
      <c r="L70" s="727">
        <v>3</v>
      </c>
      <c r="M70" s="739"/>
      <c r="N70" s="524"/>
      <c r="O70" s="510"/>
      <c r="P70" s="243"/>
      <c r="Q70" s="243"/>
      <c r="R70" s="243"/>
      <c r="S70" s="243"/>
      <c r="T70" s="556"/>
      <c r="U70" s="243"/>
      <c r="V70" s="243"/>
      <c r="W70" s="243"/>
      <c r="AG70" s="30" t="str">
        <f t="shared" si="42"/>
        <v xml:space="preserve"> </v>
      </c>
      <c r="AH70" s="30" t="str">
        <f t="shared" si="43"/>
        <v xml:space="preserve"> </v>
      </c>
      <c r="AI70" s="30">
        <f t="shared" si="44"/>
        <v>1</v>
      </c>
      <c r="AJ70" s="30">
        <f t="shared" si="45"/>
        <v>1</v>
      </c>
      <c r="AK70" s="30">
        <f t="shared" si="46"/>
        <v>1</v>
      </c>
      <c r="AL70" s="30">
        <f t="shared" si="47"/>
        <v>1</v>
      </c>
      <c r="AM70" s="30">
        <f t="shared" si="48"/>
        <v>1</v>
      </c>
      <c r="AN70" s="540"/>
      <c r="AO70" s="219"/>
      <c r="AP70" s="219"/>
      <c r="AQ70" s="219"/>
      <c r="AR70" s="219"/>
      <c r="AS70" s="219"/>
      <c r="AT70" s="219"/>
      <c r="AU70" s="219"/>
      <c r="AV70" s="219"/>
      <c r="AW70" s="256"/>
      <c r="AX70" s="256"/>
      <c r="AY70" s="256"/>
      <c r="AZ70" s="256"/>
      <c r="BA70" s="256"/>
      <c r="BB70" s="256"/>
      <c r="BC70" s="256"/>
      <c r="BD70" s="256"/>
      <c r="BE70" s="256"/>
      <c r="BF70" s="256"/>
      <c r="BG70" s="256"/>
      <c r="BH70" s="256"/>
      <c r="BI70" s="256"/>
      <c r="BJ70" s="256"/>
      <c r="BK70" s="256"/>
      <c r="BL70" s="256"/>
      <c r="BM70" s="256"/>
      <c r="BN70" s="256"/>
      <c r="BO70" s="256"/>
      <c r="BP70" s="256"/>
      <c r="BQ70" s="256"/>
      <c r="BR70" s="256"/>
      <c r="BS70" s="256"/>
      <c r="BT70" s="256"/>
    </row>
    <row r="71" spans="1:81" ht="21.75" customHeight="1" thickBot="1" x14ac:dyDescent="0.3">
      <c r="A71" s="234">
        <f>IF('Master List'!A68=0," ",'Master List'!A68)</f>
        <v>71324007</v>
      </c>
      <c r="B71" s="396"/>
      <c r="C71" s="235">
        <f>IF('Master List'!B69=0," ",'Master List'!B69)</f>
        <v>4</v>
      </c>
      <c r="D71" s="477"/>
      <c r="E71" s="547" t="str">
        <f>IF('Master List'!C68=0," ",'Master List'!C68)</f>
        <v>S. RAJAN</v>
      </c>
      <c r="F71" s="730" t="s">
        <v>200</v>
      </c>
      <c r="G71" s="727" t="s">
        <v>200</v>
      </c>
      <c r="H71" s="727" t="s">
        <v>200</v>
      </c>
      <c r="I71" s="727" t="s">
        <v>200</v>
      </c>
      <c r="J71" s="727" t="s">
        <v>200</v>
      </c>
      <c r="K71" s="727" t="s">
        <v>200</v>
      </c>
      <c r="L71" s="728" t="s">
        <v>200</v>
      </c>
      <c r="M71" s="739" t="s">
        <v>354</v>
      </c>
      <c r="N71" s="524"/>
      <c r="O71" s="510"/>
      <c r="P71" s="243"/>
      <c r="Q71" s="243"/>
      <c r="R71" s="243"/>
      <c r="S71" s="243"/>
      <c r="T71" s="243"/>
      <c r="U71" s="243"/>
      <c r="V71" s="243"/>
      <c r="W71" s="243"/>
      <c r="AG71" s="30" t="str">
        <f t="shared" si="42"/>
        <v xml:space="preserve"> </v>
      </c>
      <c r="AH71" s="30" t="str">
        <f t="shared" si="43"/>
        <v xml:space="preserve"> </v>
      </c>
      <c r="AI71" s="30" t="str">
        <f t="shared" si="44"/>
        <v xml:space="preserve"> </v>
      </c>
      <c r="AJ71" s="30" t="str">
        <f t="shared" si="45"/>
        <v xml:space="preserve"> </v>
      </c>
      <c r="AK71" s="30" t="str">
        <f t="shared" si="46"/>
        <v xml:space="preserve"> </v>
      </c>
      <c r="AL71" s="30" t="str">
        <f t="shared" si="47"/>
        <v xml:space="preserve"> </v>
      </c>
      <c r="AM71" s="30" t="str">
        <f t="shared" si="48"/>
        <v xml:space="preserve"> </v>
      </c>
      <c r="AN71" s="540"/>
      <c r="AO71" s="219"/>
      <c r="AP71" s="219"/>
      <c r="AQ71" s="219"/>
      <c r="AR71" s="219"/>
      <c r="AS71" s="219"/>
      <c r="AT71" s="219"/>
      <c r="AU71" s="219"/>
      <c r="AV71" s="219"/>
      <c r="AW71" s="256"/>
      <c r="AX71" s="256"/>
      <c r="AY71" s="256"/>
      <c r="AZ71" s="256"/>
      <c r="BA71" s="256"/>
      <c r="BB71" s="256"/>
      <c r="BC71" s="256"/>
      <c r="BD71" s="256"/>
      <c r="BE71" s="256"/>
      <c r="BF71" s="256"/>
      <c r="BG71" s="256"/>
      <c r="BH71" s="256"/>
      <c r="BI71" s="256"/>
      <c r="BJ71" s="256"/>
      <c r="BK71" s="256"/>
      <c r="BL71" s="256"/>
      <c r="BM71" s="256"/>
      <c r="BN71" s="256"/>
      <c r="BO71" s="256"/>
      <c r="BP71" s="256"/>
      <c r="BQ71" s="256"/>
      <c r="BR71" s="256"/>
      <c r="BS71" s="256"/>
      <c r="BT71" s="256"/>
    </row>
    <row r="72" spans="1:81" ht="21.75" customHeight="1" thickBot="1" x14ac:dyDescent="0.3">
      <c r="A72" s="234">
        <f>IF('Master List'!A69=0," ",'Master List'!A69)</f>
        <v>71324010</v>
      </c>
      <c r="B72" s="810" t="s">
        <v>147</v>
      </c>
      <c r="C72" s="235">
        <f>IF('Master List'!B70=0," ",'Master List'!B70)</f>
        <v>4</v>
      </c>
      <c r="D72" s="805"/>
      <c r="E72" s="547" t="str">
        <f>IF('Master List'!C69=0," ",'Master List'!C69)</f>
        <v>J. ROCHELLE</v>
      </c>
      <c r="F72" s="730">
        <v>3</v>
      </c>
      <c r="G72" s="727">
        <v>3</v>
      </c>
      <c r="H72" s="727">
        <v>3</v>
      </c>
      <c r="I72" s="727">
        <v>3</v>
      </c>
      <c r="J72" s="727">
        <v>3</v>
      </c>
      <c r="K72" s="727" t="s">
        <v>90</v>
      </c>
      <c r="L72" s="728" t="s">
        <v>90</v>
      </c>
      <c r="M72" s="747"/>
      <c r="N72" s="524"/>
      <c r="O72" s="510"/>
      <c r="P72" s="243"/>
      <c r="Q72" s="243"/>
      <c r="R72" s="243"/>
      <c r="S72" s="243"/>
      <c r="T72" s="243"/>
      <c r="U72" s="243"/>
      <c r="V72" s="243"/>
      <c r="W72" s="243"/>
      <c r="AG72" s="30">
        <f t="shared" si="42"/>
        <v>1</v>
      </c>
      <c r="AH72" s="30">
        <f t="shared" si="43"/>
        <v>1</v>
      </c>
      <c r="AI72" s="30">
        <f t="shared" si="44"/>
        <v>1</v>
      </c>
      <c r="AJ72" s="30">
        <f t="shared" si="45"/>
        <v>1</v>
      </c>
      <c r="AK72" s="30">
        <f t="shared" si="46"/>
        <v>1</v>
      </c>
      <c r="AL72" s="30" t="str">
        <f t="shared" si="47"/>
        <v xml:space="preserve"> </v>
      </c>
      <c r="AM72" s="30" t="str">
        <f t="shared" si="48"/>
        <v xml:space="preserve"> </v>
      </c>
      <c r="AN72" s="540"/>
      <c r="AO72" s="219"/>
      <c r="AP72" s="219"/>
      <c r="AQ72" s="219"/>
      <c r="AR72" s="219"/>
      <c r="AS72" s="219"/>
      <c r="AT72" s="219"/>
      <c r="AU72" s="219"/>
      <c r="AV72" s="219"/>
      <c r="AW72" s="256"/>
      <c r="AX72" s="256"/>
      <c r="AY72" s="256"/>
      <c r="AZ72" s="256"/>
      <c r="BA72" s="256"/>
      <c r="BB72" s="256"/>
      <c r="BC72" s="256"/>
      <c r="BD72" s="256"/>
      <c r="BE72" s="256"/>
      <c r="BF72" s="256"/>
      <c r="BG72" s="256"/>
      <c r="BH72" s="256"/>
      <c r="BI72" s="256"/>
      <c r="BJ72" s="256"/>
      <c r="BK72" s="256"/>
      <c r="BL72" s="256"/>
      <c r="BM72" s="256"/>
      <c r="BN72" s="256"/>
      <c r="BO72" s="256"/>
      <c r="BP72" s="256"/>
      <c r="BQ72" s="256"/>
      <c r="BR72" s="256"/>
      <c r="BS72" s="256"/>
      <c r="BT72" s="256"/>
    </row>
    <row r="73" spans="1:81" ht="21.75" customHeight="1" thickBot="1" x14ac:dyDescent="0.3">
      <c r="A73" s="234">
        <f>IF('Master List'!A70=0," ",'Master List'!A70)</f>
        <v>95773817</v>
      </c>
      <c r="B73" s="810" t="s">
        <v>147</v>
      </c>
      <c r="C73" s="235">
        <f>IF('Master List'!B71=0," ",'Master List'!B71)</f>
        <v>4</v>
      </c>
      <c r="D73" s="395"/>
      <c r="E73" s="547" t="str">
        <f>IF('Master List'!C70=0," ",'Master List'!C70)</f>
        <v>J. ADAMS</v>
      </c>
      <c r="F73" s="733" t="s">
        <v>90</v>
      </c>
      <c r="G73" s="737">
        <v>3</v>
      </c>
      <c r="H73" s="727">
        <v>3</v>
      </c>
      <c r="I73" s="749">
        <v>3</v>
      </c>
      <c r="J73" s="750">
        <v>3</v>
      </c>
      <c r="K73" s="727">
        <v>3</v>
      </c>
      <c r="L73" s="731" t="s">
        <v>90</v>
      </c>
      <c r="M73" s="739" t="s">
        <v>367</v>
      </c>
      <c r="N73" s="524"/>
      <c r="O73" s="525"/>
      <c r="P73" s="572"/>
      <c r="Q73" s="499"/>
      <c r="R73" s="243"/>
      <c r="S73" s="243"/>
      <c r="T73" s="499"/>
      <c r="U73" s="243"/>
      <c r="V73" s="243"/>
      <c r="W73" s="243"/>
      <c r="AG73" s="30" t="str">
        <f t="shared" si="42"/>
        <v xml:space="preserve"> </v>
      </c>
      <c r="AH73" s="30">
        <f t="shared" si="43"/>
        <v>1</v>
      </c>
      <c r="AI73" s="30">
        <f t="shared" si="44"/>
        <v>1</v>
      </c>
      <c r="AJ73" s="30">
        <f t="shared" si="45"/>
        <v>1</v>
      </c>
      <c r="AK73" s="30">
        <f t="shared" si="46"/>
        <v>1</v>
      </c>
      <c r="AL73" s="30">
        <f t="shared" si="47"/>
        <v>1</v>
      </c>
      <c r="AM73" s="30" t="str">
        <f t="shared" si="48"/>
        <v xml:space="preserve"> </v>
      </c>
      <c r="AN73" s="540"/>
      <c r="AO73" s="219"/>
      <c r="AP73" s="219"/>
      <c r="AQ73" s="219"/>
      <c r="AR73" s="219"/>
      <c r="AS73" s="219"/>
      <c r="AT73" s="219"/>
      <c r="AU73" s="219"/>
      <c r="AV73" s="219"/>
      <c r="AW73" s="256"/>
      <c r="AX73" s="256"/>
      <c r="AY73" s="256"/>
      <c r="AZ73" s="256"/>
      <c r="BA73" s="256"/>
      <c r="BB73" s="256"/>
      <c r="BC73" s="256"/>
      <c r="BD73" s="256"/>
      <c r="BE73" s="256"/>
      <c r="BF73" s="256"/>
      <c r="BG73" s="256"/>
      <c r="BH73" s="256"/>
      <c r="BI73" s="256"/>
      <c r="BJ73" s="256"/>
      <c r="BK73" s="256"/>
      <c r="BL73" s="256"/>
      <c r="BM73" s="256"/>
      <c r="BN73" s="256"/>
      <c r="BO73" s="256"/>
      <c r="BP73" s="256"/>
      <c r="BQ73" s="256"/>
      <c r="BR73" s="256"/>
      <c r="BS73" s="256"/>
      <c r="BT73" s="256"/>
    </row>
    <row r="74" spans="1:81" ht="21.75" customHeight="1" thickBot="1" x14ac:dyDescent="0.3">
      <c r="A74" s="234">
        <f>IF('Master List'!A71=0," ",'Master List'!A71)</f>
        <v>71161032</v>
      </c>
      <c r="B74" s="396"/>
      <c r="C74" s="235">
        <f>IF('Master List'!B72=0," ",'Master List'!B72)</f>
        <v>4</v>
      </c>
      <c r="D74" s="395"/>
      <c r="E74" s="547" t="str">
        <f>IF('Master List'!C71=0," ",'Master List'!C71)</f>
        <v>D. WALLACE</v>
      </c>
      <c r="F74" s="730" t="s">
        <v>107</v>
      </c>
      <c r="G74" s="727" t="s">
        <v>107</v>
      </c>
      <c r="H74" s="727" t="s">
        <v>90</v>
      </c>
      <c r="I74" s="731" t="s">
        <v>90</v>
      </c>
      <c r="J74" s="731" t="s">
        <v>107</v>
      </c>
      <c r="K74" s="731" t="s">
        <v>107</v>
      </c>
      <c r="L74" s="740" t="s">
        <v>107</v>
      </c>
      <c r="M74" s="747" t="s">
        <v>361</v>
      </c>
      <c r="N74" s="524"/>
      <c r="O74" s="525"/>
      <c r="P74" s="572"/>
      <c r="Q74" s="499"/>
      <c r="R74" s="243"/>
      <c r="S74" s="243"/>
      <c r="T74" s="499"/>
      <c r="U74" s="243"/>
      <c r="V74" s="243"/>
      <c r="W74" s="243"/>
      <c r="AG74" s="30" t="str">
        <f t="shared" si="42"/>
        <v xml:space="preserve"> </v>
      </c>
      <c r="AH74" s="30" t="str">
        <f t="shared" si="43"/>
        <v xml:space="preserve"> </v>
      </c>
      <c r="AI74" s="30" t="str">
        <f t="shared" si="44"/>
        <v xml:space="preserve"> </v>
      </c>
      <c r="AJ74" s="30" t="str">
        <f t="shared" si="45"/>
        <v xml:space="preserve"> </v>
      </c>
      <c r="AK74" s="30" t="str">
        <f t="shared" si="46"/>
        <v xml:space="preserve"> </v>
      </c>
      <c r="AL74" s="30" t="str">
        <f t="shared" si="47"/>
        <v xml:space="preserve"> </v>
      </c>
      <c r="AM74" s="30" t="str">
        <f t="shared" si="48"/>
        <v xml:space="preserve"> </v>
      </c>
      <c r="AN74" s="540"/>
      <c r="AO74" s="219"/>
      <c r="AP74" s="219"/>
      <c r="AQ74" s="219"/>
      <c r="AR74" s="219"/>
      <c r="AS74" s="219"/>
      <c r="AT74" s="219"/>
      <c r="AU74" s="219"/>
      <c r="AV74" s="219"/>
      <c r="AW74" s="256"/>
      <c r="AX74" s="256"/>
      <c r="AY74" s="256"/>
      <c r="AZ74" s="256"/>
      <c r="BA74" s="256"/>
      <c r="BB74" s="256"/>
      <c r="BC74" s="256"/>
      <c r="BD74" s="256"/>
      <c r="BE74" s="256"/>
      <c r="BF74" s="256"/>
      <c r="BG74" s="256"/>
      <c r="BH74" s="256"/>
      <c r="BI74" s="256"/>
      <c r="BJ74" s="256"/>
      <c r="BK74" s="256"/>
      <c r="BL74" s="256"/>
      <c r="BM74" s="256"/>
      <c r="BN74" s="256"/>
      <c r="BO74" s="256"/>
      <c r="BP74" s="256"/>
      <c r="BQ74" s="256"/>
      <c r="BR74" s="256"/>
      <c r="BS74" s="256"/>
      <c r="BT74" s="256"/>
    </row>
    <row r="75" spans="1:81" ht="22.5" customHeight="1" thickBot="1" x14ac:dyDescent="0.3">
      <c r="A75" s="234">
        <f>IF('Master List'!A72=0," ",'Master List'!A72)</f>
        <v>95752673</v>
      </c>
      <c r="B75" s="396"/>
      <c r="C75" s="235">
        <f>IF('Master List'!B73=0," ",'Master List'!B73)</f>
        <v>4</v>
      </c>
      <c r="D75" s="805"/>
      <c r="E75" s="547" t="str">
        <f>IF('Master List'!C72=0," ",'Master List'!C72)</f>
        <v>R. JACKSON</v>
      </c>
      <c r="F75" s="730">
        <v>3</v>
      </c>
      <c r="G75" s="727">
        <v>3</v>
      </c>
      <c r="H75" s="727">
        <v>3</v>
      </c>
      <c r="I75" s="727" t="s">
        <v>90</v>
      </c>
      <c r="J75" s="727" t="s">
        <v>90</v>
      </c>
      <c r="K75" s="731">
        <v>3</v>
      </c>
      <c r="L75" s="740">
        <v>3</v>
      </c>
      <c r="M75" s="739" t="s">
        <v>370</v>
      </c>
      <c r="N75" s="526"/>
      <c r="O75" s="525"/>
      <c r="P75" s="572"/>
      <c r="Q75" s="499"/>
      <c r="R75" s="243"/>
      <c r="S75" s="243"/>
      <c r="T75" s="499"/>
      <c r="U75" s="243"/>
      <c r="V75" s="243"/>
      <c r="W75" s="243"/>
      <c r="AG75" s="30">
        <f t="shared" si="42"/>
        <v>1</v>
      </c>
      <c r="AH75" s="30">
        <f t="shared" si="43"/>
        <v>1</v>
      </c>
      <c r="AI75" s="30">
        <f t="shared" si="44"/>
        <v>1</v>
      </c>
      <c r="AJ75" s="30" t="str">
        <f t="shared" si="45"/>
        <v xml:space="preserve"> </v>
      </c>
      <c r="AK75" s="30" t="str">
        <f t="shared" si="46"/>
        <v xml:space="preserve"> </v>
      </c>
      <c r="AL75" s="30">
        <f t="shared" si="47"/>
        <v>1</v>
      </c>
      <c r="AM75" s="30">
        <f t="shared" si="48"/>
        <v>1</v>
      </c>
      <c r="AN75" s="540"/>
      <c r="AO75" s="219"/>
      <c r="AP75" s="219"/>
      <c r="AQ75" s="219"/>
      <c r="AR75" s="219"/>
      <c r="AS75" s="219"/>
      <c r="AT75" s="219"/>
      <c r="AU75" s="219"/>
      <c r="AV75" s="219"/>
      <c r="AW75" s="256"/>
      <c r="AX75" s="256"/>
      <c r="AY75" s="256"/>
      <c r="AZ75" s="256"/>
      <c r="BA75" s="256"/>
      <c r="BB75" s="256"/>
      <c r="BC75" s="256"/>
      <c r="BD75" s="256"/>
      <c r="BE75" s="256"/>
      <c r="BF75" s="256"/>
      <c r="BG75" s="256"/>
      <c r="BH75" s="256"/>
      <c r="BI75" s="256"/>
      <c r="BJ75" s="256"/>
      <c r="BK75" s="256"/>
      <c r="BL75" s="256"/>
      <c r="BM75" s="256"/>
      <c r="BN75" s="256"/>
      <c r="BO75" s="256"/>
      <c r="BP75" s="256"/>
      <c r="BQ75" s="256"/>
      <c r="BR75" s="256"/>
      <c r="BS75" s="256"/>
      <c r="BT75" s="256"/>
    </row>
    <row r="76" spans="1:81" ht="21.75" customHeight="1" thickBot="1" x14ac:dyDescent="0.3">
      <c r="A76" s="234">
        <f>IF('Master List'!A73=0," ",'Master List'!A73)</f>
        <v>95875566</v>
      </c>
      <c r="B76" s="237"/>
      <c r="C76" s="235">
        <f>IF('Master List'!B73=0," ",'Master List'!B73)</f>
        <v>4</v>
      </c>
      <c r="D76" s="477"/>
      <c r="E76" s="547" t="str">
        <f>IF('Master List'!C73=0," ",'Master List'!C73)</f>
        <v>P. BIRRING</v>
      </c>
      <c r="F76" s="730" t="s">
        <v>200</v>
      </c>
      <c r="G76" s="727" t="s">
        <v>200</v>
      </c>
      <c r="H76" s="727" t="s">
        <v>200</v>
      </c>
      <c r="I76" s="731" t="s">
        <v>200</v>
      </c>
      <c r="J76" s="731" t="s">
        <v>200</v>
      </c>
      <c r="K76" s="727" t="s">
        <v>200</v>
      </c>
      <c r="L76" s="748" t="s">
        <v>200</v>
      </c>
      <c r="M76" s="739" t="s">
        <v>355</v>
      </c>
      <c r="N76" s="524"/>
      <c r="O76" s="510"/>
      <c r="P76" s="572"/>
      <c r="Q76" s="499"/>
      <c r="R76" s="243"/>
      <c r="S76" s="243"/>
      <c r="T76" s="499"/>
      <c r="U76" s="243"/>
      <c r="V76" s="243"/>
      <c r="W76" s="243"/>
      <c r="AG76" s="30" t="str">
        <f t="shared" si="42"/>
        <v xml:space="preserve"> </v>
      </c>
      <c r="AH76" s="30" t="str">
        <f t="shared" si="43"/>
        <v xml:space="preserve"> </v>
      </c>
      <c r="AI76" s="30" t="str">
        <f t="shared" si="44"/>
        <v xml:space="preserve"> </v>
      </c>
      <c r="AJ76" s="30" t="str">
        <f t="shared" si="45"/>
        <v xml:space="preserve"> </v>
      </c>
      <c r="AK76" s="30" t="str">
        <f t="shared" si="46"/>
        <v xml:space="preserve"> </v>
      </c>
      <c r="AL76" s="30" t="str">
        <f t="shared" si="47"/>
        <v xml:space="preserve"> </v>
      </c>
      <c r="AM76" s="30" t="str">
        <f t="shared" si="48"/>
        <v xml:space="preserve"> </v>
      </c>
      <c r="AN76" s="540"/>
      <c r="AO76" s="219"/>
      <c r="AP76" s="219"/>
      <c r="AQ76" s="219"/>
      <c r="AR76" s="219"/>
      <c r="AS76" s="219"/>
      <c r="AT76" s="219"/>
      <c r="AU76" s="219"/>
      <c r="AV76" s="219"/>
      <c r="AW76" s="256"/>
      <c r="AX76" s="256"/>
      <c r="AY76" s="256"/>
      <c r="AZ76" s="256"/>
      <c r="BA76" s="256"/>
      <c r="BB76" s="256"/>
      <c r="BC76" s="256"/>
      <c r="BD76" s="256"/>
      <c r="BE76" s="256"/>
      <c r="BF76" s="256"/>
      <c r="BG76" s="256"/>
      <c r="BH76" s="256"/>
      <c r="BI76" s="256"/>
      <c r="BJ76" s="256"/>
      <c r="BK76" s="256"/>
      <c r="BL76" s="256"/>
      <c r="BM76" s="256"/>
      <c r="BN76" s="256"/>
      <c r="BO76" s="256"/>
      <c r="BP76" s="256"/>
      <c r="BQ76" s="256"/>
      <c r="BR76" s="256"/>
      <c r="BS76" s="256"/>
      <c r="BT76" s="256"/>
    </row>
    <row r="77" spans="1:81" ht="21.75" customHeight="1" thickBot="1" x14ac:dyDescent="0.3">
      <c r="A77" s="234">
        <f>IF('Master List'!A74=0," ",'Master List'!A74)</f>
        <v>71290575</v>
      </c>
      <c r="B77" s="237"/>
      <c r="C77" s="235">
        <f>IF('Master List'!B74=0," ",'Master List'!B74)</f>
        <v>4</v>
      </c>
      <c r="D77" s="477"/>
      <c r="E77" s="547" t="str">
        <f>IF('Master List'!C74=0," ",'Master List'!C74)</f>
        <v>M. PILLAI</v>
      </c>
      <c r="F77" s="733">
        <v>3</v>
      </c>
      <c r="G77" s="727">
        <v>3</v>
      </c>
      <c r="H77" s="734">
        <v>3</v>
      </c>
      <c r="I77" s="731">
        <v>3</v>
      </c>
      <c r="J77" s="727">
        <v>3</v>
      </c>
      <c r="K77" s="727" t="s">
        <v>90</v>
      </c>
      <c r="L77" s="737" t="s">
        <v>90</v>
      </c>
      <c r="M77" s="739" t="s">
        <v>371</v>
      </c>
      <c r="N77" s="524"/>
      <c r="O77" s="510"/>
      <c r="P77" s="572"/>
      <c r="Q77" s="499"/>
      <c r="R77" s="243"/>
      <c r="S77" s="243"/>
      <c r="T77" s="499"/>
      <c r="U77" s="243"/>
      <c r="V77" s="243"/>
      <c r="W77" s="243"/>
      <c r="AG77" s="30">
        <f t="shared" ref="AG77:AG85" si="49">IF(OR(F77="OT**",F77=3,F77="OT",F77="3V",F77="OTNV",F77="OTV",F77="3NV",F77="3*",F77="3**",F77="OT*",F77="2OTET",F77="4OTET",F77="*OTBT",F77="*OTET"),1," ")</f>
        <v>1</v>
      </c>
      <c r="AH77" s="30">
        <f t="shared" ref="AH77:AH85" si="50">IF(OR(G77="OT**",G77=3,G77="OT",G77="3V",G77="OTNV",G77="OTV",G77="3NV",G77="3*",G77="3**",G77="OT*",G77="2OTET",G77="4OTET",G77="*OTBT",G77="*OTET"),1," ")</f>
        <v>1</v>
      </c>
      <c r="AI77" s="30">
        <f t="shared" ref="AI77:AI85" si="51">IF(OR(H77="OT**",H77=3,H77="OT",H77="3V",H77="OTNV",H77="OTV",H77="3NV",H77="3*",H77="3**",H77="OT*",H77="2OTET",H77="4OTET",H77="*OTBT",H77="*OTET"),1," ")</f>
        <v>1</v>
      </c>
      <c r="AJ77" s="30">
        <f t="shared" ref="AJ77:AJ85" si="52">IF(OR(I77="OT**",I77=3,I77="OT",I77="3V",I77="OTNV",I77="OTV",I77="3NV",I77="3*",I77="3**",I77="OT*",I77="2OTET",I77="4OTET",I77="*OTBT",I77="*OTET"),1," ")</f>
        <v>1</v>
      </c>
      <c r="AK77" s="30">
        <f t="shared" ref="AK77:AK85" si="53">IF(OR(J77="OT**",J77=3,J77="OT",J77="3V",J77="OTNV",J77="OTV",J77="3NV",J77="3*",J77="3**",J77="OT*",J77="2OTET",J77="4OTET",J77="*OTBT",J77="*OTET"),1," ")</f>
        <v>1</v>
      </c>
      <c r="AL77" s="30" t="str">
        <f t="shared" ref="AL77:AL85" si="54">IF(OR(K77="OT**",K77=3,K77="OT",K77="3V",K77="OTNV",K77="OTV",K77="3NV",K77="3*",K77="3**",K77="OT*",K77="2OTET",K77="4OTET",K77="*OTBT",K77="*OTET"),1," ")</f>
        <v xml:space="preserve"> </v>
      </c>
      <c r="AM77" s="30" t="str">
        <f t="shared" ref="AM77:AM85" si="55">IF(OR(L77="OT**",L77=3,L77="OT",L77="3V",L77="OTNV",L77="OTV",L77="3NV",L77="3*",L77="3**",L77="OT*",L77="2OTET",L77="4OTET",L77="*OTBT",L77="*OTET"),1," ")</f>
        <v xml:space="preserve"> </v>
      </c>
      <c r="AN77" s="540"/>
      <c r="AO77" s="219"/>
      <c r="AP77" s="219"/>
      <c r="AQ77" s="219"/>
      <c r="AR77" s="219"/>
      <c r="AS77" s="219"/>
      <c r="AT77" s="219"/>
      <c r="AU77" s="219"/>
      <c r="AV77" s="219"/>
      <c r="AW77" s="256"/>
      <c r="AX77" s="256"/>
      <c r="AY77" s="256"/>
      <c r="AZ77" s="256"/>
      <c r="BA77" s="256"/>
      <c r="BB77" s="256"/>
      <c r="BC77" s="256"/>
      <c r="BD77" s="256"/>
      <c r="BE77" s="256"/>
      <c r="BF77" s="256"/>
      <c r="BG77" s="256"/>
      <c r="BH77" s="256"/>
      <c r="BI77" s="256"/>
      <c r="BJ77" s="256"/>
      <c r="BK77" s="256"/>
      <c r="BL77" s="256"/>
      <c r="BM77" s="256"/>
      <c r="BN77" s="256"/>
      <c r="BO77" s="256"/>
      <c r="BP77" s="256"/>
      <c r="BQ77" s="256"/>
      <c r="BR77" s="256"/>
      <c r="BS77" s="256"/>
      <c r="BT77" s="256"/>
    </row>
    <row r="78" spans="1:81" ht="21.75" customHeight="1" thickBot="1" x14ac:dyDescent="0.3">
      <c r="A78" s="234">
        <f>IF('Master List'!A75=0," ",'Master List'!A75)</f>
        <v>71288997</v>
      </c>
      <c r="B78" s="237"/>
      <c r="C78" s="235">
        <f>IF('Master List'!B75=0," ",'Master List'!B75)</f>
        <v>4</v>
      </c>
      <c r="D78" s="805"/>
      <c r="E78" s="547" t="str">
        <f>IF('Master List'!C75=0," ",'Master List'!C75)</f>
        <v>P. DEWAN</v>
      </c>
      <c r="F78" s="733" t="s">
        <v>90</v>
      </c>
      <c r="G78" s="727" t="s">
        <v>90</v>
      </c>
      <c r="H78" s="734">
        <v>3</v>
      </c>
      <c r="I78" s="731">
        <v>3</v>
      </c>
      <c r="J78" s="727">
        <v>3</v>
      </c>
      <c r="K78" s="727">
        <v>3</v>
      </c>
      <c r="L78" s="737">
        <v>3</v>
      </c>
      <c r="M78" s="739" t="s">
        <v>375</v>
      </c>
      <c r="N78" s="524"/>
      <c r="O78" s="510"/>
      <c r="P78" s="572"/>
      <c r="Q78" s="499"/>
      <c r="R78" s="243"/>
      <c r="S78" s="243"/>
      <c r="T78" s="499"/>
      <c r="U78" s="243"/>
      <c r="V78" s="243"/>
      <c r="W78" s="243"/>
      <c r="AG78" s="30" t="str">
        <f t="shared" si="49"/>
        <v xml:space="preserve"> </v>
      </c>
      <c r="AH78" s="30" t="str">
        <f t="shared" si="50"/>
        <v xml:space="preserve"> </v>
      </c>
      <c r="AI78" s="30">
        <f t="shared" si="51"/>
        <v>1</v>
      </c>
      <c r="AJ78" s="30">
        <f t="shared" si="52"/>
        <v>1</v>
      </c>
      <c r="AK78" s="30">
        <f t="shared" si="53"/>
        <v>1</v>
      </c>
      <c r="AL78" s="30">
        <f t="shared" si="54"/>
        <v>1</v>
      </c>
      <c r="AM78" s="30">
        <f t="shared" si="55"/>
        <v>1</v>
      </c>
      <c r="AN78" s="540"/>
      <c r="AO78" s="219"/>
      <c r="AP78" s="219"/>
      <c r="AQ78" s="219"/>
      <c r="AR78" s="219"/>
      <c r="AS78" s="219"/>
      <c r="AT78" s="219"/>
      <c r="AU78" s="219"/>
      <c r="AV78" s="219"/>
      <c r="AW78" s="256"/>
      <c r="AX78" s="256"/>
      <c r="AY78" s="256"/>
      <c r="AZ78" s="256"/>
      <c r="BA78" s="256"/>
      <c r="BB78" s="256"/>
      <c r="BC78" s="256"/>
      <c r="BD78" s="256"/>
      <c r="BE78" s="256"/>
      <c r="BF78" s="256"/>
      <c r="BG78" s="256"/>
      <c r="BH78" s="256"/>
      <c r="BI78" s="256"/>
      <c r="BJ78" s="256"/>
      <c r="BK78" s="256"/>
      <c r="BL78" s="256"/>
      <c r="BM78" s="256"/>
      <c r="BN78" s="256"/>
      <c r="BO78" s="256"/>
      <c r="BP78" s="256"/>
      <c r="BQ78" s="256"/>
      <c r="BR78" s="256"/>
      <c r="BS78" s="256"/>
      <c r="BT78" s="256"/>
    </row>
    <row r="79" spans="1:81" ht="21.75" customHeight="1" thickBot="1" x14ac:dyDescent="0.3">
      <c r="A79" s="234">
        <f>IF('Master List'!A76=0," ",'Master List'!A76)</f>
        <v>70956380</v>
      </c>
      <c r="B79" s="832" t="s">
        <v>147</v>
      </c>
      <c r="C79" s="235">
        <f>IF('Master List'!B76=0," ",'Master List'!B76)</f>
        <v>4</v>
      </c>
      <c r="D79" s="477"/>
      <c r="E79" s="547" t="str">
        <f>IF('Master List'!C76=0," ",'Master List'!C76)</f>
        <v>C. TO</v>
      </c>
      <c r="F79" s="733">
        <v>3</v>
      </c>
      <c r="G79" s="727">
        <v>3</v>
      </c>
      <c r="H79" s="734">
        <v>3</v>
      </c>
      <c r="I79" s="731" t="s">
        <v>90</v>
      </c>
      <c r="J79" s="727" t="s">
        <v>90</v>
      </c>
      <c r="K79" s="727">
        <v>3</v>
      </c>
      <c r="L79" s="737">
        <v>3</v>
      </c>
      <c r="M79" s="739"/>
      <c r="N79" s="524"/>
      <c r="O79" s="510"/>
      <c r="P79" s="572"/>
      <c r="Q79" s="499"/>
      <c r="R79" s="243"/>
      <c r="S79" s="243"/>
      <c r="T79" s="499"/>
      <c r="U79" s="243"/>
      <c r="V79" s="243"/>
      <c r="W79" s="243"/>
      <c r="AG79" s="30">
        <f t="shared" si="49"/>
        <v>1</v>
      </c>
      <c r="AH79" s="30">
        <f t="shared" si="50"/>
        <v>1</v>
      </c>
      <c r="AI79" s="30">
        <f t="shared" si="51"/>
        <v>1</v>
      </c>
      <c r="AJ79" s="30" t="str">
        <f t="shared" si="52"/>
        <v xml:space="preserve"> </v>
      </c>
      <c r="AK79" s="30" t="str">
        <f t="shared" si="53"/>
        <v xml:space="preserve"> </v>
      </c>
      <c r="AL79" s="30">
        <f t="shared" si="54"/>
        <v>1</v>
      </c>
      <c r="AM79" s="30">
        <f t="shared" si="55"/>
        <v>1</v>
      </c>
      <c r="AN79" s="540"/>
      <c r="AO79" s="219"/>
      <c r="AP79" s="219"/>
      <c r="AQ79" s="219"/>
      <c r="AR79" s="219"/>
      <c r="AS79" s="219"/>
      <c r="AT79" s="219"/>
      <c r="AU79" s="219"/>
      <c r="AV79" s="219"/>
      <c r="AW79" s="256"/>
      <c r="AX79" s="256"/>
      <c r="AY79" s="256"/>
      <c r="AZ79" s="256"/>
      <c r="BA79" s="256"/>
      <c r="BB79" s="256"/>
      <c r="BC79" s="256"/>
      <c r="BD79" s="256"/>
      <c r="BE79" s="256"/>
      <c r="BF79" s="256"/>
      <c r="BG79" s="256"/>
      <c r="BH79" s="256"/>
      <c r="BI79" s="256"/>
      <c r="BJ79" s="256"/>
      <c r="BK79" s="256"/>
      <c r="BL79" s="256"/>
      <c r="BM79" s="256"/>
      <c r="BN79" s="256"/>
      <c r="BO79" s="256"/>
      <c r="BP79" s="256"/>
      <c r="BQ79" s="256"/>
      <c r="BR79" s="256"/>
      <c r="BS79" s="256"/>
      <c r="BT79" s="256"/>
    </row>
    <row r="80" spans="1:81" ht="21.75" customHeight="1" thickBot="1" x14ac:dyDescent="0.3">
      <c r="A80" s="234">
        <f>IF('Master List'!A77=0," ",'Master List'!A77)</f>
        <v>70432735</v>
      </c>
      <c r="B80" s="237"/>
      <c r="C80" s="235">
        <f>IF('Master List'!B77=0," ",'Master List'!B77)</f>
        <v>4</v>
      </c>
      <c r="D80" s="825" t="s">
        <v>147</v>
      </c>
      <c r="E80" s="547" t="str">
        <f>IF('Master List'!C77=0," ",'Master List'!C77)</f>
        <v>C. CHENG</v>
      </c>
      <c r="F80" s="733" t="s">
        <v>107</v>
      </c>
      <c r="G80" s="727">
        <v>3</v>
      </c>
      <c r="H80" s="734">
        <v>3</v>
      </c>
      <c r="I80" s="731" t="s">
        <v>90</v>
      </c>
      <c r="J80" s="727" t="s">
        <v>90</v>
      </c>
      <c r="K80" s="727">
        <v>3</v>
      </c>
      <c r="L80" s="737">
        <v>3</v>
      </c>
      <c r="M80" s="739" t="s">
        <v>368</v>
      </c>
      <c r="N80" s="524"/>
      <c r="O80" s="510"/>
      <c r="P80" s="572"/>
      <c r="Q80" s="499"/>
      <c r="R80" s="243"/>
      <c r="S80" s="243"/>
      <c r="T80" s="499"/>
      <c r="U80" s="243"/>
      <c r="V80" s="243"/>
      <c r="W80" s="243"/>
      <c r="AG80" s="30" t="str">
        <f t="shared" si="49"/>
        <v xml:space="preserve"> </v>
      </c>
      <c r="AH80" s="30">
        <f t="shared" si="50"/>
        <v>1</v>
      </c>
      <c r="AI80" s="30">
        <f t="shared" si="51"/>
        <v>1</v>
      </c>
      <c r="AJ80" s="30" t="str">
        <f t="shared" si="52"/>
        <v xml:space="preserve"> </v>
      </c>
      <c r="AK80" s="30" t="str">
        <f t="shared" si="53"/>
        <v xml:space="preserve"> </v>
      </c>
      <c r="AL80" s="30">
        <f t="shared" si="54"/>
        <v>1</v>
      </c>
      <c r="AM80" s="30">
        <f t="shared" si="55"/>
        <v>1</v>
      </c>
      <c r="AN80" s="540"/>
      <c r="AO80" s="219"/>
      <c r="AP80" s="219"/>
      <c r="AQ80" s="219"/>
      <c r="AR80" s="219"/>
      <c r="AS80" s="219"/>
      <c r="AT80" s="219"/>
      <c r="AU80" s="219"/>
      <c r="AV80" s="219"/>
      <c r="AW80" s="256"/>
      <c r="AX80" s="256"/>
      <c r="AY80" s="256"/>
      <c r="AZ80" s="256"/>
      <c r="BA80" s="256"/>
      <c r="BB80" s="256"/>
      <c r="BC80" s="256"/>
      <c r="BD80" s="256"/>
      <c r="BE80" s="256"/>
      <c r="BF80" s="256"/>
      <c r="BG80" s="256"/>
      <c r="BH80" s="256"/>
      <c r="BI80" s="256"/>
      <c r="BJ80" s="256"/>
      <c r="BK80" s="256"/>
      <c r="BL80" s="256"/>
      <c r="BM80" s="256"/>
      <c r="BN80" s="256"/>
      <c r="BO80" s="256"/>
      <c r="BP80" s="256"/>
      <c r="BQ80" s="256"/>
      <c r="BR80" s="256"/>
      <c r="BS80" s="256"/>
      <c r="BT80" s="256"/>
    </row>
    <row r="81" spans="1:72" ht="21.75" customHeight="1" thickBot="1" x14ac:dyDescent="0.3">
      <c r="A81" s="234">
        <f>IF('Master List'!A78=0," ",'Master List'!A78)</f>
        <v>71160180</v>
      </c>
      <c r="B81" s="237"/>
      <c r="C81" s="235">
        <f>IF('Master List'!B78=0," ",'Master List'!B78)</f>
        <v>4</v>
      </c>
      <c r="D81" s="477"/>
      <c r="E81" s="547" t="str">
        <f>IF('Master List'!C78=0," ",'Master List'!C78)</f>
        <v>G. HINES</v>
      </c>
      <c r="F81" s="738" t="s">
        <v>200</v>
      </c>
      <c r="G81" s="731" t="s">
        <v>200</v>
      </c>
      <c r="H81" s="731" t="s">
        <v>200</v>
      </c>
      <c r="I81" s="731" t="s">
        <v>200</v>
      </c>
      <c r="J81" s="727" t="s">
        <v>200</v>
      </c>
      <c r="K81" s="731" t="s">
        <v>200</v>
      </c>
      <c r="L81" s="740" t="s">
        <v>200</v>
      </c>
      <c r="M81" s="751" t="s">
        <v>342</v>
      </c>
      <c r="N81" s="524"/>
      <c r="O81" s="510"/>
      <c r="P81" s="572"/>
      <c r="Q81" s="499"/>
      <c r="R81" s="243"/>
      <c r="S81" s="243"/>
      <c r="T81" s="499"/>
      <c r="U81" s="243"/>
      <c r="V81" s="243"/>
      <c r="W81" s="243"/>
      <c r="AG81" s="30" t="str">
        <f t="shared" si="49"/>
        <v xml:space="preserve"> </v>
      </c>
      <c r="AH81" s="30" t="str">
        <f t="shared" si="50"/>
        <v xml:space="preserve"> </v>
      </c>
      <c r="AI81" s="30" t="str">
        <f t="shared" si="51"/>
        <v xml:space="preserve"> </v>
      </c>
      <c r="AJ81" s="30" t="str">
        <f t="shared" si="52"/>
        <v xml:space="preserve"> </v>
      </c>
      <c r="AK81" s="30" t="str">
        <f t="shared" si="53"/>
        <v xml:space="preserve"> </v>
      </c>
      <c r="AL81" s="30" t="str">
        <f t="shared" si="54"/>
        <v xml:space="preserve"> </v>
      </c>
      <c r="AM81" s="30" t="str">
        <f t="shared" si="55"/>
        <v xml:space="preserve"> </v>
      </c>
      <c r="AN81" s="540"/>
      <c r="AO81" s="219"/>
      <c r="AP81" s="219"/>
      <c r="AQ81" s="219"/>
      <c r="AR81" s="219"/>
      <c r="AS81" s="219"/>
      <c r="AT81" s="219"/>
      <c r="AU81" s="219"/>
      <c r="AV81" s="219"/>
      <c r="AW81" s="256"/>
      <c r="AX81" s="256"/>
      <c r="AY81" s="256"/>
      <c r="AZ81" s="256"/>
      <c r="BA81" s="256"/>
      <c r="BB81" s="256"/>
      <c r="BC81" s="256"/>
      <c r="BD81" s="256"/>
      <c r="BE81" s="256"/>
      <c r="BF81" s="256"/>
      <c r="BG81" s="256"/>
      <c r="BH81" s="256"/>
      <c r="BI81" s="256"/>
      <c r="BJ81" s="256"/>
      <c r="BK81" s="256"/>
      <c r="BL81" s="256"/>
      <c r="BM81" s="256"/>
      <c r="BN81" s="256"/>
      <c r="BO81" s="256"/>
      <c r="BP81" s="256"/>
      <c r="BQ81" s="256"/>
      <c r="BR81" s="256"/>
      <c r="BS81" s="256"/>
      <c r="BT81" s="256"/>
    </row>
    <row r="82" spans="1:72" ht="21.75" customHeight="1" thickBot="1" x14ac:dyDescent="0.3">
      <c r="A82" s="234" t="str">
        <f>IF('Master List'!A79=0," ",'Master List'!A79)</f>
        <v>PSE</v>
      </c>
      <c r="B82" s="237"/>
      <c r="C82" s="235"/>
      <c r="D82" s="477"/>
      <c r="E82" s="547" t="str">
        <f>IF('Master List'!C79=0," ",'Master List'!C79)</f>
        <v>B. LILLY</v>
      </c>
      <c r="F82" s="730">
        <v>3</v>
      </c>
      <c r="G82" s="731" t="s">
        <v>90</v>
      </c>
      <c r="H82" s="731" t="s">
        <v>90</v>
      </c>
      <c r="I82" s="731">
        <v>3</v>
      </c>
      <c r="J82" s="731">
        <v>3</v>
      </c>
      <c r="K82" s="731">
        <v>3</v>
      </c>
      <c r="L82" s="748">
        <v>3</v>
      </c>
      <c r="M82" s="739" t="s">
        <v>374</v>
      </c>
      <c r="N82" s="524"/>
      <c r="O82" s="510"/>
      <c r="P82" s="572"/>
      <c r="Q82" s="499"/>
      <c r="R82" s="243"/>
      <c r="S82" s="243"/>
      <c r="T82" s="499"/>
      <c r="U82" s="243"/>
      <c r="V82" s="243"/>
      <c r="W82" s="243"/>
      <c r="AG82" s="30">
        <f t="shared" si="49"/>
        <v>1</v>
      </c>
      <c r="AH82" s="30" t="str">
        <f t="shared" si="50"/>
        <v xml:space="preserve"> </v>
      </c>
      <c r="AI82" s="30" t="str">
        <f t="shared" si="51"/>
        <v xml:space="preserve"> </v>
      </c>
      <c r="AJ82" s="30">
        <f t="shared" si="52"/>
        <v>1</v>
      </c>
      <c r="AK82" s="30">
        <f t="shared" si="53"/>
        <v>1</v>
      </c>
      <c r="AL82" s="30">
        <f t="shared" si="54"/>
        <v>1</v>
      </c>
      <c r="AM82" s="30">
        <f t="shared" si="55"/>
        <v>1</v>
      </c>
      <c r="AN82" s="540"/>
      <c r="AO82" s="219"/>
      <c r="AP82" s="219"/>
      <c r="AQ82" s="219"/>
      <c r="AR82" s="219"/>
      <c r="AS82" s="219"/>
      <c r="AT82" s="219"/>
      <c r="AU82" s="219"/>
      <c r="AV82" s="219"/>
      <c r="AW82" s="256"/>
      <c r="AX82" s="256"/>
      <c r="AY82" s="256"/>
      <c r="AZ82" s="256"/>
      <c r="BA82" s="256"/>
      <c r="BB82" s="256"/>
      <c r="BC82" s="256"/>
      <c r="BD82" s="256"/>
      <c r="BE82" s="256"/>
      <c r="BF82" s="256"/>
      <c r="BG82" s="256"/>
      <c r="BH82" s="256"/>
      <c r="BI82" s="256"/>
      <c r="BJ82" s="256"/>
      <c r="BK82" s="256"/>
      <c r="BL82" s="256"/>
      <c r="BM82" s="256"/>
      <c r="BN82" s="256"/>
      <c r="BO82" s="256"/>
      <c r="BP82" s="256"/>
      <c r="BQ82" s="256"/>
      <c r="BR82" s="256"/>
      <c r="BS82" s="256"/>
      <c r="BT82" s="256"/>
    </row>
    <row r="83" spans="1:72" ht="21.75" customHeight="1" thickBot="1" x14ac:dyDescent="0.3">
      <c r="A83" s="234" t="str">
        <f>IF('Master List'!A80=0," ",'Master List'!A80)</f>
        <v>PSE</v>
      </c>
      <c r="B83" s="237"/>
      <c r="C83" s="235"/>
      <c r="D83" s="477"/>
      <c r="E83" s="547" t="str">
        <f>IF('Master List'!C80=0," ",'Master List'!C80)</f>
        <v>K. HUFFMAN</v>
      </c>
      <c r="F83" s="738">
        <v>3</v>
      </c>
      <c r="G83" s="731">
        <v>3</v>
      </c>
      <c r="H83" s="731" t="s">
        <v>90</v>
      </c>
      <c r="I83" s="727" t="s">
        <v>90</v>
      </c>
      <c r="J83" s="727">
        <v>3</v>
      </c>
      <c r="K83" s="727">
        <v>3</v>
      </c>
      <c r="L83" s="748">
        <v>3</v>
      </c>
      <c r="M83" s="739" t="s">
        <v>374</v>
      </c>
      <c r="N83" s="524"/>
      <c r="O83" s="510"/>
      <c r="P83" s="572"/>
      <c r="Q83" s="499"/>
      <c r="R83" s="243"/>
      <c r="S83" s="243"/>
      <c r="T83" s="499"/>
      <c r="U83" s="243"/>
      <c r="V83" s="243"/>
      <c r="W83" s="243"/>
      <c r="AG83" s="30">
        <f t="shared" si="49"/>
        <v>1</v>
      </c>
      <c r="AH83" s="30">
        <f t="shared" si="50"/>
        <v>1</v>
      </c>
      <c r="AI83" s="30" t="str">
        <f t="shared" si="51"/>
        <v xml:space="preserve"> </v>
      </c>
      <c r="AJ83" s="30" t="str">
        <f t="shared" si="52"/>
        <v xml:space="preserve"> </v>
      </c>
      <c r="AK83" s="30">
        <f t="shared" si="53"/>
        <v>1</v>
      </c>
      <c r="AL83" s="30">
        <f t="shared" si="54"/>
        <v>1</v>
      </c>
      <c r="AM83" s="30">
        <f t="shared" si="55"/>
        <v>1</v>
      </c>
      <c r="AN83" s="540"/>
      <c r="AO83" s="219"/>
      <c r="AP83" s="219"/>
      <c r="AQ83" s="219"/>
      <c r="AR83" s="219"/>
      <c r="AS83" s="219"/>
      <c r="AT83" s="219"/>
      <c r="AU83" s="219"/>
      <c r="AV83" s="219"/>
      <c r="AW83" s="256"/>
      <c r="AX83" s="256"/>
      <c r="AY83" s="256"/>
      <c r="AZ83" s="256"/>
      <c r="BA83" s="256"/>
      <c r="BB83" s="256"/>
      <c r="BC83" s="256"/>
      <c r="BD83" s="256"/>
      <c r="BE83" s="256"/>
      <c r="BF83" s="256"/>
      <c r="BG83" s="256"/>
      <c r="BH83" s="256"/>
      <c r="BI83" s="256"/>
      <c r="BJ83" s="256"/>
      <c r="BK83" s="256"/>
      <c r="BL83" s="256"/>
      <c r="BM83" s="256"/>
      <c r="BN83" s="256"/>
      <c r="BO83" s="256"/>
      <c r="BP83" s="256"/>
      <c r="BQ83" s="256"/>
      <c r="BR83" s="256"/>
      <c r="BS83" s="256"/>
      <c r="BT83" s="256"/>
    </row>
    <row r="84" spans="1:72" ht="21.75" customHeight="1" thickBot="1" x14ac:dyDescent="0.3">
      <c r="A84" s="234" t="str">
        <f>IF('Master List'!A81=0," ",'Master List'!A81)</f>
        <v>PSE</v>
      </c>
      <c r="B84" s="237"/>
      <c r="C84" s="235"/>
      <c r="D84" s="477"/>
      <c r="E84" s="547" t="str">
        <f>IF('Master List'!C81=0," ",'Master List'!C81)</f>
        <v>R. MALVO</v>
      </c>
      <c r="F84" s="738" t="s">
        <v>359</v>
      </c>
      <c r="G84" s="731">
        <v>3</v>
      </c>
      <c r="H84" s="731">
        <v>3</v>
      </c>
      <c r="I84" s="727">
        <v>3</v>
      </c>
      <c r="J84" s="727" t="s">
        <v>90</v>
      </c>
      <c r="K84" s="727" t="s">
        <v>90</v>
      </c>
      <c r="L84" s="731">
        <v>3</v>
      </c>
      <c r="M84" s="751"/>
      <c r="N84" s="524"/>
      <c r="O84" s="510"/>
      <c r="P84" s="192" t="s">
        <v>56</v>
      </c>
      <c r="Q84" s="228"/>
      <c r="R84" s="228"/>
      <c r="S84" s="228"/>
      <c r="T84" s="243"/>
      <c r="U84" s="228"/>
      <c r="V84" s="228"/>
      <c r="W84" s="228"/>
      <c r="X84" s="228"/>
      <c r="AG84" s="30" t="str">
        <f t="shared" si="49"/>
        <v xml:space="preserve"> </v>
      </c>
      <c r="AH84" s="30">
        <f t="shared" si="50"/>
        <v>1</v>
      </c>
      <c r="AI84" s="30">
        <f t="shared" si="51"/>
        <v>1</v>
      </c>
      <c r="AJ84" s="30">
        <f t="shared" si="52"/>
        <v>1</v>
      </c>
      <c r="AK84" s="30" t="str">
        <f t="shared" si="53"/>
        <v xml:space="preserve"> </v>
      </c>
      <c r="AL84" s="30" t="str">
        <f t="shared" si="54"/>
        <v xml:space="preserve"> </v>
      </c>
      <c r="AM84" s="30">
        <f t="shared" si="55"/>
        <v>1</v>
      </c>
      <c r="AN84" s="540"/>
      <c r="AO84" s="219"/>
      <c r="AP84" s="219"/>
      <c r="AQ84" s="219"/>
      <c r="AR84" s="219"/>
      <c r="AS84" s="219"/>
      <c r="AT84" s="219"/>
      <c r="AU84" s="219"/>
      <c r="AV84" s="219"/>
      <c r="AW84" s="256"/>
      <c r="AX84" s="256"/>
      <c r="AY84" s="256"/>
      <c r="AZ84" s="256"/>
      <c r="BA84" s="256"/>
      <c r="BB84" s="256"/>
      <c r="BC84" s="256"/>
      <c r="BD84" s="256"/>
      <c r="BE84" s="256"/>
      <c r="BF84" s="256"/>
      <c r="BG84" s="256"/>
      <c r="BH84" s="256"/>
      <c r="BI84" s="256"/>
      <c r="BJ84" s="256"/>
      <c r="BK84" s="256"/>
      <c r="BL84" s="256"/>
      <c r="BM84" s="256"/>
      <c r="BN84" s="256"/>
      <c r="BO84" s="256"/>
      <c r="BP84" s="256"/>
      <c r="BQ84" s="256"/>
      <c r="BR84" s="256"/>
      <c r="BS84" s="256"/>
      <c r="BT84" s="256"/>
    </row>
    <row r="85" spans="1:72" ht="21.75" customHeight="1" x14ac:dyDescent="0.25">
      <c r="A85" s="234" t="str">
        <f>IF('Master List'!A82=0," ",'Master List'!A82)</f>
        <v>PSE</v>
      </c>
      <c r="B85" s="237"/>
      <c r="C85" s="235"/>
      <c r="D85" s="477"/>
      <c r="E85" s="547" t="str">
        <f>IF('Master List'!C82=0," ",'Master List'!C82)</f>
        <v>J. ESTER</v>
      </c>
      <c r="F85" s="738">
        <v>3</v>
      </c>
      <c r="G85" s="731">
        <v>3</v>
      </c>
      <c r="H85" s="727">
        <v>3</v>
      </c>
      <c r="I85" s="727" t="s">
        <v>90</v>
      </c>
      <c r="J85" s="727" t="s">
        <v>90</v>
      </c>
      <c r="K85" s="727">
        <v>3</v>
      </c>
      <c r="L85" s="727"/>
      <c r="M85" s="752"/>
      <c r="N85" s="527"/>
      <c r="O85" s="515"/>
      <c r="Q85" s="228"/>
      <c r="R85" s="228"/>
      <c r="S85" s="228"/>
      <c r="T85" s="228"/>
      <c r="U85" s="228"/>
      <c r="V85" s="228"/>
      <c r="W85" s="228"/>
      <c r="X85" s="228"/>
      <c r="AG85" s="30">
        <f t="shared" si="49"/>
        <v>1</v>
      </c>
      <c r="AH85" s="30">
        <f t="shared" si="50"/>
        <v>1</v>
      </c>
      <c r="AI85" s="30">
        <f t="shared" si="51"/>
        <v>1</v>
      </c>
      <c r="AJ85" s="30" t="str">
        <f t="shared" si="52"/>
        <v xml:space="preserve"> </v>
      </c>
      <c r="AK85" s="30" t="str">
        <f t="shared" si="53"/>
        <v xml:space="preserve"> </v>
      </c>
      <c r="AL85" s="30">
        <f t="shared" si="54"/>
        <v>1</v>
      </c>
      <c r="AM85" s="30" t="str">
        <f t="shared" si="55"/>
        <v xml:space="preserve"> </v>
      </c>
      <c r="AN85" s="540"/>
      <c r="AO85" s="219"/>
      <c r="AP85" s="219"/>
      <c r="AQ85" s="219"/>
      <c r="AR85" s="219"/>
      <c r="AS85" s="219"/>
      <c r="AT85" s="219"/>
      <c r="AU85" s="219"/>
      <c r="AV85" s="219"/>
      <c r="AW85" s="256"/>
      <c r="AX85" s="256"/>
      <c r="AY85" s="256"/>
      <c r="AZ85" s="256"/>
      <c r="BA85" s="256"/>
      <c r="BB85" s="256"/>
      <c r="BC85" s="256"/>
      <c r="BD85" s="256"/>
      <c r="BE85" s="256"/>
      <c r="BF85" s="256"/>
      <c r="BG85" s="256"/>
      <c r="BH85" s="256"/>
      <c r="BI85" s="256"/>
      <c r="BJ85" s="256"/>
      <c r="BK85" s="256"/>
      <c r="BL85" s="256"/>
      <c r="BM85" s="256"/>
      <c r="BN85" s="256"/>
      <c r="BO85" s="256"/>
      <c r="BP85" s="256"/>
      <c r="BQ85" s="256"/>
      <c r="BR85" s="256"/>
      <c r="BS85" s="256"/>
      <c r="BT85" s="256"/>
    </row>
    <row r="86" spans="1:72" ht="21.75" customHeight="1" thickBot="1" x14ac:dyDescent="0.3">
      <c r="A86" s="230" t="str">
        <f>IF('Master List'!A56="0"," ",'Master List'!A56)</f>
        <v>BEM</v>
      </c>
      <c r="B86" s="231"/>
      <c r="C86" s="231" t="str">
        <f>IF('Master List'!B83=0," ",'Master List'!B83)</f>
        <v xml:space="preserve"> </v>
      </c>
      <c r="D86" s="231"/>
      <c r="E86" s="417" t="s">
        <v>124</v>
      </c>
      <c r="F86" s="464">
        <f>AG86</f>
        <v>0</v>
      </c>
      <c r="G86" s="464">
        <f t="shared" ref="G86:L86" si="56">AH86</f>
        <v>0</v>
      </c>
      <c r="H86" s="464">
        <f t="shared" si="56"/>
        <v>0</v>
      </c>
      <c r="I86" s="464">
        <f t="shared" si="56"/>
        <v>1</v>
      </c>
      <c r="J86" s="464">
        <f t="shared" si="56"/>
        <v>1</v>
      </c>
      <c r="K86" s="464">
        <f t="shared" si="56"/>
        <v>1</v>
      </c>
      <c r="L86" s="464">
        <f t="shared" si="56"/>
        <v>1</v>
      </c>
      <c r="M86" s="473"/>
      <c r="N86" s="285"/>
      <c r="O86" s="284"/>
      <c r="Q86" s="228"/>
      <c r="R86" s="228"/>
      <c r="T86" s="228"/>
      <c r="U86" s="228"/>
      <c r="V86" s="228"/>
      <c r="W86" s="228"/>
      <c r="X86" s="228"/>
      <c r="AG86" s="392">
        <f t="shared" ref="AG86:AM86" si="57">SUM(AG87:AG92)</f>
        <v>0</v>
      </c>
      <c r="AH86" s="392">
        <f t="shared" si="57"/>
        <v>0</v>
      </c>
      <c r="AI86" s="392">
        <f t="shared" si="57"/>
        <v>0</v>
      </c>
      <c r="AJ86" s="392">
        <f t="shared" si="57"/>
        <v>1</v>
      </c>
      <c r="AK86" s="392">
        <f t="shared" si="57"/>
        <v>1</v>
      </c>
      <c r="AL86" s="392">
        <f t="shared" si="57"/>
        <v>1</v>
      </c>
      <c r="AM86" s="392">
        <f t="shared" si="57"/>
        <v>1</v>
      </c>
      <c r="AN86" s="540"/>
      <c r="AO86" s="219"/>
      <c r="AP86" s="219"/>
      <c r="AQ86" s="219"/>
      <c r="AR86" s="219"/>
      <c r="AS86" s="219"/>
      <c r="AT86" s="219"/>
      <c r="AU86" s="219"/>
      <c r="AV86" s="219"/>
      <c r="AW86" s="256"/>
      <c r="AX86" s="256"/>
      <c r="AY86" s="256"/>
      <c r="AZ86" s="256"/>
      <c r="BA86" s="256"/>
      <c r="BB86" s="256"/>
      <c r="BC86" s="256"/>
      <c r="BD86" s="256"/>
      <c r="BE86" s="256"/>
      <c r="BF86" s="256"/>
      <c r="BG86" s="256"/>
      <c r="BH86" s="256"/>
      <c r="BI86" s="256"/>
      <c r="BJ86" s="256"/>
      <c r="BK86" s="256"/>
      <c r="BL86" s="256"/>
      <c r="BM86" s="256"/>
      <c r="BN86" s="256"/>
      <c r="BO86" s="256"/>
      <c r="BP86" s="256"/>
      <c r="BQ86" s="256"/>
      <c r="BR86" s="256"/>
      <c r="BS86" s="256"/>
      <c r="BT86" s="256"/>
    </row>
    <row r="87" spans="1:72" ht="21.75" customHeight="1" thickBot="1" x14ac:dyDescent="0.3">
      <c r="A87" s="697">
        <f>IF('Master List'!A57=0," ",'Master List'!A57)</f>
        <v>95796890</v>
      </c>
      <c r="B87" s="698"/>
      <c r="C87" s="699">
        <v>9</v>
      </c>
      <c r="D87" s="698"/>
      <c r="E87" s="700" t="str">
        <f>IF('Master List'!C57=0," ",'Master List'!C57)</f>
        <v>A. CLIMACO</v>
      </c>
      <c r="F87" s="730" t="s">
        <v>359</v>
      </c>
      <c r="G87" s="727" t="s">
        <v>90</v>
      </c>
      <c r="H87" s="727" t="s">
        <v>90</v>
      </c>
      <c r="I87" s="727">
        <v>3</v>
      </c>
      <c r="J87" s="727">
        <v>3</v>
      </c>
      <c r="K87" s="731">
        <v>3</v>
      </c>
      <c r="L87" s="728">
        <v>3</v>
      </c>
      <c r="M87" s="753"/>
      <c r="N87" s="528"/>
      <c r="O87" s="509"/>
      <c r="Q87" s="228"/>
      <c r="R87" s="228"/>
      <c r="S87" s="228"/>
      <c r="T87" s="228"/>
      <c r="U87" s="228"/>
      <c r="V87" s="228"/>
      <c r="W87" s="228"/>
      <c r="AG87" s="30" t="str">
        <f t="shared" ref="AG87:AM89" si="58">IF(OR(F87="OT**",F87=3,F87="OT",F87="3V",F87="OTNV",F87="OTV",F87="3NV",F87="3*",F87="2OTBT",F87="OT*",F87="2OTET",F87="4OTET",F87="*OTBT",F87="*OTET"),1," ")</f>
        <v xml:space="preserve"> </v>
      </c>
      <c r="AH87" s="30" t="str">
        <f t="shared" si="58"/>
        <v xml:space="preserve"> </v>
      </c>
      <c r="AI87" s="30" t="str">
        <f t="shared" si="58"/>
        <v xml:space="preserve"> </v>
      </c>
      <c r="AJ87" s="30">
        <f t="shared" si="58"/>
        <v>1</v>
      </c>
      <c r="AK87" s="30">
        <f t="shared" si="58"/>
        <v>1</v>
      </c>
      <c r="AL87" s="30">
        <f t="shared" si="58"/>
        <v>1</v>
      </c>
      <c r="AM87" s="30">
        <f t="shared" si="58"/>
        <v>1</v>
      </c>
      <c r="AN87" s="540"/>
      <c r="AO87" s="219"/>
      <c r="AP87" s="219"/>
      <c r="AQ87" s="219"/>
      <c r="AR87" s="219"/>
      <c r="AS87" s="219"/>
      <c r="AT87" s="219"/>
      <c r="AU87" s="219"/>
      <c r="AV87" s="219"/>
      <c r="AW87" s="256"/>
      <c r="AX87" s="256"/>
      <c r="AY87" s="256"/>
      <c r="AZ87" s="256"/>
      <c r="BA87" s="256"/>
      <c r="BB87" s="256"/>
      <c r="BC87" s="256"/>
      <c r="BD87" s="256"/>
      <c r="BE87" s="256"/>
      <c r="BF87" s="256"/>
      <c r="BG87" s="256"/>
      <c r="BH87" s="256"/>
      <c r="BI87" s="256"/>
      <c r="BJ87" s="256"/>
      <c r="BK87" s="256"/>
      <c r="BL87" s="256"/>
      <c r="BM87" s="256"/>
      <c r="BN87" s="256"/>
      <c r="BO87" s="256"/>
      <c r="BP87" s="256"/>
      <c r="BQ87" s="256"/>
      <c r="BR87" s="256"/>
      <c r="BS87" s="256"/>
      <c r="BT87" s="256"/>
    </row>
    <row r="88" spans="1:72" ht="21.75" customHeight="1" thickBot="1" x14ac:dyDescent="0.3">
      <c r="A88" s="633" t="str">
        <f>IF('Master List'!A58=0," ",'Master List'!A58)</f>
        <v xml:space="preserve"> </v>
      </c>
      <c r="B88" s="477"/>
      <c r="C88" s="237"/>
      <c r="D88" s="477"/>
      <c r="E88" s="300" t="str">
        <f>IF('Master List'!C58=0," ",'Master List'!C58)</f>
        <v xml:space="preserve"> </v>
      </c>
      <c r="F88" s="730"/>
      <c r="G88" s="727"/>
      <c r="H88" s="727"/>
      <c r="I88" s="727"/>
      <c r="J88" s="731"/>
      <c r="K88" s="731"/>
      <c r="L88" s="728"/>
      <c r="M88" s="739"/>
      <c r="N88" s="524"/>
      <c r="O88" s="510"/>
      <c r="Q88" s="228"/>
      <c r="R88" s="228"/>
      <c r="S88" s="228"/>
      <c r="T88" s="228"/>
      <c r="U88" s="228"/>
      <c r="V88" s="228"/>
      <c r="W88" s="228"/>
      <c r="AG88" s="30" t="str">
        <f t="shared" si="58"/>
        <v xml:space="preserve"> </v>
      </c>
      <c r="AH88" s="30" t="str">
        <f t="shared" si="58"/>
        <v xml:space="preserve"> </v>
      </c>
      <c r="AI88" s="30" t="str">
        <f t="shared" si="58"/>
        <v xml:space="preserve"> </v>
      </c>
      <c r="AJ88" s="30" t="str">
        <f t="shared" si="58"/>
        <v xml:space="preserve"> </v>
      </c>
      <c r="AK88" s="30" t="str">
        <f t="shared" si="58"/>
        <v xml:space="preserve"> </v>
      </c>
      <c r="AL88" s="30" t="str">
        <f t="shared" si="58"/>
        <v xml:space="preserve"> </v>
      </c>
      <c r="AM88" s="30" t="str">
        <f t="shared" si="58"/>
        <v xml:space="preserve"> </v>
      </c>
      <c r="AN88" s="540"/>
      <c r="AO88" s="219"/>
      <c r="AP88" s="219"/>
      <c r="AQ88" s="219"/>
      <c r="AR88" s="219"/>
      <c r="AS88" s="219"/>
      <c r="AT88" s="219"/>
      <c r="AU88" s="219"/>
      <c r="AV88" s="219"/>
      <c r="AW88" s="256"/>
      <c r="AX88" s="256"/>
      <c r="AY88" s="256"/>
      <c r="AZ88" s="256"/>
      <c r="BA88" s="256"/>
      <c r="BB88" s="256"/>
      <c r="BC88" s="256"/>
      <c r="BD88" s="256"/>
      <c r="BE88" s="256"/>
      <c r="BF88" s="256"/>
      <c r="BG88" s="256"/>
      <c r="BH88" s="256"/>
      <c r="BI88" s="256"/>
      <c r="BJ88" s="256"/>
      <c r="BK88" s="256"/>
      <c r="BL88" s="256"/>
      <c r="BM88" s="256"/>
      <c r="BN88" s="256"/>
      <c r="BO88" s="256"/>
      <c r="BP88" s="256"/>
      <c r="BQ88" s="256"/>
      <c r="BR88" s="256"/>
      <c r="BS88" s="256"/>
      <c r="BT88" s="256"/>
    </row>
    <row r="89" spans="1:72" ht="21.75" customHeight="1" thickBot="1" x14ac:dyDescent="0.3">
      <c r="A89" s="633" t="str">
        <f>IF('Master List'!A59=0," ",'Master List'!A59)</f>
        <v xml:space="preserve"> </v>
      </c>
      <c r="B89" s="416"/>
      <c r="C89" s="237"/>
      <c r="D89" s="398"/>
      <c r="E89" s="300" t="str">
        <f>IF('Master List'!C59=0," ",'Master List'!C59)</f>
        <v xml:space="preserve"> </v>
      </c>
      <c r="F89" s="738"/>
      <c r="G89" s="727"/>
      <c r="H89" s="727"/>
      <c r="I89" s="727"/>
      <c r="J89" s="731"/>
      <c r="K89" s="731"/>
      <c r="L89" s="728"/>
      <c r="M89" s="739"/>
      <c r="N89" s="524"/>
      <c r="O89" s="510"/>
      <c r="Q89" s="228"/>
      <c r="R89" s="228"/>
      <c r="S89" s="228"/>
      <c r="T89" s="228"/>
      <c r="U89" s="228"/>
      <c r="V89" s="228"/>
      <c r="W89" s="228"/>
      <c r="AG89" s="30" t="str">
        <f t="shared" si="58"/>
        <v xml:space="preserve"> </v>
      </c>
      <c r="AH89" s="30" t="str">
        <f t="shared" si="58"/>
        <v xml:space="preserve"> </v>
      </c>
      <c r="AI89" s="30" t="str">
        <f t="shared" si="58"/>
        <v xml:space="preserve"> </v>
      </c>
      <c r="AJ89" s="30" t="str">
        <f t="shared" si="58"/>
        <v xml:space="preserve"> </v>
      </c>
      <c r="AK89" s="30" t="str">
        <f t="shared" si="58"/>
        <v xml:space="preserve"> </v>
      </c>
      <c r="AL89" s="30" t="str">
        <f t="shared" si="58"/>
        <v xml:space="preserve"> </v>
      </c>
      <c r="AM89" s="30" t="str">
        <f t="shared" si="58"/>
        <v xml:space="preserve"> </v>
      </c>
      <c r="AN89" s="540"/>
      <c r="AO89" s="219"/>
      <c r="AP89" s="219"/>
      <c r="AQ89" s="219"/>
      <c r="AR89" s="219"/>
      <c r="AS89" s="219"/>
      <c r="AT89" s="219"/>
      <c r="AU89" s="219"/>
      <c r="AV89" s="219"/>
      <c r="AW89" s="256"/>
      <c r="AX89" s="256"/>
      <c r="AY89" s="256"/>
      <c r="AZ89" s="256"/>
      <c r="BA89" s="256"/>
      <c r="BB89" s="256"/>
      <c r="BC89" s="256"/>
      <c r="BD89" s="256"/>
      <c r="BE89" s="256"/>
      <c r="BF89" s="256"/>
      <c r="BG89" s="256"/>
      <c r="BH89" s="256"/>
      <c r="BI89" s="256"/>
      <c r="BJ89" s="256"/>
      <c r="BK89" s="256"/>
      <c r="BL89" s="256"/>
      <c r="BM89" s="256"/>
      <c r="BN89" s="256"/>
      <c r="BO89" s="256"/>
      <c r="BP89" s="256"/>
      <c r="BQ89" s="256"/>
      <c r="BR89" s="256"/>
      <c r="BS89" s="256"/>
      <c r="BT89" s="256"/>
    </row>
    <row r="90" spans="1:72" ht="21.75" customHeight="1" thickBot="1" x14ac:dyDescent="0.3">
      <c r="A90" s="633" t="str">
        <f>IF('Master List'!A60=0," ",'Master List'!A60)</f>
        <v xml:space="preserve"> </v>
      </c>
      <c r="B90" s="416"/>
      <c r="C90" s="237"/>
      <c r="D90" s="398"/>
      <c r="E90" s="300" t="str">
        <f>IF('Master List'!C60=0," ",'Master List'!C60)</f>
        <v xml:space="preserve"> </v>
      </c>
      <c r="F90" s="738"/>
      <c r="G90" s="731"/>
      <c r="H90" s="727"/>
      <c r="I90" s="727"/>
      <c r="J90" s="731"/>
      <c r="K90" s="731"/>
      <c r="L90" s="728"/>
      <c r="M90" s="739"/>
      <c r="N90" s="524"/>
      <c r="O90" s="510"/>
      <c r="Q90" s="228"/>
      <c r="R90" s="228"/>
      <c r="S90" s="228"/>
      <c r="T90" s="228"/>
      <c r="U90" s="228"/>
      <c r="V90" s="228"/>
      <c r="W90" s="228"/>
      <c r="AG90" s="30" t="str">
        <f t="shared" ref="AG90:AM92" si="59">IF(OR(F90="OT**",F90=3,F90="OT",F90="3V",F90="OTNV",F90="OTV",F90="3NV",F90="3*",F90="2OTBT",F90="OT*",F90="2OTET",F90="4OTET",F90="*OTBT",F90="*OTET"),1," ")</f>
        <v xml:space="preserve"> </v>
      </c>
      <c r="AH90" s="30" t="str">
        <f t="shared" si="59"/>
        <v xml:space="preserve"> </v>
      </c>
      <c r="AI90" s="30" t="str">
        <f t="shared" si="59"/>
        <v xml:space="preserve"> </v>
      </c>
      <c r="AJ90" s="30" t="str">
        <f t="shared" si="59"/>
        <v xml:space="preserve"> </v>
      </c>
      <c r="AK90" s="30" t="str">
        <f t="shared" si="59"/>
        <v xml:space="preserve"> </v>
      </c>
      <c r="AL90" s="30" t="str">
        <f t="shared" si="59"/>
        <v xml:space="preserve"> </v>
      </c>
      <c r="AM90" s="30" t="str">
        <f t="shared" si="59"/>
        <v xml:space="preserve"> </v>
      </c>
      <c r="AN90" s="540"/>
      <c r="AO90" s="219"/>
      <c r="AP90" s="219"/>
      <c r="AQ90" s="219"/>
      <c r="AR90" s="219"/>
      <c r="AS90" s="219"/>
      <c r="AT90" s="219"/>
      <c r="AU90" s="219"/>
      <c r="AV90" s="219"/>
      <c r="AW90" s="256"/>
      <c r="AX90" s="256"/>
      <c r="AY90" s="256"/>
      <c r="AZ90" s="256"/>
      <c r="BA90" s="256"/>
      <c r="BB90" s="256"/>
      <c r="BC90" s="256"/>
      <c r="BD90" s="256"/>
      <c r="BE90" s="256"/>
      <c r="BF90" s="256"/>
      <c r="BG90" s="256"/>
      <c r="BH90" s="256"/>
      <c r="BI90" s="256"/>
      <c r="BJ90" s="256"/>
      <c r="BK90" s="256"/>
      <c r="BL90" s="256"/>
      <c r="BM90" s="256"/>
      <c r="BN90" s="256"/>
      <c r="BO90" s="256"/>
      <c r="BP90" s="256"/>
      <c r="BQ90" s="256"/>
      <c r="BR90" s="256"/>
      <c r="BS90" s="256"/>
      <c r="BT90" s="256"/>
    </row>
    <row r="91" spans="1:72" ht="21.75" customHeight="1" thickBot="1" x14ac:dyDescent="0.3">
      <c r="A91" s="633" t="str">
        <f>IF('Master List'!A61=0," ",'Master List'!A61)</f>
        <v xml:space="preserve"> </v>
      </c>
      <c r="B91" s="416"/>
      <c r="C91" s="237"/>
      <c r="D91" s="398"/>
      <c r="E91" s="300" t="s">
        <v>56</v>
      </c>
      <c r="F91" s="738"/>
      <c r="G91" s="731"/>
      <c r="H91" s="731"/>
      <c r="I91" s="731"/>
      <c r="J91" s="731"/>
      <c r="K91" s="731"/>
      <c r="L91" s="740"/>
      <c r="M91" s="726"/>
      <c r="N91" s="707"/>
      <c r="O91" s="542"/>
      <c r="Q91" s="228"/>
      <c r="R91" s="228"/>
      <c r="S91" s="228"/>
      <c r="T91" s="228"/>
      <c r="U91" s="228"/>
      <c r="V91" s="228"/>
      <c r="W91" s="228"/>
      <c r="AG91" s="30" t="str">
        <f t="shared" si="59"/>
        <v xml:space="preserve"> </v>
      </c>
      <c r="AH91" s="30" t="str">
        <f t="shared" si="59"/>
        <v xml:space="preserve"> </v>
      </c>
      <c r="AI91" s="30" t="str">
        <f t="shared" si="59"/>
        <v xml:space="preserve"> </v>
      </c>
      <c r="AJ91" s="30" t="str">
        <f t="shared" si="59"/>
        <v xml:space="preserve"> </v>
      </c>
      <c r="AK91" s="30" t="str">
        <f t="shared" si="59"/>
        <v xml:space="preserve"> </v>
      </c>
      <c r="AL91" s="30" t="str">
        <f t="shared" si="59"/>
        <v xml:space="preserve"> </v>
      </c>
      <c r="AM91" s="30" t="str">
        <f t="shared" si="59"/>
        <v xml:space="preserve"> </v>
      </c>
      <c r="AN91" s="540"/>
      <c r="AO91" s="219"/>
      <c r="AP91" s="219"/>
      <c r="AQ91" s="219"/>
      <c r="AR91" s="219"/>
      <c r="AS91" s="219"/>
      <c r="AT91" s="219"/>
      <c r="AU91" s="219"/>
      <c r="AV91" s="219"/>
      <c r="AW91" s="256"/>
      <c r="AX91" s="256"/>
      <c r="AY91" s="256"/>
      <c r="AZ91" s="256"/>
      <c r="BA91" s="256"/>
      <c r="BB91" s="256"/>
      <c r="BC91" s="256"/>
      <c r="BD91" s="256"/>
      <c r="BE91" s="256"/>
      <c r="BF91" s="256"/>
      <c r="BG91" s="256"/>
      <c r="BH91" s="256"/>
      <c r="BI91" s="256"/>
      <c r="BJ91" s="256"/>
      <c r="BK91" s="256"/>
      <c r="BL91" s="256"/>
      <c r="BM91" s="256"/>
      <c r="BN91" s="256"/>
      <c r="BO91" s="256"/>
      <c r="BP91" s="256"/>
      <c r="BQ91" s="256"/>
      <c r="BR91" s="256"/>
      <c r="BS91" s="256"/>
      <c r="BT91" s="256"/>
    </row>
    <row r="92" spans="1:72" ht="21.75" customHeight="1" x14ac:dyDescent="0.25">
      <c r="A92" s="701" t="str">
        <f>IF('Master List'!A62=0," ",'Master List'!A62)</f>
        <v xml:space="preserve"> </v>
      </c>
      <c r="B92" s="720"/>
      <c r="C92" s="246"/>
      <c r="D92" s="721"/>
      <c r="E92" s="548" t="s">
        <v>56</v>
      </c>
      <c r="F92" s="801"/>
      <c r="G92" s="802"/>
      <c r="H92" s="802"/>
      <c r="I92" s="802"/>
      <c r="J92" s="802"/>
      <c r="K92" s="802"/>
      <c r="L92" s="803"/>
      <c r="M92" s="754"/>
      <c r="N92" s="708"/>
      <c r="O92" s="515"/>
      <c r="R92" s="228"/>
      <c r="S92" s="228"/>
      <c r="T92" s="228"/>
      <c r="U92" s="228"/>
      <c r="V92" s="228"/>
      <c r="W92" s="228"/>
      <c r="AG92" s="30" t="str">
        <f t="shared" si="59"/>
        <v xml:space="preserve"> </v>
      </c>
      <c r="AH92" s="30" t="str">
        <f t="shared" si="59"/>
        <v xml:space="preserve"> </v>
      </c>
      <c r="AI92" s="30" t="str">
        <f t="shared" si="59"/>
        <v xml:space="preserve"> </v>
      </c>
      <c r="AJ92" s="30" t="str">
        <f t="shared" si="59"/>
        <v xml:space="preserve"> </v>
      </c>
      <c r="AK92" s="30" t="str">
        <f t="shared" si="59"/>
        <v xml:space="preserve"> </v>
      </c>
      <c r="AL92" s="30" t="str">
        <f t="shared" si="59"/>
        <v xml:space="preserve"> </v>
      </c>
      <c r="AM92" s="30" t="str">
        <f t="shared" si="59"/>
        <v xml:space="preserve"> </v>
      </c>
      <c r="AN92" s="540"/>
      <c r="AO92" s="219"/>
      <c r="AP92" s="219"/>
      <c r="AQ92" s="219"/>
      <c r="AR92" s="219"/>
      <c r="AS92" s="219"/>
      <c r="AT92" s="219"/>
      <c r="AU92" s="219"/>
      <c r="AV92" s="219"/>
      <c r="AW92" s="256"/>
      <c r="AX92" s="256"/>
      <c r="AY92" s="256"/>
      <c r="AZ92" s="256"/>
      <c r="BA92" s="256"/>
      <c r="BB92" s="256"/>
      <c r="BC92" s="256"/>
      <c r="BD92" s="256"/>
      <c r="BE92" s="256"/>
      <c r="BF92" s="256"/>
      <c r="BG92" s="256"/>
      <c r="BH92" s="256"/>
      <c r="BI92" s="256"/>
      <c r="BJ92" s="256"/>
      <c r="BK92" s="256"/>
      <c r="BL92" s="256"/>
      <c r="BM92" s="256"/>
      <c r="BN92" s="256"/>
      <c r="BO92" s="256"/>
      <c r="BP92" s="256"/>
      <c r="BQ92" s="256"/>
      <c r="BR92" s="256"/>
      <c r="BS92" s="256"/>
      <c r="BT92" s="256"/>
    </row>
    <row r="93" spans="1:72" s="190" customFormat="1" ht="15" customHeight="1" x14ac:dyDescent="0.25">
      <c r="A93" s="249"/>
      <c r="B93" s="250"/>
      <c r="C93" s="227"/>
      <c r="D93" s="227"/>
      <c r="E93" s="295"/>
      <c r="F93" s="465"/>
      <c r="G93" s="465"/>
      <c r="H93" s="465"/>
      <c r="I93" s="465"/>
      <c r="J93" s="465"/>
      <c r="K93" s="465"/>
      <c r="L93" s="465"/>
      <c r="M93" s="465"/>
      <c r="N93" s="251"/>
      <c r="O93" s="252"/>
      <c r="Q93" s="253"/>
      <c r="R93" s="253"/>
      <c r="S93" s="253"/>
      <c r="T93" s="253"/>
      <c r="U93" s="253"/>
      <c r="V93" s="253"/>
      <c r="W93" s="253"/>
      <c r="AF93" s="247"/>
      <c r="AG93" s="248"/>
      <c r="AH93" s="248"/>
      <c r="AI93" s="248"/>
      <c r="AJ93" s="248"/>
      <c r="AK93" s="248"/>
      <c r="AL93" s="248"/>
      <c r="AM93" s="248"/>
      <c r="AO93" s="219"/>
      <c r="AP93" s="219"/>
      <c r="AQ93" s="219"/>
      <c r="AR93" s="219"/>
      <c r="AS93" s="219"/>
      <c r="AT93" s="219"/>
      <c r="AU93" s="219"/>
      <c r="AV93" s="219"/>
      <c r="AW93" s="256"/>
      <c r="AX93" s="256"/>
      <c r="AY93" s="256"/>
      <c r="AZ93" s="256"/>
      <c r="BA93" s="256"/>
      <c r="BB93" s="256"/>
      <c r="BC93" s="256"/>
      <c r="BD93" s="256"/>
      <c r="BE93" s="256"/>
      <c r="BF93" s="256"/>
      <c r="BG93" s="256"/>
      <c r="BH93" s="256"/>
      <c r="BI93" s="256"/>
      <c r="BJ93" s="256"/>
      <c r="BK93" s="256"/>
      <c r="BL93" s="256"/>
      <c r="BM93" s="256"/>
      <c r="BN93" s="256"/>
      <c r="BO93" s="256"/>
      <c r="BP93" s="256"/>
      <c r="BQ93" s="256"/>
      <c r="BR93" s="256"/>
      <c r="BS93" s="256"/>
      <c r="BT93" s="256"/>
    </row>
    <row r="94" spans="1:72" s="256" customFormat="1" ht="17.25" customHeight="1" x14ac:dyDescent="0.25">
      <c r="A94" s="422" t="s">
        <v>119</v>
      </c>
      <c r="B94" s="254"/>
      <c r="C94" s="254"/>
      <c r="D94" s="254"/>
      <c r="E94" s="296"/>
      <c r="F94" s="254"/>
      <c r="G94" s="254"/>
      <c r="H94" s="254"/>
      <c r="I94" s="254"/>
      <c r="J94" s="254"/>
      <c r="K94" s="254"/>
      <c r="L94" s="254"/>
      <c r="M94" s="254"/>
      <c r="N94" s="254"/>
      <c r="O94" s="255"/>
      <c r="Q94" s="257"/>
      <c r="R94" s="257"/>
      <c r="S94" s="257"/>
      <c r="T94" s="257"/>
      <c r="U94" s="257"/>
      <c r="V94" s="257"/>
      <c r="W94" s="257"/>
      <c r="AO94" s="219"/>
      <c r="AP94" s="219"/>
      <c r="AQ94" s="219"/>
      <c r="AR94" s="219"/>
      <c r="AS94" s="219"/>
      <c r="AT94" s="219"/>
      <c r="AU94" s="219"/>
      <c r="AV94" s="219"/>
    </row>
    <row r="95" spans="1:72" s="256" customFormat="1" ht="15" customHeight="1" x14ac:dyDescent="0.25">
      <c r="A95" s="422" t="s">
        <v>120</v>
      </c>
      <c r="B95" s="254"/>
      <c r="C95" s="254"/>
      <c r="D95" s="254"/>
      <c r="E95" s="296"/>
      <c r="F95" s="254"/>
      <c r="G95" s="254"/>
      <c r="H95" s="254"/>
      <c r="I95" s="254"/>
      <c r="J95" s="254"/>
      <c r="K95" s="254"/>
      <c r="L95" s="254"/>
      <c r="M95" s="254"/>
      <c r="N95" s="254"/>
      <c r="O95" s="255"/>
      <c r="Q95" s="257"/>
      <c r="R95" s="257"/>
      <c r="S95" s="257"/>
      <c r="T95" s="257"/>
      <c r="U95" s="257"/>
      <c r="V95" s="257"/>
      <c r="W95" s="257"/>
    </row>
    <row r="96" spans="1:72" s="256" customFormat="1" ht="15" customHeight="1" x14ac:dyDescent="0.25">
      <c r="A96" s="422" t="s">
        <v>121</v>
      </c>
      <c r="B96" s="254"/>
      <c r="C96" s="254"/>
      <c r="D96" s="254"/>
      <c r="E96" s="296"/>
      <c r="F96" s="254"/>
      <c r="G96" s="254"/>
      <c r="H96" s="254"/>
      <c r="I96" s="254"/>
      <c r="J96" s="254"/>
      <c r="K96" s="254"/>
      <c r="L96" s="254"/>
      <c r="M96" s="254"/>
      <c r="N96" s="254"/>
      <c r="O96" s="255"/>
      <c r="Q96" s="257"/>
      <c r="R96" s="257"/>
      <c r="S96" s="257"/>
      <c r="T96" s="257"/>
      <c r="U96" s="257"/>
      <c r="V96" s="257"/>
      <c r="W96" s="257"/>
    </row>
    <row r="97" spans="1:90" s="190" customFormat="1" ht="3.75" customHeight="1" thickBot="1" x14ac:dyDescent="0.3">
      <c r="A97" s="258"/>
      <c r="B97" s="259"/>
      <c r="C97" s="260"/>
      <c r="D97" s="260"/>
      <c r="E97" s="297"/>
      <c r="F97" s="466"/>
      <c r="G97" s="466"/>
      <c r="H97" s="466"/>
      <c r="I97" s="466"/>
      <c r="J97" s="466"/>
      <c r="K97" s="466"/>
      <c r="L97" s="466"/>
      <c r="M97" s="466"/>
      <c r="N97" s="260"/>
      <c r="O97" s="261"/>
      <c r="Q97" s="253"/>
      <c r="R97" s="253"/>
      <c r="S97" s="253"/>
      <c r="T97" s="257"/>
      <c r="U97" s="253"/>
      <c r="V97" s="253"/>
      <c r="W97" s="253"/>
    </row>
    <row r="98" spans="1:90" s="190" customFormat="1" ht="15" customHeight="1" x14ac:dyDescent="0.25">
      <c r="A98" s="250"/>
      <c r="B98" s="250"/>
      <c r="C98" s="262"/>
      <c r="D98" s="262"/>
      <c r="E98" s="298"/>
      <c r="F98" s="467"/>
      <c r="G98" s="467"/>
      <c r="H98" s="467"/>
      <c r="I98" s="467"/>
      <c r="J98" s="467"/>
      <c r="K98" s="467"/>
      <c r="L98" s="467"/>
      <c r="M98" s="467"/>
      <c r="N98" s="262"/>
      <c r="O98" s="262"/>
      <c r="T98" s="257"/>
      <c r="CK98" s="457"/>
      <c r="CL98" s="458"/>
    </row>
    <row r="99" spans="1:90" s="190" customFormat="1" ht="15" customHeight="1" thickBot="1" x14ac:dyDescent="0.3">
      <c r="A99" s="250"/>
      <c r="B99" s="250"/>
      <c r="C99" s="262"/>
      <c r="D99" s="262"/>
      <c r="E99" s="299"/>
      <c r="F99" s="468">
        <f>IF(J7=1,1,8)</f>
        <v>8</v>
      </c>
      <c r="G99" s="468">
        <f t="shared" ref="G99:L99" si="60">F99+1</f>
        <v>9</v>
      </c>
      <c r="H99" s="468">
        <f t="shared" si="60"/>
        <v>10</v>
      </c>
      <c r="I99" s="468">
        <f t="shared" si="60"/>
        <v>11</v>
      </c>
      <c r="J99" s="468">
        <f t="shared" si="60"/>
        <v>12</v>
      </c>
      <c r="K99" s="468">
        <f>J99+1</f>
        <v>13</v>
      </c>
      <c r="L99" s="468">
        <f t="shared" si="60"/>
        <v>14</v>
      </c>
      <c r="M99" s="468"/>
      <c r="N99" s="250"/>
      <c r="O99" s="262"/>
      <c r="T99" s="257"/>
      <c r="CK99" s="457"/>
      <c r="CL99" s="458"/>
    </row>
    <row r="100" spans="1:90" ht="23.25" x14ac:dyDescent="0.25">
      <c r="A100" s="214"/>
      <c r="B100" s="215"/>
      <c r="C100" s="215"/>
      <c r="D100" s="263"/>
      <c r="E100" s="293"/>
      <c r="F100" s="469">
        <f>F101</f>
        <v>42427</v>
      </c>
      <c r="G100" s="469">
        <f>F100+1</f>
        <v>42428</v>
      </c>
      <c r="H100" s="469">
        <f>G100+1</f>
        <v>42429</v>
      </c>
      <c r="I100" s="469">
        <f>H100+1</f>
        <v>42430</v>
      </c>
      <c r="J100" s="469">
        <f>I100+1</f>
        <v>42431</v>
      </c>
      <c r="K100" s="469">
        <f>J100+1</f>
        <v>42432</v>
      </c>
      <c r="L100" s="469">
        <f>K100+1</f>
        <v>42433</v>
      </c>
      <c r="M100" s="474"/>
      <c r="N100" s="215"/>
      <c r="O100" s="218"/>
      <c r="T100" s="257"/>
      <c r="AF100" s="190"/>
      <c r="AG100" s="190"/>
      <c r="AH100" s="190"/>
      <c r="AI100" s="190"/>
      <c r="AJ100" s="190"/>
      <c r="AK100" s="190"/>
      <c r="AL100" s="190"/>
      <c r="AM100" s="190"/>
      <c r="AN100" s="190"/>
      <c r="AO100" s="190"/>
      <c r="AV100" s="190"/>
      <c r="AW100" s="190"/>
      <c r="AX100" s="190"/>
      <c r="AY100" s="190"/>
      <c r="AZ100" s="190"/>
      <c r="BA100" s="190"/>
      <c r="BB100" s="190"/>
      <c r="BC100" s="190"/>
      <c r="BD100" s="190"/>
      <c r="BE100" s="190"/>
      <c r="BF100" s="190"/>
      <c r="BG100" s="190"/>
      <c r="BH100" s="190"/>
      <c r="BI100" s="190"/>
      <c r="BJ100" s="190"/>
      <c r="BK100" s="190"/>
      <c r="BL100" s="190"/>
      <c r="BM100" s="190"/>
      <c r="BN100" s="190"/>
      <c r="BO100" s="190"/>
      <c r="BP100" s="190"/>
      <c r="BQ100" s="190"/>
      <c r="BR100" s="190"/>
      <c r="BS100" s="190"/>
      <c r="BT100" s="190"/>
      <c r="BU100" s="190"/>
      <c r="CK100" s="459"/>
      <c r="CL100" s="458"/>
    </row>
    <row r="101" spans="1:90" ht="23.25" x14ac:dyDescent="0.25">
      <c r="A101" s="220" t="s">
        <v>60</v>
      </c>
      <c r="B101" s="264"/>
      <c r="C101" s="265"/>
      <c r="D101" s="266"/>
      <c r="E101" s="294" t="s">
        <v>61</v>
      </c>
      <c r="F101" s="470">
        <f t="shared" ref="F101:L101" si="61">F12</f>
        <v>42427</v>
      </c>
      <c r="G101" s="470">
        <f t="shared" si="61"/>
        <v>42428</v>
      </c>
      <c r="H101" s="470">
        <f t="shared" si="61"/>
        <v>42429</v>
      </c>
      <c r="I101" s="470">
        <f t="shared" si="61"/>
        <v>42430</v>
      </c>
      <c r="J101" s="470">
        <f t="shared" si="61"/>
        <v>42431</v>
      </c>
      <c r="K101" s="470">
        <f t="shared" si="61"/>
        <v>42432</v>
      </c>
      <c r="L101" s="470">
        <f t="shared" si="61"/>
        <v>42433</v>
      </c>
      <c r="M101" s="475"/>
      <c r="N101" s="267"/>
      <c r="O101" s="268" t="s">
        <v>62</v>
      </c>
      <c r="T101" s="257"/>
      <c r="AF101" s="190"/>
      <c r="AG101" s="190"/>
      <c r="AH101" s="190"/>
      <c r="AI101" s="190"/>
      <c r="AJ101" s="190"/>
      <c r="AK101" s="190"/>
      <c r="AL101" s="190"/>
      <c r="AM101" s="190"/>
      <c r="AN101" s="190"/>
      <c r="AO101" s="190"/>
      <c r="AV101" s="190"/>
      <c r="AW101" s="190"/>
      <c r="AX101" s="190"/>
      <c r="AY101" s="190"/>
      <c r="AZ101" s="190"/>
      <c r="BA101" s="190"/>
      <c r="BB101" s="190"/>
      <c r="BC101" s="190"/>
      <c r="BD101" s="190"/>
      <c r="BE101" s="190"/>
      <c r="BF101" s="190"/>
      <c r="BG101" s="190"/>
      <c r="BH101" s="190"/>
      <c r="BI101" s="190"/>
      <c r="BJ101" s="190"/>
      <c r="BK101" s="190"/>
      <c r="BL101" s="190"/>
      <c r="BM101" s="190"/>
      <c r="BN101" s="190"/>
      <c r="BO101" s="190"/>
      <c r="BP101" s="190"/>
      <c r="BQ101" s="190"/>
      <c r="BR101" s="190"/>
      <c r="BS101" s="190"/>
      <c r="BT101" s="190"/>
      <c r="BU101" s="190"/>
      <c r="CK101" s="457"/>
      <c r="CL101" s="458"/>
    </row>
    <row r="102" spans="1:90" ht="21.75" customHeight="1" x14ac:dyDescent="0.25">
      <c r="A102" s="241" t="str">
        <f>IF('Master List'!A85=0," ",'Master List'!A85)</f>
        <v>MMO</v>
      </c>
      <c r="B102" s="269"/>
      <c r="C102" s="237"/>
      <c r="D102" s="814"/>
      <c r="E102" s="818" t="s">
        <v>360</v>
      </c>
      <c r="F102" s="815" t="s">
        <v>90</v>
      </c>
      <c r="G102" s="755" t="s">
        <v>90</v>
      </c>
      <c r="H102" s="756">
        <v>3</v>
      </c>
      <c r="I102" s="756">
        <v>3</v>
      </c>
      <c r="J102" s="756">
        <v>3</v>
      </c>
      <c r="K102" s="756">
        <v>3</v>
      </c>
      <c r="L102" s="757">
        <v>3</v>
      </c>
      <c r="M102" s="745"/>
      <c r="N102" s="549"/>
      <c r="O102" s="550"/>
      <c r="T102" s="257"/>
      <c r="AF102" s="190"/>
      <c r="AG102" s="190"/>
      <c r="AH102" s="190"/>
      <c r="AI102" s="190"/>
      <c r="AJ102" s="190"/>
      <c r="AK102" s="190"/>
      <c r="AL102" s="190"/>
      <c r="AM102" s="190"/>
      <c r="AN102" s="190"/>
      <c r="AO102" s="190"/>
      <c r="AV102" s="190"/>
      <c r="AW102" s="190"/>
      <c r="AX102" s="190"/>
      <c r="AY102" s="190"/>
      <c r="AZ102" s="190"/>
      <c r="BA102" s="190"/>
      <c r="BB102" s="190"/>
      <c r="BC102" s="190"/>
      <c r="BD102" s="190"/>
      <c r="BE102" s="190"/>
      <c r="BF102" s="190"/>
      <c r="BG102" s="190"/>
      <c r="BH102" s="190"/>
      <c r="BI102" s="190"/>
      <c r="BJ102" s="190"/>
      <c r="BK102" s="190"/>
      <c r="BL102" s="190"/>
      <c r="BM102" s="190"/>
      <c r="BN102" s="190"/>
      <c r="BO102" s="190"/>
      <c r="BP102" s="190"/>
      <c r="BQ102" s="190"/>
      <c r="BR102" s="190"/>
      <c r="BS102" s="190"/>
      <c r="BT102" s="190"/>
      <c r="BU102" s="190"/>
      <c r="CK102" s="457"/>
      <c r="CL102" s="458"/>
    </row>
    <row r="103" spans="1:90" ht="21.75" customHeight="1" x14ac:dyDescent="0.2">
      <c r="A103" s="241" t="s">
        <v>85</v>
      </c>
      <c r="B103" s="269"/>
      <c r="C103" s="237"/>
      <c r="D103" s="814"/>
      <c r="E103" s="819" t="s">
        <v>347</v>
      </c>
      <c r="F103" s="817" t="s">
        <v>90</v>
      </c>
      <c r="G103" s="758" t="s">
        <v>359</v>
      </c>
      <c r="H103" s="742">
        <v>3</v>
      </c>
      <c r="I103" s="742">
        <v>3</v>
      </c>
      <c r="J103" s="742">
        <v>3</v>
      </c>
      <c r="K103" s="742">
        <v>3</v>
      </c>
      <c r="L103" s="813" t="s">
        <v>90</v>
      </c>
      <c r="M103" s="746" t="s">
        <v>369</v>
      </c>
      <c r="N103" s="551"/>
      <c r="O103" s="510"/>
      <c r="AF103" s="190"/>
      <c r="AG103" s="190"/>
      <c r="AH103" s="190"/>
      <c r="AI103" s="190"/>
      <c r="AJ103" s="190"/>
      <c r="AK103" s="190"/>
      <c r="AL103" s="190"/>
      <c r="AM103" s="190"/>
      <c r="AN103" s="190"/>
      <c r="AO103" s="190"/>
      <c r="AV103" s="190"/>
      <c r="AW103" s="190"/>
      <c r="AX103" s="190"/>
      <c r="AY103" s="190"/>
      <c r="AZ103" s="190"/>
      <c r="BA103" s="190"/>
      <c r="BB103" s="190"/>
      <c r="BC103" s="190"/>
      <c r="BD103" s="190"/>
      <c r="BE103" s="190"/>
      <c r="BF103" s="190"/>
      <c r="BG103" s="190"/>
      <c r="BH103" s="190"/>
      <c r="BI103" s="190"/>
      <c r="BJ103" s="190"/>
      <c r="BK103" s="190"/>
      <c r="BL103" s="190"/>
      <c r="BM103" s="190"/>
      <c r="BN103" s="190"/>
      <c r="BO103" s="190"/>
      <c r="BP103" s="190"/>
      <c r="BQ103" s="190"/>
      <c r="BR103" s="190"/>
      <c r="BS103" s="190"/>
      <c r="BT103" s="190"/>
      <c r="BU103" s="190"/>
      <c r="CK103" s="457"/>
      <c r="CL103" s="458"/>
    </row>
    <row r="104" spans="1:90" ht="21.75" customHeight="1" x14ac:dyDescent="0.25">
      <c r="A104" s="241" t="s">
        <v>86</v>
      </c>
      <c r="B104" s="269"/>
      <c r="C104" s="237"/>
      <c r="D104" s="814"/>
      <c r="E104" s="819" t="s">
        <v>346</v>
      </c>
      <c r="F104" s="749">
        <v>3</v>
      </c>
      <c r="G104" s="731">
        <v>3</v>
      </c>
      <c r="H104" s="727">
        <v>3</v>
      </c>
      <c r="I104" s="731">
        <v>3</v>
      </c>
      <c r="J104" s="727" t="s">
        <v>90</v>
      </c>
      <c r="K104" s="731" t="s">
        <v>93</v>
      </c>
      <c r="L104" s="740">
        <v>3</v>
      </c>
      <c r="M104" s="746"/>
      <c r="N104" s="552"/>
      <c r="O104" s="510" t="str">
        <f>IF(F104="#",Z$11,IF(G104="#",Z$11,IF(H104="#",Z$11,IF(I104="#",Z$11,IF(J104="#",Z$11,IF(K104="#",Z$11,IF(L104="#",Z$11," ")))))))</f>
        <v xml:space="preserve"> </v>
      </c>
      <c r="AF104" s="190"/>
      <c r="AG104" s="190"/>
      <c r="AH104" s="190"/>
      <c r="AI104" s="190"/>
      <c r="AJ104" s="190"/>
      <c r="AK104" s="190"/>
      <c r="AL104" s="190"/>
      <c r="AM104" s="190"/>
      <c r="AN104" s="190"/>
      <c r="AO104" s="190"/>
      <c r="AV104" s="190"/>
      <c r="AW104" s="190"/>
      <c r="AX104" s="190"/>
      <c r="AY104" s="190"/>
      <c r="AZ104" s="190"/>
      <c r="BA104" s="190"/>
      <c r="BB104" s="190"/>
      <c r="BC104" s="190"/>
      <c r="BD104" s="190"/>
      <c r="BE104" s="190"/>
      <c r="BF104" s="190"/>
      <c r="BG104" s="190"/>
      <c r="BH104" s="190"/>
      <c r="BI104" s="190"/>
      <c r="BJ104" s="190"/>
      <c r="BK104" s="190"/>
      <c r="BL104" s="190"/>
      <c r="BM104" s="190"/>
      <c r="BN104" s="190"/>
      <c r="BO104" s="190"/>
      <c r="BP104" s="190"/>
      <c r="BQ104" s="190"/>
      <c r="BR104" s="190"/>
      <c r="BS104" s="190"/>
      <c r="BT104" s="190"/>
      <c r="BU104" s="190"/>
      <c r="CK104" s="459"/>
      <c r="CL104" s="458"/>
    </row>
    <row r="105" spans="1:90" ht="21.75" customHeight="1" x14ac:dyDescent="0.2">
      <c r="A105" s="241" t="s">
        <v>86</v>
      </c>
      <c r="B105" s="269"/>
      <c r="C105" s="237"/>
      <c r="D105" s="814"/>
      <c r="E105" s="819" t="s">
        <v>358</v>
      </c>
      <c r="F105" s="816">
        <v>3</v>
      </c>
      <c r="G105" s="742" t="s">
        <v>90</v>
      </c>
      <c r="H105" s="742" t="s">
        <v>93</v>
      </c>
      <c r="I105" s="742">
        <v>3</v>
      </c>
      <c r="J105" s="742">
        <v>3</v>
      </c>
      <c r="K105" s="742">
        <v>3</v>
      </c>
      <c r="L105" s="742">
        <v>3</v>
      </c>
      <c r="M105" s="746"/>
      <c r="N105" s="552"/>
      <c r="O105" s="510" t="str">
        <f>IF(F104="#",Z$11,IF(G104="#",Z$11,IF(H104="#",Z$11,IF(I104="#",Z$11,IF(J104="#",Z$11,IF(K104="#",Z$11,IF(L104="#",Z$11," ")))))))</f>
        <v xml:space="preserve"> </v>
      </c>
      <c r="AF105" s="190"/>
      <c r="AG105" s="190"/>
      <c r="AH105" s="190"/>
      <c r="AI105" s="190"/>
      <c r="AJ105" s="190"/>
      <c r="AK105" s="190"/>
      <c r="AL105" s="190"/>
      <c r="AM105" s="190"/>
      <c r="AN105" s="190"/>
      <c r="AO105" s="190"/>
      <c r="AV105" s="190"/>
      <c r="AW105" s="190"/>
      <c r="AX105" s="190"/>
      <c r="AY105" s="190"/>
      <c r="AZ105" s="190"/>
      <c r="BA105" s="190"/>
      <c r="BB105" s="190"/>
      <c r="BC105" s="190"/>
      <c r="BD105" s="190"/>
      <c r="BE105" s="190"/>
      <c r="BF105" s="190"/>
      <c r="BG105" s="190"/>
      <c r="BH105" s="190"/>
      <c r="BI105" s="190"/>
      <c r="BJ105" s="190"/>
      <c r="BK105" s="190"/>
      <c r="BL105" s="190"/>
      <c r="BM105" s="190"/>
      <c r="BN105" s="190"/>
      <c r="BO105" s="190"/>
      <c r="BP105" s="190"/>
      <c r="BQ105" s="190"/>
      <c r="BR105" s="190"/>
      <c r="BS105" s="190"/>
      <c r="BT105" s="190"/>
      <c r="BU105" s="190"/>
      <c r="CK105" s="459"/>
      <c r="CL105" s="458"/>
    </row>
    <row r="106" spans="1:90" ht="21.75" customHeight="1" x14ac:dyDescent="0.2">
      <c r="A106" s="241" t="s">
        <v>86</v>
      </c>
      <c r="B106" s="269"/>
      <c r="C106" s="237"/>
      <c r="D106" s="814"/>
      <c r="E106" s="840" t="s">
        <v>364</v>
      </c>
      <c r="F106" s="816">
        <v>3</v>
      </c>
      <c r="G106" s="742" t="s">
        <v>93</v>
      </c>
      <c r="H106" s="742" t="s">
        <v>90</v>
      </c>
      <c r="I106" s="742">
        <v>2</v>
      </c>
      <c r="J106" s="742">
        <v>2</v>
      </c>
      <c r="K106" s="742">
        <v>2</v>
      </c>
      <c r="L106" s="742">
        <v>2</v>
      </c>
      <c r="M106" s="746"/>
      <c r="N106" s="552"/>
      <c r="O106" s="510"/>
      <c r="AF106" s="190"/>
      <c r="AG106" s="190"/>
      <c r="AH106" s="190"/>
      <c r="AI106" s="190"/>
      <c r="AJ106" s="190"/>
      <c r="AK106" s="190"/>
      <c r="AL106" s="190"/>
      <c r="AM106" s="190"/>
      <c r="AN106" s="190"/>
      <c r="AO106" s="190"/>
      <c r="AV106" s="190"/>
      <c r="AW106" s="190"/>
      <c r="AX106" s="190"/>
      <c r="AY106" s="190"/>
      <c r="AZ106" s="190"/>
      <c r="BA106" s="190"/>
      <c r="BB106" s="190"/>
      <c r="BC106" s="190"/>
      <c r="BD106" s="190"/>
      <c r="BE106" s="190"/>
      <c r="BF106" s="190"/>
      <c r="BG106" s="190"/>
      <c r="BH106" s="190"/>
      <c r="BI106" s="190"/>
      <c r="BJ106" s="190"/>
      <c r="BK106" s="190"/>
      <c r="BL106" s="190"/>
      <c r="BM106" s="190"/>
      <c r="BN106" s="190"/>
      <c r="BO106" s="190"/>
      <c r="BP106" s="190"/>
      <c r="BQ106" s="190"/>
      <c r="BR106" s="190"/>
      <c r="BS106" s="190"/>
      <c r="BT106" s="190"/>
      <c r="BU106" s="190"/>
      <c r="CK106" s="459"/>
      <c r="CL106" s="458"/>
    </row>
    <row r="107" spans="1:90" ht="21.75" customHeight="1" x14ac:dyDescent="0.25">
      <c r="A107" s="241" t="s">
        <v>86</v>
      </c>
      <c r="B107" s="269"/>
      <c r="C107" s="237"/>
      <c r="D107" s="814"/>
      <c r="E107" s="820" t="s">
        <v>350</v>
      </c>
      <c r="F107" s="749"/>
      <c r="G107" s="742" t="s">
        <v>200</v>
      </c>
      <c r="H107" s="742" t="s">
        <v>200</v>
      </c>
      <c r="I107" s="731" t="s">
        <v>90</v>
      </c>
      <c r="J107" s="731" t="s">
        <v>90</v>
      </c>
      <c r="K107" s="731" t="s">
        <v>200</v>
      </c>
      <c r="L107" s="731" t="s">
        <v>200</v>
      </c>
      <c r="M107" s="746"/>
      <c r="N107" s="552"/>
      <c r="O107" s="510" t="str">
        <f>IF(F105="#",Z$11,IF(G105="#",Z$11,IF(H105="#",Z$11,IF(I105="#",Z$11,IF(J105="#",Z$11,IF(K105="#",Z$11,IF(L105="#",Z$11," ")))))))</f>
        <v xml:space="preserve"> </v>
      </c>
      <c r="AF107" s="190"/>
      <c r="AG107" s="190"/>
      <c r="AH107" s="190"/>
      <c r="AI107" s="190"/>
      <c r="AJ107" s="190"/>
      <c r="AK107" s="190"/>
      <c r="AL107" s="190"/>
      <c r="AM107" s="190"/>
      <c r="AN107" s="190"/>
      <c r="AO107" s="190"/>
      <c r="AV107" s="190"/>
      <c r="AW107" s="190"/>
      <c r="AX107" s="190"/>
      <c r="AY107" s="190"/>
      <c r="AZ107" s="190"/>
      <c r="BA107" s="190"/>
      <c r="BB107" s="190"/>
      <c r="BC107" s="190"/>
      <c r="BD107" s="190"/>
      <c r="BE107" s="190"/>
      <c r="BF107" s="190"/>
      <c r="BG107" s="190"/>
      <c r="BH107" s="190"/>
      <c r="BI107" s="190"/>
      <c r="BJ107" s="190"/>
      <c r="BK107" s="190"/>
      <c r="BL107" s="190"/>
      <c r="BM107" s="190"/>
      <c r="BN107" s="190"/>
      <c r="BO107" s="190"/>
      <c r="BP107" s="190"/>
      <c r="BQ107" s="190"/>
      <c r="BR107" s="190"/>
      <c r="BS107" s="190"/>
      <c r="BT107" s="190"/>
      <c r="BU107" s="190"/>
      <c r="CK107" s="459"/>
      <c r="CL107" s="458"/>
    </row>
    <row r="108" spans="1:90" x14ac:dyDescent="0.2">
      <c r="F108" s="270"/>
      <c r="G108" s="250"/>
      <c r="H108" s="250"/>
      <c r="I108" s="250"/>
      <c r="J108" s="250"/>
      <c r="K108" s="250"/>
      <c r="L108" s="250"/>
      <c r="M108" s="250"/>
      <c r="N108" s="250"/>
      <c r="AF108" s="190"/>
      <c r="AG108" s="190"/>
      <c r="AH108" s="190"/>
      <c r="AI108" s="190"/>
      <c r="AJ108" s="190"/>
      <c r="AK108" s="190"/>
      <c r="AL108" s="190"/>
      <c r="AM108" s="190"/>
      <c r="AN108" s="190"/>
      <c r="AO108" s="190"/>
      <c r="AV108" s="190"/>
      <c r="AW108" s="190"/>
      <c r="AX108" s="190"/>
      <c r="AY108" s="190"/>
      <c r="AZ108" s="190"/>
      <c r="BA108" s="190"/>
      <c r="BB108" s="190"/>
      <c r="BC108" s="190"/>
      <c r="BD108" s="190"/>
      <c r="BE108" s="190"/>
      <c r="BF108" s="190"/>
      <c r="BG108" s="190"/>
      <c r="BH108" s="190"/>
      <c r="BI108" s="190"/>
      <c r="BJ108" s="190"/>
      <c r="BK108" s="190"/>
      <c r="BL108" s="190"/>
      <c r="BM108" s="190"/>
      <c r="BN108" s="190"/>
      <c r="BO108" s="190"/>
      <c r="BP108" s="190"/>
      <c r="BQ108" s="190"/>
      <c r="BR108" s="190"/>
      <c r="BS108" s="190"/>
      <c r="BT108" s="190"/>
      <c r="BU108" s="190"/>
      <c r="CK108" s="457"/>
      <c r="CL108" s="458"/>
    </row>
    <row r="109" spans="1:90" x14ac:dyDescent="0.2">
      <c r="A109" s="271"/>
      <c r="B109" s="271"/>
      <c r="C109" s="271"/>
      <c r="D109" s="271"/>
      <c r="E109" s="301"/>
      <c r="F109" s="301"/>
      <c r="G109" s="301"/>
      <c r="H109" s="301"/>
      <c r="I109" s="301"/>
      <c r="J109" s="301"/>
      <c r="K109" s="301"/>
      <c r="L109" s="301"/>
      <c r="M109" s="301"/>
      <c r="N109" s="271"/>
      <c r="O109" s="271"/>
      <c r="AF109" s="190"/>
      <c r="AG109" s="190"/>
      <c r="AH109" s="190"/>
      <c r="AI109" s="190"/>
      <c r="AJ109" s="190"/>
      <c r="AK109" s="190"/>
      <c r="AL109" s="190"/>
      <c r="AM109" s="190"/>
      <c r="AN109" s="190"/>
      <c r="AO109" s="190"/>
      <c r="AV109" s="190"/>
      <c r="AW109" s="190"/>
      <c r="AX109" s="190"/>
      <c r="AY109" s="190"/>
      <c r="AZ109" s="190"/>
      <c r="BA109" s="190"/>
      <c r="BB109" s="190"/>
      <c r="BC109" s="190"/>
      <c r="BD109" s="190"/>
      <c r="BE109" s="190"/>
      <c r="BF109" s="190"/>
      <c r="BG109" s="190"/>
      <c r="BH109" s="190"/>
      <c r="BI109" s="190"/>
      <c r="BJ109" s="190"/>
      <c r="BK109" s="190"/>
      <c r="BL109" s="190"/>
      <c r="BM109" s="190"/>
      <c r="BN109" s="190"/>
      <c r="BO109" s="190"/>
      <c r="BP109" s="190"/>
      <c r="BQ109" s="190"/>
      <c r="BR109" s="190"/>
      <c r="BS109" s="190"/>
      <c r="BT109" s="190"/>
      <c r="BU109" s="190"/>
      <c r="CK109" s="457"/>
      <c r="CL109" s="458"/>
    </row>
    <row r="110" spans="1:90" ht="23.25" x14ac:dyDescent="0.2">
      <c r="A110" s="272"/>
      <c r="D110" s="272"/>
      <c r="E110" s="273"/>
      <c r="F110" s="273"/>
      <c r="G110" s="302"/>
      <c r="M110" s="302"/>
      <c r="N110" s="274"/>
      <c r="O110" s="275"/>
      <c r="CK110" s="457"/>
      <c r="CL110" s="458"/>
    </row>
    <row r="111" spans="1:90" s="277" customFormat="1" ht="23.25" x14ac:dyDescent="0.2">
      <c r="A111" s="273"/>
      <c r="B111" s="192"/>
      <c r="C111" s="192"/>
      <c r="D111" s="272"/>
      <c r="E111" s="302"/>
      <c r="F111" s="192"/>
      <c r="G111" s="192"/>
      <c r="H111" s="192"/>
      <c r="I111" s="192"/>
      <c r="J111" s="192"/>
      <c r="K111" s="192"/>
      <c r="L111" s="192"/>
      <c r="M111" s="302"/>
      <c r="N111" s="274"/>
      <c r="O111" s="276"/>
      <c r="CK111" s="459"/>
      <c r="CL111" s="458"/>
    </row>
    <row r="112" spans="1:90" s="277" customFormat="1" ht="23.25" x14ac:dyDescent="0.2">
      <c r="A112" s="278"/>
      <c r="B112" s="192"/>
      <c r="C112" s="192"/>
      <c r="D112" s="272"/>
      <c r="E112" s="302"/>
      <c r="F112" s="192"/>
      <c r="G112" s="192"/>
      <c r="H112" s="192"/>
      <c r="I112" s="192"/>
      <c r="J112" s="192"/>
      <c r="K112" s="192"/>
      <c r="L112" s="192"/>
      <c r="M112" s="302"/>
      <c r="N112" s="274"/>
      <c r="O112" s="280"/>
      <c r="CK112" s="457"/>
      <c r="CL112" s="458"/>
    </row>
    <row r="113" spans="1:90" s="277" customFormat="1" ht="23.25" x14ac:dyDescent="0.2">
      <c r="A113" s="273"/>
      <c r="B113" s="192"/>
      <c r="C113" s="192"/>
      <c r="D113" s="272"/>
      <c r="E113" s="302"/>
      <c r="F113" s="192"/>
      <c r="G113" s="192"/>
      <c r="H113" s="192"/>
      <c r="I113" s="192"/>
      <c r="J113" s="192"/>
      <c r="K113" s="192"/>
      <c r="L113" s="192"/>
      <c r="M113" s="302"/>
      <c r="N113" s="274"/>
      <c r="O113" s="281"/>
      <c r="CK113" s="457"/>
      <c r="CL113" s="458"/>
    </row>
    <row r="114" spans="1:90" s="277" customFormat="1" ht="23.25" x14ac:dyDescent="0.2">
      <c r="A114" s="273"/>
      <c r="B114" s="192"/>
      <c r="C114" s="192"/>
      <c r="D114" s="272"/>
      <c r="E114" s="685"/>
      <c r="F114" s="192"/>
      <c r="G114" s="192"/>
      <c r="H114" s="192"/>
      <c r="I114" s="192"/>
      <c r="J114" s="192"/>
      <c r="K114" s="192"/>
      <c r="L114" s="192"/>
      <c r="M114" s="302"/>
      <c r="N114" s="274"/>
      <c r="O114" s="283"/>
      <c r="CK114" s="459"/>
      <c r="CL114" s="458"/>
    </row>
    <row r="115" spans="1:90" s="277" customFormat="1" ht="23.25" x14ac:dyDescent="0.2">
      <c r="A115" s="273"/>
      <c r="B115" s="192"/>
      <c r="C115" s="192"/>
      <c r="D115" s="272"/>
      <c r="E115" s="302"/>
      <c r="F115" s="192"/>
      <c r="G115" s="192"/>
      <c r="H115" s="192"/>
      <c r="I115" s="192"/>
      <c r="J115" s="192"/>
      <c r="K115" s="192"/>
      <c r="L115" s="192"/>
      <c r="M115" s="302"/>
      <c r="N115" s="274"/>
      <c r="O115" s="283"/>
      <c r="CK115" s="457"/>
    </row>
    <row r="116" spans="1:90" s="277" customFormat="1" ht="23.25" x14ac:dyDescent="0.2">
      <c r="A116" s="273"/>
      <c r="B116" s="192"/>
      <c r="C116" s="192"/>
      <c r="D116" s="272"/>
      <c r="E116" s="302"/>
      <c r="F116" s="192"/>
      <c r="G116" s="192"/>
      <c r="H116" s="192"/>
      <c r="I116" s="192"/>
      <c r="J116" s="192"/>
      <c r="K116" s="192"/>
      <c r="L116" s="192"/>
      <c r="M116" s="302"/>
      <c r="N116" s="274"/>
      <c r="O116" s="283"/>
      <c r="CK116" s="457"/>
    </row>
    <row r="117" spans="1:90" s="277" customFormat="1" ht="23.25" x14ac:dyDescent="0.2">
      <c r="A117" s="273"/>
      <c r="B117" s="192"/>
      <c r="C117" s="192"/>
      <c r="D117" s="272"/>
      <c r="E117" s="302"/>
      <c r="F117" s="192"/>
      <c r="G117" s="192"/>
      <c r="H117" s="192"/>
      <c r="I117" s="192"/>
      <c r="J117" s="192"/>
      <c r="K117" s="192"/>
      <c r="L117" s="192"/>
      <c r="M117" s="302"/>
      <c r="N117" s="274"/>
      <c r="O117" s="283"/>
    </row>
    <row r="118" spans="1:90" s="277" customFormat="1" ht="23.25" x14ac:dyDescent="0.2">
      <c r="A118" s="273"/>
      <c r="B118" s="192"/>
      <c r="C118" s="192"/>
      <c r="D118" s="272"/>
      <c r="E118" s="302"/>
      <c r="F118" s="192"/>
      <c r="G118" s="192"/>
      <c r="H118" s="192"/>
      <c r="I118" s="192"/>
      <c r="J118" s="192"/>
      <c r="K118" s="192"/>
      <c r="L118" s="192"/>
      <c r="M118" s="302"/>
      <c r="N118" s="274"/>
      <c r="O118" s="283"/>
    </row>
    <row r="119" spans="1:90" s="277" customFormat="1" ht="23.25" x14ac:dyDescent="0.2">
      <c r="A119" s="273"/>
      <c r="B119" s="192"/>
      <c r="C119" s="192"/>
      <c r="D119" s="272"/>
      <c r="E119" s="302"/>
      <c r="F119" s="192"/>
      <c r="G119" s="192"/>
      <c r="H119" s="192"/>
      <c r="I119" s="192"/>
      <c r="J119" s="192"/>
      <c r="K119" s="192"/>
      <c r="L119" s="192"/>
      <c r="M119" s="302"/>
      <c r="N119" s="274"/>
      <c r="O119" s="283"/>
    </row>
    <row r="120" spans="1:90" s="277" customFormat="1" ht="23.25" x14ac:dyDescent="0.2">
      <c r="B120" s="192"/>
      <c r="C120" s="192"/>
      <c r="D120" s="272"/>
      <c r="E120" s="302"/>
      <c r="F120" s="192"/>
      <c r="G120" s="192"/>
      <c r="H120" s="192"/>
      <c r="I120" s="192"/>
      <c r="J120" s="192"/>
      <c r="K120" s="192"/>
      <c r="L120" s="192"/>
      <c r="M120" s="302"/>
      <c r="N120" s="274"/>
      <c r="O120" s="283"/>
    </row>
    <row r="121" spans="1:90" s="277" customFormat="1" ht="23.25" x14ac:dyDescent="0.2">
      <c r="B121" s="192"/>
      <c r="C121" s="192"/>
      <c r="D121" s="272"/>
      <c r="E121" s="302"/>
      <c r="F121" s="192"/>
      <c r="G121" s="192"/>
      <c r="H121" s="192"/>
      <c r="I121" s="192"/>
      <c r="J121" s="192"/>
      <c r="K121" s="192"/>
      <c r="L121" s="192"/>
      <c r="M121" s="302"/>
      <c r="N121" s="274"/>
      <c r="O121" s="283"/>
    </row>
    <row r="122" spans="1:90" s="277" customFormat="1" ht="23.25" x14ac:dyDescent="0.2">
      <c r="B122" s="192"/>
      <c r="C122" s="192"/>
      <c r="D122" s="272"/>
      <c r="E122" s="302"/>
      <c r="F122" s="192"/>
      <c r="G122" s="192"/>
      <c r="H122" s="192"/>
      <c r="I122" s="192"/>
      <c r="J122" s="192"/>
      <c r="K122" s="192"/>
      <c r="L122" s="192"/>
      <c r="M122" s="302"/>
      <c r="N122" s="274"/>
      <c r="O122" s="283"/>
    </row>
    <row r="123" spans="1:90" s="277" customFormat="1" ht="23.25" x14ac:dyDescent="0.2">
      <c r="B123" s="192"/>
      <c r="C123" s="192"/>
      <c r="D123" s="272"/>
      <c r="E123" s="302"/>
      <c r="F123" s="192"/>
      <c r="G123" s="192"/>
      <c r="H123" s="192"/>
      <c r="I123" s="192"/>
      <c r="J123" s="192"/>
      <c r="K123" s="192"/>
      <c r="L123" s="192"/>
      <c r="M123" s="302"/>
      <c r="N123" s="274"/>
      <c r="O123" s="283"/>
    </row>
    <row r="124" spans="1:90" s="277" customFormat="1" ht="23.25" x14ac:dyDescent="0.2">
      <c r="B124" s="192"/>
      <c r="C124" s="192"/>
      <c r="D124" s="272"/>
      <c r="E124" s="302"/>
      <c r="F124" s="192"/>
      <c r="G124" s="192"/>
      <c r="H124" s="192"/>
      <c r="I124" s="192"/>
      <c r="J124" s="192"/>
      <c r="K124" s="192"/>
      <c r="L124" s="192"/>
      <c r="M124" s="302"/>
      <c r="N124" s="274"/>
      <c r="O124" s="283"/>
    </row>
    <row r="125" spans="1:90" s="277" customFormat="1" ht="23.25" x14ac:dyDescent="0.2">
      <c r="B125" s="192"/>
      <c r="C125" s="192"/>
      <c r="D125" s="272"/>
      <c r="E125" s="302"/>
      <c r="F125" s="192"/>
      <c r="G125" s="192"/>
      <c r="H125" s="192"/>
      <c r="I125" s="192"/>
      <c r="J125" s="192"/>
      <c r="K125" s="192"/>
      <c r="L125" s="192"/>
      <c r="M125" s="302"/>
      <c r="N125" s="274"/>
      <c r="O125" s="283"/>
    </row>
    <row r="126" spans="1:90" s="277" customFormat="1" ht="23.25" x14ac:dyDescent="0.2">
      <c r="B126" s="192"/>
      <c r="C126" s="192"/>
      <c r="D126" s="272"/>
      <c r="E126" s="302"/>
      <c r="F126" s="192"/>
      <c r="G126" s="192"/>
      <c r="H126" s="192"/>
      <c r="I126" s="192"/>
      <c r="J126" s="192"/>
      <c r="K126" s="192"/>
      <c r="L126" s="192"/>
      <c r="M126" s="302"/>
      <c r="N126" s="274"/>
      <c r="O126" s="283"/>
    </row>
    <row r="127" spans="1:90" s="277" customFormat="1" ht="23.25" x14ac:dyDescent="0.2">
      <c r="B127" s="282"/>
      <c r="C127" s="273"/>
      <c r="D127" s="279"/>
      <c r="E127" s="302"/>
      <c r="F127" s="192"/>
      <c r="G127" s="192"/>
      <c r="H127" s="192"/>
      <c r="I127" s="192"/>
      <c r="J127" s="192"/>
      <c r="K127" s="192"/>
      <c r="L127" s="192"/>
      <c r="M127" s="302"/>
      <c r="N127" s="274"/>
      <c r="O127" s="283"/>
    </row>
    <row r="128" spans="1:90" s="277" customFormat="1" ht="23.25" x14ac:dyDescent="0.2">
      <c r="B128" s="282"/>
      <c r="C128" s="273"/>
      <c r="D128" s="279"/>
      <c r="E128" s="302"/>
      <c r="F128" s="192"/>
      <c r="G128" s="192"/>
      <c r="H128" s="192"/>
      <c r="I128" s="192"/>
      <c r="J128" s="192"/>
      <c r="K128" s="192"/>
      <c r="L128" s="192"/>
      <c r="M128" s="302"/>
      <c r="N128" s="274"/>
      <c r="O128" s="283"/>
    </row>
    <row r="129" spans="2:15" s="277" customFormat="1" ht="23.25" x14ac:dyDescent="0.2">
      <c r="B129" s="282"/>
      <c r="C129" s="273"/>
      <c r="D129" s="279"/>
      <c r="E129" s="302"/>
      <c r="F129" s="192"/>
      <c r="G129" s="192"/>
      <c r="H129" s="192"/>
      <c r="I129" s="192"/>
      <c r="J129" s="192"/>
      <c r="K129" s="192"/>
      <c r="L129" s="192"/>
      <c r="M129" s="302"/>
      <c r="N129" s="274"/>
      <c r="O129" s="283"/>
    </row>
    <row r="130" spans="2:15" s="277" customFormat="1" ht="23.25" x14ac:dyDescent="0.2">
      <c r="B130" s="282"/>
      <c r="C130" s="273"/>
      <c r="D130" s="279"/>
      <c r="E130" s="302"/>
      <c r="F130" s="192"/>
      <c r="G130" s="192"/>
      <c r="H130" s="192"/>
      <c r="I130" s="192"/>
      <c r="J130" s="192"/>
      <c r="K130" s="192"/>
      <c r="L130" s="192"/>
      <c r="M130" s="302"/>
      <c r="N130" s="274"/>
      <c r="O130" s="283"/>
    </row>
    <row r="131" spans="2:15" s="277" customFormat="1" ht="23.25" x14ac:dyDescent="0.2">
      <c r="B131" s="282"/>
      <c r="C131" s="273"/>
      <c r="D131" s="279"/>
      <c r="E131" s="302"/>
      <c r="F131" s="192"/>
      <c r="G131" s="192"/>
      <c r="H131" s="192"/>
      <c r="I131" s="192"/>
      <c r="J131" s="192"/>
      <c r="K131" s="192"/>
      <c r="L131" s="192"/>
      <c r="M131" s="302"/>
      <c r="N131" s="274"/>
      <c r="O131" s="283"/>
    </row>
    <row r="132" spans="2:15" s="277" customFormat="1" ht="23.25" x14ac:dyDescent="0.2">
      <c r="B132" s="282"/>
      <c r="C132" s="273"/>
      <c r="D132" s="279"/>
      <c r="E132" s="302"/>
      <c r="F132" s="192"/>
      <c r="G132" s="192"/>
      <c r="H132" s="192"/>
      <c r="I132" s="192"/>
      <c r="J132" s="192"/>
      <c r="K132" s="192"/>
      <c r="L132" s="192"/>
      <c r="M132" s="302"/>
      <c r="N132" s="274"/>
      <c r="O132" s="283"/>
    </row>
    <row r="133" spans="2:15" s="277" customFormat="1" ht="23.25" x14ac:dyDescent="0.2">
      <c r="E133" s="303"/>
      <c r="F133" s="192"/>
      <c r="G133" s="192"/>
      <c r="H133" s="192"/>
      <c r="I133" s="192"/>
      <c r="J133" s="192"/>
      <c r="K133" s="192"/>
      <c r="L133" s="192"/>
      <c r="M133" s="302"/>
    </row>
    <row r="134" spans="2:15" s="277" customFormat="1" ht="23.25" x14ac:dyDescent="0.2">
      <c r="E134" s="303"/>
      <c r="F134" s="192"/>
      <c r="G134" s="192"/>
      <c r="H134" s="192"/>
      <c r="I134" s="192"/>
      <c r="J134" s="192"/>
      <c r="K134" s="192"/>
      <c r="L134" s="192"/>
      <c r="M134" s="302"/>
    </row>
    <row r="135" spans="2:15" s="277" customFormat="1" ht="12.75" x14ac:dyDescent="0.2">
      <c r="E135" s="303"/>
    </row>
    <row r="136" spans="2:15" s="277" customFormat="1" ht="12.75" x14ac:dyDescent="0.2">
      <c r="E136" s="303"/>
    </row>
    <row r="137" spans="2:15" s="277" customFormat="1" ht="12.75" x14ac:dyDescent="0.2"/>
    <row r="138" spans="2:15" s="277" customFormat="1" ht="12.75" x14ac:dyDescent="0.2"/>
    <row r="139" spans="2:15" s="277" customFormat="1" ht="12.75" x14ac:dyDescent="0.2"/>
    <row r="140" spans="2:15" s="277" customFormat="1" ht="12.75" x14ac:dyDescent="0.2"/>
    <row r="141" spans="2:15" s="277" customFormat="1" ht="12.75" x14ac:dyDescent="0.2"/>
    <row r="142" spans="2:15" s="277" customFormat="1" ht="12.75" x14ac:dyDescent="0.2">
      <c r="E142" s="303"/>
    </row>
    <row r="143" spans="2:15" s="277" customFormat="1" ht="12.75" x14ac:dyDescent="0.2">
      <c r="E143" s="303"/>
    </row>
    <row r="144" spans="2:15" s="277" customFormat="1" ht="12.75" x14ac:dyDescent="0.2">
      <c r="E144" s="303"/>
    </row>
    <row r="145" spans="5:5" s="277" customFormat="1" ht="12.75" x14ac:dyDescent="0.2">
      <c r="E145" s="303"/>
    </row>
    <row r="146" spans="5:5" s="277" customFormat="1" ht="12.75" x14ac:dyDescent="0.2">
      <c r="E146" s="303"/>
    </row>
    <row r="147" spans="5:5" s="277" customFormat="1" ht="12.75" x14ac:dyDescent="0.2">
      <c r="E147" s="303"/>
    </row>
    <row r="148" spans="5:5" s="277" customFormat="1" ht="12.75" x14ac:dyDescent="0.2">
      <c r="E148" s="303"/>
    </row>
    <row r="149" spans="5:5" s="277" customFormat="1" ht="12.75" x14ac:dyDescent="0.2">
      <c r="E149" s="303"/>
    </row>
    <row r="150" spans="5:5" s="277" customFormat="1" ht="12.75" x14ac:dyDescent="0.2">
      <c r="E150" s="303"/>
    </row>
    <row r="151" spans="5:5" s="277" customFormat="1" ht="12.75" x14ac:dyDescent="0.2">
      <c r="E151" s="303"/>
    </row>
    <row r="152" spans="5:5" s="277" customFormat="1" ht="12.75" x14ac:dyDescent="0.2">
      <c r="E152" s="303"/>
    </row>
    <row r="153" spans="5:5" s="277" customFormat="1" ht="12.75" x14ac:dyDescent="0.2">
      <c r="E153" s="303"/>
    </row>
    <row r="154" spans="5:5" s="277" customFormat="1" ht="12.75" x14ac:dyDescent="0.2">
      <c r="E154" s="303"/>
    </row>
    <row r="155" spans="5:5" s="277" customFormat="1" ht="12.75" x14ac:dyDescent="0.2">
      <c r="E155" s="303"/>
    </row>
    <row r="156" spans="5:5" s="277" customFormat="1" ht="12.75" x14ac:dyDescent="0.2">
      <c r="E156" s="303"/>
    </row>
    <row r="157" spans="5:5" s="277" customFormat="1" ht="12.75" x14ac:dyDescent="0.2">
      <c r="E157" s="303"/>
    </row>
    <row r="158" spans="5:5" s="277" customFormat="1" ht="12.75" x14ac:dyDescent="0.2">
      <c r="E158" s="303"/>
    </row>
    <row r="159" spans="5:5" s="277" customFormat="1" ht="12.75" x14ac:dyDescent="0.2">
      <c r="E159" s="303"/>
    </row>
    <row r="160" spans="5:5" s="277" customFormat="1" ht="12.75" x14ac:dyDescent="0.2">
      <c r="E160" s="303"/>
    </row>
    <row r="161" spans="5:5" s="277" customFormat="1" ht="12.75" x14ac:dyDescent="0.2">
      <c r="E161" s="303"/>
    </row>
    <row r="162" spans="5:5" s="277" customFormat="1" ht="12.75" x14ac:dyDescent="0.2">
      <c r="E162" s="303"/>
    </row>
    <row r="163" spans="5:5" s="277" customFormat="1" ht="12.75" x14ac:dyDescent="0.2">
      <c r="E163" s="303"/>
    </row>
    <row r="164" spans="5:5" s="277" customFormat="1" ht="12.75" x14ac:dyDescent="0.2">
      <c r="E164" s="303"/>
    </row>
    <row r="165" spans="5:5" s="277" customFormat="1" ht="12.75" x14ac:dyDescent="0.2">
      <c r="E165" s="303"/>
    </row>
    <row r="166" spans="5:5" s="277" customFormat="1" ht="12.75" x14ac:dyDescent="0.2">
      <c r="E166" s="303"/>
    </row>
    <row r="167" spans="5:5" s="277" customFormat="1" ht="12.75" x14ac:dyDescent="0.2">
      <c r="E167" s="303"/>
    </row>
    <row r="168" spans="5:5" s="277" customFormat="1" ht="12.75" x14ac:dyDescent="0.2">
      <c r="E168" s="303"/>
    </row>
    <row r="169" spans="5:5" s="277" customFormat="1" ht="12.75" x14ac:dyDescent="0.2">
      <c r="E169" s="303"/>
    </row>
    <row r="170" spans="5:5" s="277" customFormat="1" ht="12.75" x14ac:dyDescent="0.2">
      <c r="E170" s="303"/>
    </row>
    <row r="171" spans="5:5" s="277" customFormat="1" ht="12.75" x14ac:dyDescent="0.2">
      <c r="E171" s="303"/>
    </row>
    <row r="172" spans="5:5" s="277" customFormat="1" ht="12.75" x14ac:dyDescent="0.2">
      <c r="E172" s="303"/>
    </row>
    <row r="173" spans="5:5" s="277" customFormat="1" ht="12.75" x14ac:dyDescent="0.2">
      <c r="E173" s="303"/>
    </row>
    <row r="174" spans="5:5" s="277" customFormat="1" ht="12.75" x14ac:dyDescent="0.2">
      <c r="E174" s="303"/>
    </row>
    <row r="175" spans="5:5" s="277" customFormat="1" ht="12.75" x14ac:dyDescent="0.2">
      <c r="E175" s="303"/>
    </row>
    <row r="176" spans="5:5" s="277" customFormat="1" ht="12.75" x14ac:dyDescent="0.2">
      <c r="E176" s="303"/>
    </row>
    <row r="177" spans="5:5" s="277" customFormat="1" ht="12.75" x14ac:dyDescent="0.2">
      <c r="E177" s="303"/>
    </row>
    <row r="178" spans="5:5" s="277" customFormat="1" ht="12.75" x14ac:dyDescent="0.2">
      <c r="E178" s="303"/>
    </row>
    <row r="179" spans="5:5" s="277" customFormat="1" ht="12.75" x14ac:dyDescent="0.2">
      <c r="E179" s="303"/>
    </row>
    <row r="180" spans="5:5" s="277" customFormat="1" ht="12.75" x14ac:dyDescent="0.2">
      <c r="E180" s="303"/>
    </row>
    <row r="181" spans="5:5" s="277" customFormat="1" ht="12.75" x14ac:dyDescent="0.2">
      <c r="E181" s="303"/>
    </row>
    <row r="182" spans="5:5" s="277" customFormat="1" ht="12.75" x14ac:dyDescent="0.2">
      <c r="E182" s="303"/>
    </row>
    <row r="183" spans="5:5" s="277" customFormat="1" ht="12.75" x14ac:dyDescent="0.2">
      <c r="E183" s="303"/>
    </row>
    <row r="184" spans="5:5" s="277" customFormat="1" ht="12.75" x14ac:dyDescent="0.2">
      <c r="E184" s="303"/>
    </row>
    <row r="185" spans="5:5" s="277" customFormat="1" ht="12.75" x14ac:dyDescent="0.2">
      <c r="E185" s="303"/>
    </row>
    <row r="186" spans="5:5" s="277" customFormat="1" ht="12.75" x14ac:dyDescent="0.2">
      <c r="E186" s="303"/>
    </row>
    <row r="187" spans="5:5" s="277" customFormat="1" ht="12.75" x14ac:dyDescent="0.2">
      <c r="E187" s="303"/>
    </row>
    <row r="188" spans="5:5" s="277" customFormat="1" ht="12.75" x14ac:dyDescent="0.2">
      <c r="E188" s="303"/>
    </row>
    <row r="189" spans="5:5" s="277" customFormat="1" ht="12.75" x14ac:dyDescent="0.2">
      <c r="E189" s="303"/>
    </row>
    <row r="190" spans="5:5" s="277" customFormat="1" ht="12.75" x14ac:dyDescent="0.2">
      <c r="E190" s="303"/>
    </row>
  </sheetData>
  <dataConsolidate/>
  <mergeCells count="4">
    <mergeCell ref="S19:T20"/>
    <mergeCell ref="A1:O1"/>
    <mergeCell ref="A3:O3"/>
    <mergeCell ref="M13:O13"/>
  </mergeCells>
  <phoneticPr fontId="40" type="noConversion"/>
  <printOptions horizontalCentered="1" verticalCentered="1" gridLines="1"/>
  <pageMargins left="0" right="0" top="0" bottom="0" header="0" footer="0"/>
  <pageSetup scale="64" fitToHeight="0" orientation="portrait" r:id="rId1"/>
  <headerFooter alignWithMargins="0"/>
  <rowBreaks count="3" manualBreakCount="3">
    <brk id="65" max="14" man="1"/>
    <brk id="97" max="14" man="1"/>
    <brk id="119" max="16383" man="1"/>
  </rowBreaks>
  <colBreaks count="1" manualBreakCount="1">
    <brk id="12" max="1048575" man="1"/>
  </colBreaks>
  <cellWatches>
    <cellWatch r="N39"/>
  </cellWatches>
  <ignoredErrors>
    <ignoredError sqref="H13" unlockedFormula="1"/>
    <ignoredError sqref="O28" emptyCellReference="1"/>
  </ignoredErrors>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A1:Z54"/>
  <sheetViews>
    <sheetView workbookViewId="0">
      <selection activeCell="O14" sqref="O14"/>
    </sheetView>
  </sheetViews>
  <sheetFormatPr defaultColWidth="8.85546875" defaultRowHeight="12.75" x14ac:dyDescent="0.2"/>
  <cols>
    <col min="3" max="5" width="12.7109375" customWidth="1"/>
  </cols>
  <sheetData>
    <row r="1" spans="1:26" ht="15" customHeight="1" x14ac:dyDescent="0.2">
      <c r="A1" s="104"/>
      <c r="B1" s="104"/>
      <c r="C1" s="104"/>
      <c r="D1" s="104"/>
      <c r="E1" s="104"/>
      <c r="F1" s="104"/>
      <c r="G1" s="104"/>
      <c r="H1" s="104"/>
      <c r="I1" s="104"/>
      <c r="J1" s="104"/>
      <c r="K1" s="104"/>
      <c r="L1" s="104"/>
      <c r="M1" s="104"/>
      <c r="N1" s="104"/>
      <c r="O1" s="104"/>
      <c r="P1" s="104"/>
      <c r="Q1" s="104"/>
      <c r="R1" s="104"/>
      <c r="S1" s="104"/>
      <c r="T1" s="104"/>
      <c r="U1" s="104"/>
      <c r="V1" s="104"/>
      <c r="W1" s="104"/>
      <c r="X1" s="104"/>
      <c r="Y1" s="104"/>
      <c r="Z1" s="104"/>
    </row>
    <row r="2" spans="1:26" ht="15" customHeight="1" x14ac:dyDescent="0.2">
      <c r="A2" s="104"/>
      <c r="B2" s="104"/>
      <c r="C2" s="104"/>
      <c r="D2" s="104"/>
      <c r="E2" s="104"/>
      <c r="F2" s="104"/>
      <c r="G2" s="104"/>
      <c r="H2" s="104"/>
      <c r="I2" s="104"/>
      <c r="J2" s="104"/>
      <c r="K2" s="104"/>
      <c r="L2" s="104"/>
      <c r="M2" s="104"/>
      <c r="N2" s="104"/>
      <c r="O2" s="104"/>
      <c r="P2" s="104"/>
      <c r="Q2" s="104"/>
      <c r="R2" s="104"/>
      <c r="S2" s="104"/>
      <c r="T2" s="104"/>
      <c r="U2" s="104"/>
      <c r="V2" s="104"/>
      <c r="W2" s="104"/>
      <c r="X2" s="104"/>
      <c r="Y2" s="104"/>
      <c r="Z2" s="104"/>
    </row>
    <row r="3" spans="1:26" ht="15" customHeight="1" x14ac:dyDescent="0.2">
      <c r="A3" s="104"/>
      <c r="B3" s="104"/>
      <c r="C3" s="105"/>
      <c r="D3" s="105"/>
      <c r="E3" s="105"/>
      <c r="F3" s="105"/>
      <c r="G3" s="104"/>
      <c r="H3" s="104"/>
      <c r="I3" s="104"/>
      <c r="J3" s="104"/>
      <c r="K3" s="104"/>
      <c r="L3" s="104"/>
      <c r="M3" s="104"/>
      <c r="N3" s="104"/>
      <c r="O3" s="104"/>
      <c r="P3" s="104"/>
      <c r="Q3" s="104"/>
      <c r="R3" s="104"/>
      <c r="S3" s="104"/>
      <c r="T3" s="104"/>
      <c r="U3" s="104"/>
      <c r="V3" s="104"/>
      <c r="W3" s="104"/>
      <c r="X3" s="104"/>
      <c r="Y3" s="104"/>
      <c r="Z3" s="104"/>
    </row>
    <row r="4" spans="1:26" ht="15" customHeight="1" x14ac:dyDescent="0.2">
      <c r="A4" s="104"/>
      <c r="B4" s="104"/>
      <c r="C4" s="105"/>
      <c r="D4" s="105"/>
      <c r="E4" s="105"/>
      <c r="F4" s="105"/>
      <c r="G4" s="104"/>
      <c r="H4" s="104"/>
      <c r="I4" s="104"/>
      <c r="J4" s="104"/>
      <c r="K4" s="104"/>
      <c r="L4" s="104"/>
      <c r="M4" s="104"/>
      <c r="N4" s="104"/>
      <c r="O4" s="104"/>
      <c r="P4" s="104"/>
      <c r="Q4" s="104"/>
      <c r="R4" s="104"/>
      <c r="S4" s="104"/>
      <c r="T4" s="104"/>
      <c r="U4" s="104"/>
      <c r="V4" s="104"/>
      <c r="W4" s="104"/>
      <c r="X4" s="104"/>
      <c r="Y4" s="104"/>
      <c r="Z4" s="104"/>
    </row>
    <row r="5" spans="1:26" ht="15" customHeight="1" x14ac:dyDescent="0.2">
      <c r="A5" s="104"/>
      <c r="B5" s="104"/>
      <c r="C5" s="105"/>
      <c r="D5" s="105"/>
      <c r="E5" s="105"/>
      <c r="F5" s="105"/>
      <c r="G5" s="104"/>
      <c r="H5" s="104"/>
      <c r="I5" s="104"/>
      <c r="J5" s="104"/>
      <c r="K5" s="104"/>
      <c r="L5" s="104"/>
      <c r="M5" s="104"/>
      <c r="N5" s="104"/>
      <c r="O5" s="104"/>
      <c r="P5" s="104"/>
      <c r="Q5" s="104"/>
      <c r="R5" s="104"/>
      <c r="S5" s="104"/>
      <c r="T5" s="104"/>
      <c r="U5" s="104"/>
      <c r="V5" s="104"/>
      <c r="W5" s="104"/>
      <c r="X5" s="104"/>
      <c r="Y5" s="104"/>
      <c r="Z5" s="104"/>
    </row>
    <row r="6" spans="1:26" ht="15" customHeight="1" x14ac:dyDescent="0.2">
      <c r="A6" s="104"/>
      <c r="B6" s="104"/>
      <c r="C6" s="105"/>
      <c r="D6" s="105"/>
      <c r="E6" s="105"/>
      <c r="F6" s="105"/>
      <c r="G6" s="104"/>
      <c r="H6" s="104"/>
      <c r="I6" s="104"/>
      <c r="J6" s="104"/>
      <c r="K6" s="104"/>
      <c r="L6" s="104"/>
      <c r="M6" s="104"/>
      <c r="N6" s="104"/>
      <c r="O6" s="104"/>
      <c r="P6" s="104"/>
      <c r="Q6" s="104"/>
      <c r="R6" s="104"/>
      <c r="S6" s="104"/>
      <c r="T6" s="104"/>
      <c r="U6" s="104"/>
      <c r="V6" s="104"/>
      <c r="W6" s="104"/>
      <c r="X6" s="104"/>
      <c r="Y6" s="104"/>
      <c r="Z6" s="104"/>
    </row>
    <row r="7" spans="1:26" ht="15" customHeight="1" x14ac:dyDescent="0.2">
      <c r="A7" s="104"/>
      <c r="B7" s="104"/>
      <c r="C7" s="105"/>
      <c r="D7" s="105"/>
      <c r="E7" s="105"/>
      <c r="F7" s="105"/>
      <c r="G7" s="104"/>
      <c r="H7" s="104"/>
      <c r="I7" s="104"/>
      <c r="J7" s="104"/>
      <c r="K7" s="104"/>
      <c r="L7" s="104"/>
      <c r="M7" s="104"/>
      <c r="N7" s="104"/>
      <c r="O7" s="104"/>
      <c r="P7" s="104"/>
      <c r="Q7" s="104"/>
      <c r="R7" s="104"/>
      <c r="S7" s="104"/>
      <c r="T7" s="104"/>
      <c r="U7" s="104"/>
      <c r="V7" s="104"/>
      <c r="W7" s="104"/>
      <c r="X7" s="104"/>
      <c r="Y7" s="104"/>
      <c r="Z7" s="104"/>
    </row>
    <row r="8" spans="1:26" ht="15" customHeight="1" x14ac:dyDescent="0.2">
      <c r="A8" s="104"/>
      <c r="B8" s="104"/>
      <c r="C8" s="105"/>
      <c r="D8" s="105"/>
      <c r="E8" s="105"/>
      <c r="F8" s="105"/>
      <c r="G8" s="104"/>
      <c r="H8" s="104"/>
      <c r="I8" s="104"/>
      <c r="J8" s="104"/>
      <c r="K8" s="104"/>
      <c r="L8" s="104"/>
      <c r="M8" s="104"/>
      <c r="N8" s="104"/>
      <c r="O8" s="104"/>
      <c r="P8" s="104"/>
      <c r="Q8" s="104"/>
      <c r="R8" s="104"/>
      <c r="S8" s="104"/>
      <c r="T8" s="104"/>
      <c r="U8" s="104"/>
      <c r="V8" s="104"/>
      <c r="W8" s="104"/>
      <c r="X8" s="104"/>
      <c r="Y8" s="104"/>
      <c r="Z8" s="104"/>
    </row>
    <row r="9" spans="1:26" ht="15" customHeight="1" x14ac:dyDescent="0.2">
      <c r="A9" s="104"/>
      <c r="B9" s="104"/>
      <c r="C9" s="105"/>
      <c r="D9" s="105"/>
      <c r="E9" s="105"/>
      <c r="F9" s="105"/>
      <c r="G9" s="104"/>
      <c r="H9" s="104"/>
      <c r="I9" s="104"/>
      <c r="J9" s="104"/>
      <c r="K9" s="104"/>
      <c r="L9" s="104"/>
      <c r="M9" s="104"/>
      <c r="N9" s="104"/>
      <c r="O9" s="104"/>
      <c r="P9" s="104"/>
      <c r="Q9" s="104"/>
      <c r="R9" s="104"/>
      <c r="S9" s="104"/>
      <c r="T9" s="104"/>
      <c r="U9" s="104"/>
      <c r="V9" s="104"/>
      <c r="W9" s="104"/>
      <c r="X9" s="104"/>
      <c r="Y9" s="104"/>
      <c r="Z9" s="104"/>
    </row>
    <row r="10" spans="1:26" ht="15" customHeight="1" x14ac:dyDescent="0.2">
      <c r="A10" s="104"/>
      <c r="B10" s="104"/>
      <c r="C10" s="105"/>
      <c r="D10" s="105"/>
      <c r="E10" s="105"/>
      <c r="F10" s="105"/>
      <c r="G10" s="104"/>
      <c r="H10" s="104"/>
      <c r="I10" s="104"/>
      <c r="J10" s="104"/>
      <c r="K10" s="104"/>
      <c r="L10" s="104"/>
      <c r="M10" s="104"/>
      <c r="N10" s="104"/>
      <c r="O10" s="104"/>
      <c r="P10" s="104"/>
      <c r="Q10" s="104"/>
      <c r="R10" s="104"/>
      <c r="S10" s="104"/>
      <c r="T10" s="104"/>
      <c r="U10" s="104"/>
      <c r="V10" s="104"/>
      <c r="W10" s="104"/>
      <c r="X10" s="104"/>
      <c r="Y10" s="104"/>
      <c r="Z10" s="104"/>
    </row>
    <row r="11" spans="1:26" ht="15" customHeight="1" x14ac:dyDescent="0.2">
      <c r="A11" s="104"/>
      <c r="B11" s="104"/>
      <c r="C11" s="104"/>
      <c r="D11" s="104"/>
      <c r="E11" s="104"/>
      <c r="F11" s="104"/>
      <c r="G11" s="104"/>
      <c r="H11" s="104"/>
      <c r="I11" s="104"/>
      <c r="J11" s="104"/>
      <c r="K11" s="104"/>
      <c r="L11" s="104"/>
      <c r="M11" s="104"/>
      <c r="N11" s="104"/>
      <c r="O11" s="104"/>
      <c r="P11" s="104"/>
      <c r="Q11" s="104"/>
      <c r="R11" s="104"/>
      <c r="S11" s="104"/>
      <c r="T11" s="104"/>
      <c r="U11" s="104"/>
      <c r="V11" s="104"/>
      <c r="W11" s="104"/>
      <c r="X11" s="104"/>
      <c r="Y11" s="104"/>
      <c r="Z11" s="104"/>
    </row>
    <row r="12" spans="1:26" ht="15" customHeight="1" x14ac:dyDescent="0.2">
      <c r="A12" s="104"/>
      <c r="B12" s="104"/>
      <c r="C12" s="104"/>
      <c r="D12" s="104"/>
      <c r="E12" s="104"/>
      <c r="F12" s="104"/>
      <c r="G12" s="104"/>
      <c r="H12" s="104"/>
      <c r="I12" s="104"/>
      <c r="J12" s="104"/>
      <c r="K12" s="104"/>
      <c r="L12" s="104"/>
      <c r="M12" s="104"/>
      <c r="N12" s="104"/>
      <c r="O12" s="104"/>
      <c r="P12" s="104"/>
      <c r="Q12" s="104"/>
      <c r="R12" s="104"/>
      <c r="S12" s="104"/>
      <c r="T12" s="104"/>
      <c r="U12" s="104"/>
      <c r="V12" s="104"/>
      <c r="W12" s="104"/>
      <c r="X12" s="104"/>
      <c r="Y12" s="104"/>
      <c r="Z12" s="104"/>
    </row>
    <row r="13" spans="1:26" ht="15" customHeight="1" x14ac:dyDescent="0.2">
      <c r="A13" s="104"/>
      <c r="B13" s="104"/>
      <c r="C13" s="104"/>
      <c r="D13" s="104"/>
      <c r="E13" s="104"/>
      <c r="F13" s="104"/>
      <c r="G13" s="104"/>
      <c r="H13" s="104"/>
      <c r="I13" s="104"/>
      <c r="J13" s="104"/>
      <c r="K13" s="104"/>
      <c r="L13" s="104"/>
      <c r="M13" s="104"/>
      <c r="N13" s="104"/>
      <c r="O13" s="104"/>
      <c r="P13" s="104"/>
      <c r="Q13" s="104"/>
      <c r="R13" s="104"/>
      <c r="S13" s="104"/>
      <c r="T13" s="104"/>
      <c r="U13" s="104"/>
      <c r="V13" s="104"/>
      <c r="W13" s="104"/>
      <c r="X13" s="104"/>
      <c r="Y13" s="104"/>
      <c r="Z13" s="104"/>
    </row>
    <row r="14" spans="1:26" ht="15" customHeight="1" x14ac:dyDescent="0.2">
      <c r="A14" s="104"/>
      <c r="B14" s="104"/>
      <c r="C14" s="104"/>
      <c r="D14" s="104"/>
      <c r="E14" s="104"/>
      <c r="F14" s="104"/>
      <c r="G14" s="104"/>
      <c r="H14" s="104"/>
      <c r="I14" s="104"/>
      <c r="J14" s="104"/>
      <c r="K14" s="104"/>
      <c r="L14" s="104"/>
      <c r="M14" s="104"/>
      <c r="N14" s="104"/>
      <c r="O14" s="104"/>
      <c r="P14" s="104"/>
      <c r="Q14" s="104"/>
      <c r="R14" s="104"/>
      <c r="S14" s="104"/>
      <c r="T14" s="104"/>
      <c r="U14" s="104"/>
      <c r="V14" s="104"/>
      <c r="W14" s="104"/>
      <c r="X14" s="104"/>
      <c r="Y14" s="104"/>
      <c r="Z14" s="104"/>
    </row>
    <row r="15" spans="1:26" ht="15" customHeight="1" x14ac:dyDescent="0.2">
      <c r="A15" s="104"/>
      <c r="B15" s="104"/>
      <c r="C15" s="104"/>
      <c r="D15" s="104"/>
      <c r="E15" s="104"/>
      <c r="F15" s="104"/>
      <c r="G15" s="104"/>
      <c r="H15" s="104"/>
      <c r="I15" s="104"/>
      <c r="J15" s="104"/>
      <c r="K15" s="104"/>
      <c r="L15" s="104"/>
      <c r="M15" s="104"/>
      <c r="N15" s="104"/>
      <c r="O15" s="104"/>
      <c r="P15" s="104"/>
      <c r="Q15" s="104"/>
      <c r="R15" s="104"/>
      <c r="S15" s="104"/>
      <c r="T15" s="104"/>
      <c r="U15" s="104"/>
      <c r="V15" s="104"/>
      <c r="W15" s="104"/>
      <c r="X15" s="104"/>
      <c r="Y15" s="104"/>
      <c r="Z15" s="104"/>
    </row>
    <row r="16" spans="1:26" ht="15" customHeight="1" x14ac:dyDescent="0.2">
      <c r="A16" s="104"/>
      <c r="B16" s="104"/>
      <c r="C16" s="104"/>
      <c r="D16" s="104"/>
      <c r="E16" s="104"/>
      <c r="F16" s="104"/>
      <c r="G16" s="104"/>
      <c r="H16" s="104"/>
      <c r="I16" s="104"/>
      <c r="J16" s="104"/>
      <c r="K16" s="104"/>
      <c r="L16" s="104"/>
      <c r="M16" s="104"/>
      <c r="N16" s="104"/>
      <c r="O16" s="104"/>
      <c r="P16" s="104"/>
      <c r="Q16" s="104"/>
      <c r="R16" s="104"/>
      <c r="S16" s="104"/>
      <c r="T16" s="104"/>
      <c r="U16" s="104"/>
      <c r="V16" s="104"/>
      <c r="W16" s="104"/>
      <c r="X16" s="104"/>
      <c r="Y16" s="104"/>
      <c r="Z16" s="104"/>
    </row>
    <row r="17" spans="1:26" ht="15" customHeight="1" x14ac:dyDescent="0.2">
      <c r="A17" s="104"/>
      <c r="B17" s="104"/>
      <c r="C17" s="104"/>
      <c r="D17" s="104"/>
      <c r="E17" s="104"/>
      <c r="F17" s="104"/>
      <c r="G17" s="104"/>
      <c r="H17" s="104"/>
      <c r="I17" s="104"/>
      <c r="J17" s="104"/>
      <c r="K17" s="104"/>
      <c r="L17" s="104"/>
      <c r="M17" s="104"/>
      <c r="N17" s="104"/>
      <c r="O17" s="104"/>
      <c r="P17" s="104"/>
      <c r="Q17" s="104"/>
      <c r="R17" s="104"/>
      <c r="S17" s="104"/>
      <c r="T17" s="104"/>
      <c r="U17" s="104"/>
      <c r="V17" s="104"/>
      <c r="W17" s="104"/>
      <c r="X17" s="104"/>
      <c r="Y17" s="104"/>
      <c r="Z17" s="104"/>
    </row>
    <row r="18" spans="1:26" ht="15" customHeight="1" x14ac:dyDescent="0.2">
      <c r="A18" s="104"/>
      <c r="B18" s="104"/>
      <c r="C18" s="104"/>
      <c r="D18" s="104"/>
      <c r="E18" s="104"/>
      <c r="F18" s="104"/>
      <c r="G18" s="104"/>
      <c r="H18" s="104"/>
      <c r="I18" s="104"/>
      <c r="J18" s="104"/>
      <c r="K18" s="104"/>
      <c r="L18" s="104"/>
      <c r="M18" s="104"/>
      <c r="N18" s="104"/>
      <c r="O18" s="104"/>
      <c r="P18" s="104"/>
      <c r="Q18" s="104"/>
      <c r="R18" s="104"/>
      <c r="S18" s="104"/>
      <c r="T18" s="104"/>
      <c r="U18" s="104"/>
      <c r="V18" s="104"/>
      <c r="W18" s="104"/>
      <c r="X18" s="104"/>
      <c r="Y18" s="104"/>
      <c r="Z18" s="104"/>
    </row>
    <row r="19" spans="1:26" ht="15" customHeight="1" x14ac:dyDescent="0.2">
      <c r="A19" s="104"/>
      <c r="B19" s="104"/>
      <c r="C19" s="104"/>
      <c r="D19" s="104"/>
      <c r="E19" s="104"/>
      <c r="F19" s="104"/>
      <c r="G19" s="104"/>
      <c r="H19" s="104"/>
      <c r="I19" s="104"/>
      <c r="J19" s="104"/>
      <c r="K19" s="104"/>
      <c r="L19" s="104"/>
      <c r="M19" s="104"/>
      <c r="N19" s="104"/>
      <c r="O19" s="104"/>
      <c r="P19" s="104"/>
      <c r="Q19" s="104"/>
      <c r="R19" s="104"/>
      <c r="S19" s="104"/>
      <c r="T19" s="104"/>
      <c r="U19" s="104"/>
      <c r="V19" s="104"/>
      <c r="W19" s="104"/>
      <c r="X19" s="104"/>
      <c r="Y19" s="104"/>
      <c r="Z19" s="104"/>
    </row>
    <row r="20" spans="1:26" ht="15" customHeight="1" x14ac:dyDescent="0.2">
      <c r="A20" s="104"/>
      <c r="B20" s="104"/>
      <c r="C20" s="104"/>
      <c r="D20" s="104"/>
      <c r="E20" s="104"/>
      <c r="F20" s="104"/>
      <c r="G20" s="104"/>
      <c r="H20" s="104"/>
      <c r="I20" s="104"/>
      <c r="J20" s="104"/>
      <c r="K20" s="104"/>
      <c r="L20" s="104"/>
      <c r="M20" s="104"/>
      <c r="N20" s="104"/>
      <c r="O20" s="104"/>
      <c r="P20" s="104"/>
      <c r="Q20" s="104"/>
      <c r="R20" s="104"/>
      <c r="S20" s="104"/>
      <c r="T20" s="104"/>
      <c r="U20" s="104"/>
      <c r="V20" s="104"/>
      <c r="W20" s="104"/>
      <c r="X20" s="104"/>
      <c r="Y20" s="104"/>
      <c r="Z20" s="104"/>
    </row>
    <row r="21" spans="1:26" ht="15" customHeight="1" x14ac:dyDescent="0.2">
      <c r="A21" s="104"/>
      <c r="B21" s="104"/>
      <c r="C21" s="104"/>
      <c r="D21" s="104"/>
      <c r="E21" s="104"/>
      <c r="F21" s="104"/>
      <c r="G21" s="104"/>
      <c r="H21" s="104"/>
      <c r="I21" s="104"/>
      <c r="J21" s="104"/>
      <c r="K21" s="104"/>
      <c r="L21" s="104"/>
      <c r="M21" s="104"/>
      <c r="N21" s="104"/>
      <c r="O21" s="104"/>
      <c r="P21" s="104"/>
      <c r="Q21" s="104"/>
      <c r="R21" s="104"/>
      <c r="S21" s="104"/>
      <c r="T21" s="104"/>
      <c r="U21" s="104"/>
      <c r="V21" s="104"/>
      <c r="W21" s="104"/>
      <c r="X21" s="104"/>
      <c r="Y21" s="104"/>
      <c r="Z21" s="104"/>
    </row>
    <row r="22" spans="1:26" ht="15" customHeight="1" x14ac:dyDescent="0.2">
      <c r="A22" s="104"/>
      <c r="B22" s="104"/>
      <c r="C22" s="104"/>
      <c r="D22" s="104"/>
      <c r="E22" s="104"/>
      <c r="F22" s="104"/>
      <c r="G22" s="104"/>
      <c r="H22" s="104"/>
      <c r="I22" s="104"/>
      <c r="J22" s="104"/>
      <c r="K22" s="104"/>
      <c r="L22" s="104"/>
      <c r="M22" s="104"/>
      <c r="N22" s="104"/>
      <c r="O22" s="104"/>
      <c r="P22" s="104"/>
      <c r="Q22" s="104"/>
      <c r="R22" s="104"/>
      <c r="S22" s="104"/>
      <c r="T22" s="104"/>
      <c r="U22" s="104"/>
      <c r="V22" s="104"/>
      <c r="W22" s="104"/>
      <c r="X22" s="104"/>
      <c r="Y22" s="104"/>
      <c r="Z22" s="104"/>
    </row>
    <row r="23" spans="1:26" ht="15" customHeight="1" x14ac:dyDescent="0.2">
      <c r="A23" s="104"/>
      <c r="B23" s="104"/>
      <c r="C23" s="104"/>
      <c r="D23" s="104"/>
      <c r="E23" s="104"/>
      <c r="F23" s="104"/>
      <c r="G23" s="104"/>
      <c r="H23" s="104"/>
      <c r="I23" s="104"/>
      <c r="J23" s="104"/>
      <c r="K23" s="104"/>
      <c r="L23" s="104"/>
      <c r="M23" s="104"/>
      <c r="N23" s="104"/>
      <c r="O23" s="104"/>
      <c r="P23" s="104"/>
      <c r="Q23" s="104"/>
      <c r="R23" s="104"/>
      <c r="S23" s="104"/>
      <c r="T23" s="104"/>
      <c r="U23" s="104"/>
      <c r="V23" s="104"/>
      <c r="W23" s="104"/>
      <c r="X23" s="104"/>
      <c r="Y23" s="104"/>
      <c r="Z23" s="104"/>
    </row>
    <row r="24" spans="1:26" ht="15" customHeight="1" x14ac:dyDescent="0.2">
      <c r="A24" s="104"/>
      <c r="B24" s="104"/>
      <c r="C24" s="104"/>
      <c r="D24" s="104"/>
      <c r="E24" s="104"/>
      <c r="F24" s="104"/>
      <c r="G24" s="104"/>
      <c r="H24" s="104"/>
      <c r="I24" s="104"/>
      <c r="J24" s="104"/>
      <c r="K24" s="104"/>
      <c r="L24" s="104"/>
      <c r="M24" s="104"/>
      <c r="N24" s="104"/>
      <c r="O24" s="104"/>
      <c r="P24" s="104"/>
      <c r="Q24" s="104"/>
      <c r="R24" s="104"/>
      <c r="S24" s="104"/>
      <c r="T24" s="104"/>
      <c r="U24" s="104"/>
      <c r="V24" s="104"/>
      <c r="W24" s="104"/>
      <c r="X24" s="104"/>
      <c r="Y24" s="104"/>
      <c r="Z24" s="104"/>
    </row>
    <row r="25" spans="1:26" ht="15" customHeight="1" x14ac:dyDescent="0.2">
      <c r="A25" s="104"/>
      <c r="B25" s="104"/>
      <c r="C25" s="104"/>
      <c r="D25" s="104"/>
      <c r="E25" s="104"/>
      <c r="F25" s="104"/>
      <c r="G25" s="104"/>
      <c r="H25" s="104"/>
      <c r="I25" s="104"/>
      <c r="J25" s="104"/>
      <c r="K25" s="104"/>
      <c r="L25" s="104"/>
      <c r="M25" s="104"/>
      <c r="N25" s="104"/>
      <c r="O25" s="104"/>
      <c r="P25" s="104"/>
      <c r="Q25" s="104"/>
      <c r="R25" s="104"/>
      <c r="S25" s="104"/>
      <c r="T25" s="104"/>
      <c r="U25" s="104"/>
      <c r="V25" s="104"/>
      <c r="W25" s="104"/>
      <c r="X25" s="104"/>
      <c r="Y25" s="104"/>
      <c r="Z25" s="104"/>
    </row>
    <row r="26" spans="1:26" ht="15" customHeight="1" x14ac:dyDescent="0.2">
      <c r="A26" s="104"/>
      <c r="B26" s="104"/>
      <c r="C26" s="104"/>
      <c r="D26" s="104"/>
      <c r="E26" s="104"/>
      <c r="F26" s="104"/>
      <c r="G26" s="104"/>
      <c r="H26" s="104"/>
      <c r="I26" s="104"/>
      <c r="J26" s="104"/>
      <c r="K26" s="104"/>
      <c r="L26" s="104"/>
      <c r="M26" s="104"/>
      <c r="N26" s="104"/>
      <c r="O26" s="104"/>
      <c r="P26" s="104"/>
      <c r="Q26" s="104"/>
      <c r="R26" s="104"/>
      <c r="S26" s="104"/>
      <c r="T26" s="104"/>
      <c r="U26" s="104"/>
      <c r="V26" s="104"/>
      <c r="W26" s="104"/>
      <c r="X26" s="104"/>
      <c r="Y26" s="104"/>
      <c r="Z26" s="104"/>
    </row>
    <row r="27" spans="1:26" ht="15" customHeight="1" x14ac:dyDescent="0.2">
      <c r="A27" s="104"/>
      <c r="B27" s="104"/>
      <c r="C27" s="104"/>
      <c r="D27" s="104"/>
      <c r="E27" s="104"/>
      <c r="F27" s="104"/>
      <c r="G27" s="104"/>
      <c r="H27" s="104"/>
      <c r="I27" s="104"/>
      <c r="J27" s="104"/>
      <c r="K27" s="104"/>
      <c r="L27" s="104"/>
      <c r="M27" s="104"/>
      <c r="N27" s="104"/>
      <c r="O27" s="104"/>
      <c r="P27" s="104"/>
      <c r="Q27" s="104"/>
      <c r="R27" s="104"/>
      <c r="S27" s="104"/>
      <c r="T27" s="104"/>
      <c r="U27" s="104"/>
      <c r="V27" s="104"/>
      <c r="W27" s="104"/>
      <c r="X27" s="104"/>
      <c r="Y27" s="104"/>
      <c r="Z27" s="104"/>
    </row>
    <row r="28" spans="1:26" ht="15" customHeight="1" x14ac:dyDescent="0.2">
      <c r="A28" s="104"/>
      <c r="B28" s="104"/>
      <c r="C28" s="104"/>
      <c r="D28" s="104"/>
      <c r="E28" s="104"/>
      <c r="F28" s="104"/>
      <c r="G28" s="104"/>
      <c r="H28" s="104"/>
      <c r="I28" s="104"/>
      <c r="J28" s="104"/>
      <c r="K28" s="104"/>
      <c r="L28" s="104"/>
      <c r="M28" s="104"/>
      <c r="N28" s="104"/>
      <c r="O28" s="104"/>
      <c r="P28" s="104"/>
      <c r="Q28" s="104"/>
      <c r="R28" s="104"/>
      <c r="S28" s="104"/>
      <c r="T28" s="104"/>
      <c r="U28" s="104"/>
      <c r="V28" s="104"/>
      <c r="W28" s="104"/>
      <c r="X28" s="104"/>
      <c r="Y28" s="104"/>
      <c r="Z28" s="104"/>
    </row>
    <row r="29" spans="1:26" ht="15" customHeight="1" x14ac:dyDescent="0.2">
      <c r="A29" s="104"/>
      <c r="B29" s="104"/>
      <c r="C29" s="104"/>
      <c r="D29" s="104"/>
      <c r="E29" s="104"/>
      <c r="F29" s="104"/>
      <c r="G29" s="104"/>
      <c r="H29" s="104"/>
      <c r="I29" s="104"/>
      <c r="J29" s="104"/>
      <c r="K29" s="104"/>
      <c r="L29" s="104"/>
      <c r="M29" s="104"/>
      <c r="N29" s="104"/>
      <c r="O29" s="104"/>
      <c r="P29" s="104"/>
      <c r="Q29" s="104"/>
      <c r="R29" s="104"/>
      <c r="S29" s="104"/>
      <c r="T29" s="104"/>
      <c r="U29" s="104"/>
      <c r="V29" s="104"/>
      <c r="W29" s="104"/>
      <c r="X29" s="104"/>
      <c r="Y29" s="104"/>
      <c r="Z29" s="104"/>
    </row>
    <row r="30" spans="1:26" ht="15" customHeight="1" x14ac:dyDescent="0.2">
      <c r="A30" s="104"/>
      <c r="B30" s="104"/>
      <c r="C30" s="104"/>
      <c r="D30" s="104"/>
      <c r="E30" s="104"/>
      <c r="F30" s="104"/>
      <c r="G30" s="104"/>
      <c r="H30" s="104"/>
      <c r="I30" s="104"/>
      <c r="J30" s="104"/>
      <c r="K30" s="104"/>
      <c r="L30" s="104"/>
      <c r="M30" s="104"/>
      <c r="N30" s="104"/>
      <c r="O30" s="104"/>
      <c r="P30" s="104"/>
      <c r="Q30" s="104"/>
      <c r="R30" s="104"/>
      <c r="S30" s="104"/>
      <c r="T30" s="104"/>
      <c r="U30" s="104"/>
      <c r="V30" s="104"/>
      <c r="W30" s="104"/>
      <c r="X30" s="104"/>
      <c r="Y30" s="104"/>
      <c r="Z30" s="104"/>
    </row>
    <row r="31" spans="1:26" ht="15" customHeight="1" x14ac:dyDescent="0.2">
      <c r="A31" s="104"/>
      <c r="B31" s="104"/>
      <c r="C31" s="104"/>
      <c r="D31" s="104"/>
      <c r="E31" s="104"/>
      <c r="F31" s="104"/>
      <c r="G31" s="104"/>
      <c r="H31" s="104"/>
      <c r="I31" s="104"/>
      <c r="J31" s="104"/>
      <c r="K31" s="104"/>
      <c r="L31" s="104"/>
      <c r="M31" s="104"/>
      <c r="N31" s="104"/>
      <c r="O31" s="104"/>
      <c r="P31" s="104"/>
      <c r="Q31" s="104"/>
      <c r="R31" s="104"/>
      <c r="S31" s="104"/>
      <c r="T31" s="104"/>
      <c r="U31" s="104"/>
      <c r="V31" s="104"/>
      <c r="W31" s="104"/>
      <c r="X31" s="104"/>
      <c r="Y31" s="104"/>
      <c r="Z31" s="104"/>
    </row>
    <row r="32" spans="1:26" ht="15" customHeight="1" x14ac:dyDescent="0.2">
      <c r="A32" s="104"/>
      <c r="B32" s="104"/>
      <c r="C32" s="104"/>
      <c r="D32" s="104"/>
      <c r="E32" s="104"/>
      <c r="F32" s="104"/>
      <c r="G32" s="104"/>
      <c r="H32" s="104"/>
      <c r="I32" s="104"/>
      <c r="J32" s="104"/>
      <c r="K32" s="104"/>
      <c r="L32" s="104"/>
      <c r="M32" s="104"/>
      <c r="N32" s="104"/>
      <c r="O32" s="104"/>
      <c r="P32" s="104"/>
      <c r="Q32" s="104"/>
      <c r="R32" s="104"/>
      <c r="S32" s="104"/>
      <c r="T32" s="104"/>
      <c r="U32" s="104"/>
      <c r="V32" s="104"/>
      <c r="W32" s="104"/>
      <c r="X32" s="104"/>
      <c r="Y32" s="104"/>
      <c r="Z32" s="104"/>
    </row>
    <row r="33" spans="1:26" ht="15" customHeight="1" x14ac:dyDescent="0.2">
      <c r="A33" s="104"/>
      <c r="B33" s="104"/>
      <c r="C33" s="104"/>
      <c r="D33" s="104"/>
      <c r="E33" s="104"/>
      <c r="F33" s="104"/>
      <c r="G33" s="104"/>
      <c r="H33" s="104"/>
      <c r="I33" s="104"/>
      <c r="J33" s="104"/>
      <c r="K33" s="104"/>
      <c r="L33" s="104"/>
      <c r="M33" s="104"/>
      <c r="N33" s="104"/>
      <c r="O33" s="104"/>
      <c r="P33" s="104"/>
      <c r="Q33" s="104"/>
      <c r="R33" s="104"/>
      <c r="S33" s="104"/>
      <c r="T33" s="104"/>
      <c r="U33" s="104"/>
      <c r="V33" s="104"/>
      <c r="W33" s="104"/>
      <c r="X33" s="104"/>
      <c r="Y33" s="104"/>
      <c r="Z33" s="104"/>
    </row>
    <row r="34" spans="1:26" ht="15" customHeight="1" x14ac:dyDescent="0.2">
      <c r="A34" s="104"/>
      <c r="B34" s="104"/>
      <c r="C34" s="104"/>
      <c r="D34" s="104"/>
      <c r="E34" s="104"/>
      <c r="F34" s="104"/>
      <c r="G34" s="104"/>
      <c r="H34" s="104"/>
      <c r="I34" s="104"/>
      <c r="J34" s="104"/>
      <c r="K34" s="104"/>
      <c r="L34" s="104"/>
      <c r="M34" s="104"/>
      <c r="N34" s="104"/>
      <c r="O34" s="104"/>
      <c r="P34" s="104"/>
      <c r="Q34" s="104"/>
      <c r="R34" s="104"/>
      <c r="S34" s="104"/>
      <c r="T34" s="104"/>
      <c r="U34" s="104"/>
      <c r="V34" s="104"/>
      <c r="W34" s="104"/>
      <c r="X34" s="104"/>
      <c r="Y34" s="104"/>
      <c r="Z34" s="104"/>
    </row>
    <row r="35" spans="1:26" ht="15" customHeight="1" x14ac:dyDescent="0.2">
      <c r="A35" s="104"/>
      <c r="B35" s="104"/>
      <c r="C35" s="104"/>
      <c r="D35" s="104"/>
      <c r="E35" s="104"/>
      <c r="F35" s="104"/>
      <c r="G35" s="104"/>
      <c r="H35" s="104"/>
      <c r="I35" s="104"/>
      <c r="J35" s="104"/>
      <c r="K35" s="104"/>
      <c r="L35" s="104"/>
      <c r="M35" s="104"/>
      <c r="N35" s="104"/>
      <c r="O35" s="104"/>
      <c r="P35" s="104"/>
      <c r="Q35" s="104"/>
      <c r="R35" s="104"/>
      <c r="S35" s="104"/>
      <c r="T35" s="104"/>
      <c r="U35" s="104"/>
      <c r="V35" s="104"/>
      <c r="W35" s="104"/>
      <c r="X35" s="104"/>
      <c r="Y35" s="104"/>
      <c r="Z35" s="104"/>
    </row>
    <row r="36" spans="1:26" ht="15" customHeight="1" x14ac:dyDescent="0.2">
      <c r="A36" s="104"/>
      <c r="B36" s="104"/>
      <c r="C36" s="104"/>
      <c r="D36" s="104"/>
      <c r="E36" s="104"/>
      <c r="F36" s="104"/>
      <c r="G36" s="104"/>
      <c r="H36" s="104"/>
      <c r="I36" s="104"/>
      <c r="J36" s="104"/>
      <c r="K36" s="104"/>
      <c r="L36" s="104"/>
      <c r="M36" s="104"/>
      <c r="N36" s="104"/>
      <c r="O36" s="104"/>
      <c r="P36" s="104"/>
      <c r="Q36" s="104"/>
      <c r="R36" s="104"/>
      <c r="S36" s="104"/>
      <c r="T36" s="104"/>
      <c r="U36" s="104"/>
      <c r="V36" s="104"/>
      <c r="W36" s="104"/>
      <c r="X36" s="104"/>
      <c r="Y36" s="104"/>
      <c r="Z36" s="104"/>
    </row>
    <row r="37" spans="1:26" ht="15" customHeight="1" x14ac:dyDescent="0.2">
      <c r="A37" s="104"/>
      <c r="B37" s="104"/>
      <c r="C37" s="104"/>
      <c r="D37" s="104"/>
      <c r="E37" s="104"/>
      <c r="F37" s="104"/>
      <c r="G37" s="104"/>
      <c r="H37" s="104"/>
      <c r="I37" s="104"/>
      <c r="J37" s="104"/>
      <c r="K37" s="104"/>
      <c r="L37" s="104"/>
      <c r="M37" s="104"/>
      <c r="N37" s="104"/>
      <c r="O37" s="104"/>
      <c r="P37" s="104"/>
      <c r="Q37" s="104"/>
      <c r="R37" s="104"/>
      <c r="S37" s="104"/>
      <c r="T37" s="104"/>
      <c r="U37" s="104"/>
      <c r="V37" s="104"/>
      <c r="W37" s="104"/>
      <c r="X37" s="104"/>
      <c r="Y37" s="104"/>
      <c r="Z37" s="104"/>
    </row>
    <row r="38" spans="1:26" ht="15" customHeight="1" x14ac:dyDescent="0.2">
      <c r="A38" s="104"/>
      <c r="B38" s="104"/>
      <c r="C38" s="104"/>
      <c r="D38" s="104"/>
      <c r="E38" s="104"/>
      <c r="F38" s="104"/>
      <c r="G38" s="104"/>
      <c r="H38" s="104"/>
      <c r="I38" s="104"/>
      <c r="J38" s="104"/>
      <c r="K38" s="104"/>
      <c r="L38" s="104"/>
      <c r="M38" s="104"/>
      <c r="N38" s="104"/>
      <c r="O38" s="104"/>
      <c r="P38" s="104"/>
      <c r="Q38" s="104"/>
      <c r="R38" s="104"/>
      <c r="S38" s="104"/>
      <c r="T38" s="104"/>
      <c r="U38" s="104"/>
      <c r="V38" s="104"/>
      <c r="W38" s="104"/>
      <c r="X38" s="104"/>
      <c r="Y38" s="104"/>
      <c r="Z38" s="104"/>
    </row>
    <row r="39" spans="1:26" ht="15" customHeight="1" x14ac:dyDescent="0.2">
      <c r="A39" s="104"/>
      <c r="B39" s="104"/>
      <c r="C39" s="104"/>
      <c r="D39" s="104"/>
      <c r="E39" s="104"/>
      <c r="F39" s="104"/>
      <c r="G39" s="104"/>
      <c r="H39" s="104"/>
      <c r="I39" s="104"/>
      <c r="J39" s="104"/>
      <c r="K39" s="104"/>
      <c r="L39" s="104"/>
      <c r="M39" s="104"/>
      <c r="N39" s="104"/>
      <c r="O39" s="104"/>
      <c r="P39" s="104"/>
      <c r="Q39" s="104"/>
      <c r="R39" s="104"/>
      <c r="S39" s="104"/>
      <c r="T39" s="104"/>
      <c r="U39" s="104"/>
      <c r="V39" s="104"/>
      <c r="W39" s="104"/>
      <c r="X39" s="104"/>
      <c r="Y39" s="104"/>
      <c r="Z39" s="104"/>
    </row>
    <row r="40" spans="1:26" ht="15" customHeight="1" x14ac:dyDescent="0.2">
      <c r="A40" s="104"/>
      <c r="B40" s="104"/>
      <c r="C40" s="104"/>
      <c r="D40" s="104"/>
      <c r="E40" s="104"/>
      <c r="F40" s="104"/>
      <c r="G40" s="104"/>
      <c r="H40" s="104"/>
      <c r="I40" s="104"/>
      <c r="J40" s="104"/>
      <c r="K40" s="104"/>
      <c r="L40" s="104"/>
      <c r="M40" s="104"/>
      <c r="N40" s="104"/>
      <c r="O40" s="104"/>
      <c r="P40" s="104"/>
      <c r="Q40" s="104"/>
      <c r="R40" s="104"/>
      <c r="S40" s="104"/>
      <c r="T40" s="104"/>
      <c r="U40" s="104"/>
      <c r="V40" s="104"/>
      <c r="W40" s="104"/>
      <c r="X40" s="104"/>
      <c r="Y40" s="104"/>
      <c r="Z40" s="104"/>
    </row>
    <row r="41" spans="1:26" ht="15" customHeight="1" x14ac:dyDescent="0.2">
      <c r="A41" s="104"/>
      <c r="B41" s="104"/>
      <c r="C41" s="104"/>
      <c r="D41" s="104"/>
      <c r="E41" s="104"/>
      <c r="F41" s="104"/>
      <c r="G41" s="104"/>
      <c r="H41" s="104"/>
      <c r="I41" s="104"/>
      <c r="J41" s="104"/>
      <c r="K41" s="104"/>
      <c r="L41" s="104"/>
      <c r="M41" s="104"/>
      <c r="N41" s="104"/>
      <c r="O41" s="104"/>
      <c r="P41" s="104"/>
      <c r="Q41" s="104"/>
      <c r="R41" s="104"/>
      <c r="S41" s="104"/>
      <c r="T41" s="104"/>
      <c r="U41" s="104"/>
      <c r="V41" s="104"/>
      <c r="W41" s="104"/>
      <c r="X41" s="104"/>
      <c r="Y41" s="104"/>
      <c r="Z41" s="104"/>
    </row>
    <row r="42" spans="1:26" ht="15" customHeight="1" x14ac:dyDescent="0.2">
      <c r="A42" s="104"/>
      <c r="B42" s="104"/>
      <c r="C42" s="104"/>
      <c r="D42" s="104"/>
      <c r="E42" s="104"/>
      <c r="F42" s="104"/>
      <c r="G42" s="104"/>
      <c r="H42" s="104"/>
      <c r="I42" s="104"/>
      <c r="J42" s="104"/>
      <c r="K42" s="104"/>
      <c r="L42" s="104"/>
      <c r="M42" s="104"/>
      <c r="N42" s="104"/>
      <c r="O42" s="104"/>
      <c r="P42" s="104"/>
      <c r="Q42" s="104"/>
      <c r="R42" s="104"/>
      <c r="S42" s="104"/>
      <c r="T42" s="104"/>
      <c r="U42" s="104"/>
      <c r="V42" s="104"/>
      <c r="W42" s="104"/>
      <c r="X42" s="104"/>
      <c r="Y42" s="104"/>
      <c r="Z42" s="104"/>
    </row>
    <row r="43" spans="1:26" ht="15" customHeight="1" x14ac:dyDescent="0.2">
      <c r="A43" s="104"/>
      <c r="B43" s="104"/>
      <c r="C43" s="104"/>
      <c r="D43" s="104"/>
      <c r="E43" s="104"/>
      <c r="F43" s="104"/>
      <c r="G43" s="104"/>
      <c r="H43" s="104"/>
      <c r="I43" s="104"/>
      <c r="J43" s="104"/>
      <c r="K43" s="104"/>
      <c r="L43" s="104"/>
      <c r="M43" s="104"/>
      <c r="N43" s="104"/>
      <c r="O43" s="104"/>
      <c r="P43" s="104"/>
      <c r="Q43" s="104"/>
      <c r="R43" s="104"/>
      <c r="S43" s="104"/>
      <c r="T43" s="104"/>
      <c r="U43" s="104"/>
      <c r="V43" s="104"/>
      <c r="W43" s="104"/>
      <c r="X43" s="104"/>
      <c r="Y43" s="104"/>
      <c r="Z43" s="104"/>
    </row>
    <row r="44" spans="1:26" ht="15" customHeight="1" x14ac:dyDescent="0.2">
      <c r="A44" s="104"/>
      <c r="B44" s="104"/>
      <c r="C44" s="104"/>
      <c r="D44" s="104"/>
      <c r="E44" s="104"/>
      <c r="F44" s="104"/>
      <c r="G44" s="104"/>
      <c r="H44" s="104"/>
      <c r="I44" s="104"/>
      <c r="J44" s="104"/>
      <c r="K44" s="104"/>
      <c r="L44" s="104"/>
      <c r="M44" s="104"/>
      <c r="N44" s="104"/>
      <c r="O44" s="104"/>
      <c r="P44" s="104"/>
      <c r="Q44" s="104"/>
      <c r="R44" s="104"/>
      <c r="S44" s="104"/>
      <c r="T44" s="104"/>
      <c r="U44" s="104"/>
      <c r="V44" s="104"/>
      <c r="W44" s="104"/>
      <c r="X44" s="104"/>
      <c r="Y44" s="104"/>
      <c r="Z44" s="104"/>
    </row>
    <row r="45" spans="1:26" ht="15" customHeight="1" x14ac:dyDescent="0.2">
      <c r="A45" s="104"/>
      <c r="B45" s="104"/>
      <c r="C45" s="104"/>
      <c r="D45" s="104"/>
      <c r="E45" s="104"/>
      <c r="F45" s="104"/>
      <c r="G45" s="104"/>
      <c r="H45" s="104"/>
      <c r="I45" s="104"/>
      <c r="J45" s="104"/>
      <c r="K45" s="104"/>
      <c r="L45" s="104"/>
      <c r="M45" s="104"/>
      <c r="N45" s="104"/>
      <c r="O45" s="104"/>
      <c r="P45" s="104"/>
      <c r="Q45" s="104"/>
      <c r="R45" s="104"/>
      <c r="S45" s="104"/>
      <c r="T45" s="104"/>
      <c r="U45" s="104"/>
      <c r="V45" s="104"/>
      <c r="W45" s="104"/>
      <c r="X45" s="104"/>
      <c r="Y45" s="104"/>
      <c r="Z45" s="104"/>
    </row>
    <row r="46" spans="1:26" ht="15" customHeight="1" x14ac:dyDescent="0.2">
      <c r="A46" s="104"/>
      <c r="B46" s="104"/>
      <c r="C46" s="104"/>
      <c r="D46" s="104"/>
      <c r="E46" s="104"/>
      <c r="F46" s="104"/>
      <c r="G46" s="104"/>
      <c r="H46" s="104"/>
      <c r="I46" s="104"/>
      <c r="J46" s="104"/>
      <c r="K46" s="104"/>
      <c r="L46" s="104"/>
      <c r="M46" s="104"/>
      <c r="N46" s="104"/>
      <c r="O46" s="104"/>
      <c r="P46" s="104"/>
      <c r="Q46" s="104"/>
      <c r="R46" s="104"/>
      <c r="S46" s="104"/>
      <c r="T46" s="104"/>
      <c r="U46" s="104"/>
      <c r="V46" s="104"/>
      <c r="W46" s="104"/>
      <c r="X46" s="104"/>
      <c r="Y46" s="104"/>
      <c r="Z46" s="104"/>
    </row>
    <row r="47" spans="1:26" ht="15" customHeight="1" x14ac:dyDescent="0.2">
      <c r="A47" s="104"/>
      <c r="B47" s="104"/>
      <c r="C47" s="104"/>
      <c r="D47" s="104"/>
      <c r="E47" s="104"/>
      <c r="F47" s="104"/>
      <c r="G47" s="104"/>
      <c r="H47" s="104"/>
      <c r="I47" s="104"/>
      <c r="J47" s="104"/>
      <c r="K47" s="104"/>
      <c r="L47" s="104"/>
      <c r="M47" s="104"/>
      <c r="N47" s="104"/>
      <c r="O47" s="104"/>
      <c r="P47" s="104"/>
      <c r="Q47" s="104"/>
      <c r="R47" s="104"/>
      <c r="S47" s="104"/>
      <c r="T47" s="104"/>
      <c r="U47" s="104"/>
      <c r="V47" s="104"/>
      <c r="W47" s="104"/>
      <c r="X47" s="104"/>
      <c r="Y47" s="104"/>
      <c r="Z47" s="104"/>
    </row>
    <row r="48" spans="1:26" ht="15" customHeight="1" x14ac:dyDescent="0.2">
      <c r="A48" s="104"/>
      <c r="B48" s="104"/>
      <c r="C48" s="104"/>
      <c r="D48" s="104"/>
      <c r="E48" s="104"/>
      <c r="F48" s="104"/>
      <c r="G48" s="104"/>
      <c r="H48" s="104"/>
      <c r="I48" s="104"/>
      <c r="J48" s="104"/>
      <c r="K48" s="104"/>
      <c r="L48" s="104"/>
      <c r="M48" s="104"/>
      <c r="N48" s="104"/>
      <c r="O48" s="104"/>
      <c r="P48" s="104"/>
      <c r="Q48" s="104"/>
      <c r="R48" s="104"/>
      <c r="S48" s="104"/>
      <c r="T48" s="104"/>
      <c r="U48" s="104"/>
      <c r="V48" s="104"/>
      <c r="W48" s="104"/>
      <c r="X48" s="104"/>
      <c r="Y48" s="104"/>
      <c r="Z48" s="104"/>
    </row>
    <row r="49" spans="1:26" ht="15" customHeight="1" x14ac:dyDescent="0.2">
      <c r="A49" s="104"/>
      <c r="B49" s="104"/>
      <c r="C49" s="104"/>
      <c r="D49" s="104"/>
      <c r="E49" s="104"/>
      <c r="F49" s="104"/>
      <c r="G49" s="104"/>
      <c r="H49" s="104"/>
      <c r="I49" s="104"/>
      <c r="J49" s="104"/>
      <c r="K49" s="104"/>
      <c r="L49" s="104"/>
      <c r="M49" s="104"/>
      <c r="N49" s="104"/>
      <c r="O49" s="104"/>
      <c r="P49" s="104"/>
      <c r="Q49" s="104"/>
      <c r="R49" s="104"/>
      <c r="S49" s="104"/>
      <c r="T49" s="104"/>
      <c r="U49" s="104"/>
      <c r="V49" s="104"/>
      <c r="W49" s="104"/>
      <c r="X49" s="104"/>
      <c r="Y49" s="104"/>
      <c r="Z49" s="104"/>
    </row>
    <row r="50" spans="1:26" ht="15" customHeight="1" x14ac:dyDescent="0.2">
      <c r="A50" s="104"/>
      <c r="B50" s="104"/>
      <c r="C50" s="104"/>
      <c r="D50" s="104"/>
      <c r="E50" s="104"/>
      <c r="F50" s="104"/>
      <c r="G50" s="104"/>
      <c r="H50" s="104"/>
      <c r="I50" s="104"/>
      <c r="J50" s="104"/>
      <c r="K50" s="104"/>
      <c r="L50" s="104"/>
      <c r="M50" s="104"/>
      <c r="N50" s="104"/>
      <c r="O50" s="104"/>
      <c r="P50" s="104"/>
      <c r="Q50" s="104"/>
      <c r="R50" s="104"/>
      <c r="S50" s="104"/>
      <c r="T50" s="104"/>
      <c r="U50" s="104"/>
      <c r="V50" s="104"/>
      <c r="W50" s="104"/>
      <c r="X50" s="104"/>
      <c r="Y50" s="104"/>
      <c r="Z50" s="104"/>
    </row>
    <row r="51" spans="1:26" ht="15" x14ac:dyDescent="0.2">
      <c r="A51" s="104"/>
      <c r="B51" s="104"/>
      <c r="C51" s="104"/>
      <c r="D51" s="104"/>
      <c r="E51" s="104"/>
      <c r="F51" s="104"/>
      <c r="G51" s="104"/>
      <c r="H51" s="104"/>
      <c r="I51" s="104"/>
      <c r="J51" s="104"/>
      <c r="K51" s="104"/>
      <c r="L51" s="104"/>
      <c r="M51" s="104"/>
      <c r="N51" s="104"/>
      <c r="O51" s="104"/>
      <c r="P51" s="104"/>
      <c r="Q51" s="104"/>
      <c r="R51" s="104"/>
      <c r="S51" s="104"/>
      <c r="T51" s="104"/>
      <c r="U51" s="104"/>
      <c r="V51" s="104"/>
      <c r="W51" s="104"/>
      <c r="X51" s="104"/>
      <c r="Y51" s="104"/>
      <c r="Z51" s="104"/>
    </row>
    <row r="52" spans="1:26" ht="15" x14ac:dyDescent="0.2">
      <c r="A52" s="104"/>
      <c r="B52" s="104"/>
      <c r="C52" s="104"/>
      <c r="D52" s="104"/>
      <c r="E52" s="104"/>
      <c r="F52" s="104"/>
      <c r="G52" s="104"/>
      <c r="H52" s="104"/>
      <c r="I52" s="104"/>
      <c r="J52" s="104"/>
      <c r="K52" s="104"/>
      <c r="L52" s="104"/>
      <c r="M52" s="104"/>
      <c r="N52" s="104"/>
      <c r="O52" s="104"/>
      <c r="P52" s="104"/>
      <c r="Q52" s="104"/>
      <c r="R52" s="104"/>
      <c r="S52" s="104"/>
      <c r="T52" s="104"/>
      <c r="U52" s="104"/>
      <c r="V52" s="104"/>
      <c r="W52" s="104"/>
      <c r="X52" s="104"/>
      <c r="Y52" s="104"/>
      <c r="Z52" s="104"/>
    </row>
    <row r="53" spans="1:26" ht="15" x14ac:dyDescent="0.2">
      <c r="A53" s="104"/>
      <c r="B53" s="104"/>
      <c r="C53" s="104"/>
      <c r="D53" s="104"/>
      <c r="E53" s="104"/>
      <c r="F53" s="104"/>
      <c r="G53" s="104"/>
      <c r="H53" s="104"/>
      <c r="I53" s="104"/>
      <c r="J53" s="104"/>
      <c r="K53" s="104"/>
      <c r="L53" s="104"/>
      <c r="M53" s="104"/>
      <c r="N53" s="104"/>
      <c r="O53" s="104"/>
      <c r="P53" s="104"/>
      <c r="Q53" s="104"/>
      <c r="R53" s="104"/>
      <c r="S53" s="104"/>
      <c r="T53" s="104"/>
      <c r="U53" s="104"/>
      <c r="V53" s="104"/>
      <c r="W53" s="104"/>
      <c r="X53" s="104"/>
      <c r="Y53" s="104"/>
      <c r="Z53" s="104"/>
    </row>
    <row r="54" spans="1:26" ht="15" x14ac:dyDescent="0.2">
      <c r="A54" s="104"/>
      <c r="B54" s="104"/>
      <c r="C54" s="104"/>
      <c r="D54" s="104"/>
      <c r="E54" s="104"/>
      <c r="F54" s="104"/>
      <c r="G54" s="104"/>
      <c r="H54" s="104"/>
      <c r="I54" s="104"/>
      <c r="J54" s="104"/>
      <c r="K54" s="104"/>
      <c r="L54" s="104"/>
      <c r="M54" s="104"/>
      <c r="N54" s="104"/>
      <c r="O54" s="104"/>
      <c r="P54" s="104"/>
      <c r="Q54" s="104"/>
      <c r="R54" s="104"/>
      <c r="S54" s="104"/>
      <c r="T54" s="104"/>
      <c r="U54" s="104"/>
      <c r="V54" s="104"/>
      <c r="W54" s="104"/>
      <c r="X54" s="104"/>
      <c r="Y54" s="104"/>
      <c r="Z54" s="104"/>
    </row>
  </sheetData>
  <sheetProtection password="CC18" sheet="1" objects="1" scenarios="1"/>
  <phoneticPr fontId="40" type="noConversion"/>
  <pageMargins left="0.75" right="0.75" top="1" bottom="1" header="0.5" footer="0.5"/>
  <pageSetup orientation="portrait"/>
  <headerFooter alignWithMargins="0">
    <oddHeader>&amp;A</oddHeader>
    <oddFooter>Page &amp;P</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29698" r:id="rId3" name="Button 2">
              <controlPr defaultSize="0" autoFill="0" autoLine="0" autoPict="0" macro="[0]!HideActiveSheet">
                <anchor moveWithCells="1" sizeWithCells="1">
                  <from>
                    <xdr:col>4</xdr:col>
                    <xdr:colOff>314325</xdr:colOff>
                    <xdr:row>6</xdr:row>
                    <xdr:rowOff>114300</xdr:rowOff>
                  </from>
                  <to>
                    <xdr:col>5</xdr:col>
                    <xdr:colOff>400050</xdr:colOff>
                    <xdr:row>7</xdr:row>
                    <xdr:rowOff>161925</xdr:rowOff>
                  </to>
                </anchor>
              </controlPr>
            </control>
          </mc:Choice>
        </mc:AlternateContent>
        <mc:AlternateContent xmlns:mc="http://schemas.openxmlformats.org/markup-compatibility/2006">
          <mc:Choice Requires="x14">
            <control shapeId="29699" r:id="rId4" name="Button 3">
              <controlPr defaultSize="0" autoFill="0" autoLine="0" autoPict="0" macro="[0]!ViewSelectedSheet">
                <anchor moveWithCells="1" sizeWithCells="1">
                  <from>
                    <xdr:col>4</xdr:col>
                    <xdr:colOff>314325</xdr:colOff>
                    <xdr:row>5</xdr:row>
                    <xdr:rowOff>9525</xdr:rowOff>
                  </from>
                  <to>
                    <xdr:col>5</xdr:col>
                    <xdr:colOff>400050</xdr:colOff>
                    <xdr:row>6</xdr:row>
                    <xdr:rowOff>66675</xdr:rowOff>
                  </to>
                </anchor>
              </controlPr>
            </control>
          </mc:Choice>
        </mc:AlternateContent>
        <mc:AlternateContent xmlns:mc="http://schemas.openxmlformats.org/markup-compatibility/2006">
          <mc:Choice Requires="x14">
            <control shapeId="29700" r:id="rId5" name="List Box 4">
              <controlPr defaultSize="0" autoFill="0" autoLine="0" autoPict="0">
                <anchor moveWithCells="1">
                  <from>
                    <xdr:col>2</xdr:col>
                    <xdr:colOff>209550</xdr:colOff>
                    <xdr:row>4</xdr:row>
                    <xdr:rowOff>152400</xdr:rowOff>
                  </from>
                  <to>
                    <xdr:col>4</xdr:col>
                    <xdr:colOff>200025</xdr:colOff>
                    <xdr:row>8</xdr:row>
                    <xdr:rowOff>38100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A1:L24"/>
  <sheetViews>
    <sheetView workbookViewId="0">
      <selection activeCell="A3" sqref="A3"/>
    </sheetView>
  </sheetViews>
  <sheetFormatPr defaultColWidth="8.85546875" defaultRowHeight="12.75" x14ac:dyDescent="0.2"/>
  <cols>
    <col min="1" max="3" width="8.28515625" customWidth="1"/>
    <col min="4" max="4" width="3.28515625" customWidth="1"/>
    <col min="8" max="8" width="3.28515625" customWidth="1"/>
    <col min="9" max="11" width="8.28515625" customWidth="1"/>
    <col min="14" max="14" width="28.42578125" customWidth="1"/>
  </cols>
  <sheetData>
    <row r="1" spans="1:12" x14ac:dyDescent="0.2">
      <c r="A1" s="123" t="b">
        <v>0</v>
      </c>
      <c r="B1" s="122"/>
      <c r="C1" s="122"/>
      <c r="D1" s="122"/>
      <c r="E1" s="122"/>
      <c r="F1" s="122"/>
      <c r="G1" s="122"/>
      <c r="H1" s="122"/>
      <c r="I1" s="122"/>
      <c r="J1" s="122"/>
      <c r="K1" s="122"/>
      <c r="L1" s="122"/>
    </row>
    <row r="2" spans="1:12" x14ac:dyDescent="0.2">
      <c r="A2" s="123" t="b">
        <v>0</v>
      </c>
      <c r="B2" s="122"/>
      <c r="C2" s="122"/>
      <c r="D2" s="122"/>
      <c r="E2" s="122"/>
      <c r="F2" s="122"/>
      <c r="G2" s="122"/>
      <c r="H2" s="122"/>
      <c r="I2" s="122"/>
      <c r="J2" s="122"/>
      <c r="K2" s="122"/>
      <c r="L2" s="122"/>
    </row>
    <row r="3" spans="1:12" x14ac:dyDescent="0.2">
      <c r="A3" s="123" t="b">
        <v>0</v>
      </c>
      <c r="B3" s="122"/>
      <c r="C3" s="122"/>
      <c r="D3" s="122"/>
      <c r="E3" s="122"/>
      <c r="F3" s="122"/>
      <c r="G3" s="122"/>
      <c r="H3" s="122"/>
      <c r="I3" s="122"/>
      <c r="J3" s="122"/>
      <c r="K3" s="122"/>
      <c r="L3" s="122"/>
    </row>
    <row r="4" spans="1:12" x14ac:dyDescent="0.2">
      <c r="A4" s="123" t="str">
        <f>CONCATENATE(A1,A2,A3)</f>
        <v>FALSEFALSEFALSE</v>
      </c>
      <c r="B4" s="122"/>
      <c r="C4" s="122"/>
      <c r="D4" s="122"/>
      <c r="E4" s="122"/>
      <c r="F4" s="122"/>
      <c r="G4" s="122"/>
      <c r="H4" s="122"/>
      <c r="I4" s="122"/>
      <c r="J4" s="122"/>
      <c r="K4" s="122"/>
      <c r="L4" s="122"/>
    </row>
    <row r="5" spans="1:12" x14ac:dyDescent="0.2">
      <c r="A5" s="124">
        <f>IF(A4="FALSEFALSETRUE"," ",IF(A4="FALSETRUEFALSE"," ",IF(A4="TRUEFALSEFALSE"," ",2)))</f>
        <v>2</v>
      </c>
      <c r="B5" s="122"/>
      <c r="C5" s="122"/>
      <c r="D5" s="107"/>
      <c r="E5" s="107"/>
      <c r="F5" s="107"/>
      <c r="G5" s="107"/>
      <c r="H5" s="107"/>
      <c r="I5" s="122"/>
      <c r="J5" s="122"/>
      <c r="K5" s="122"/>
      <c r="L5" s="122"/>
    </row>
    <row r="6" spans="1:12" x14ac:dyDescent="0.2">
      <c r="A6" s="122"/>
      <c r="B6" s="122"/>
      <c r="C6" s="122"/>
      <c r="D6" s="107"/>
      <c r="E6" s="107"/>
      <c r="F6" s="107"/>
      <c r="G6" s="107"/>
      <c r="H6" s="107"/>
      <c r="I6" s="122"/>
      <c r="J6" s="122"/>
      <c r="K6" s="122"/>
      <c r="L6" s="122"/>
    </row>
    <row r="7" spans="1:12" x14ac:dyDescent="0.2">
      <c r="A7" s="122"/>
      <c r="B7" s="122"/>
      <c r="C7" s="122"/>
      <c r="D7" s="107"/>
      <c r="E7" s="107"/>
      <c r="F7" s="107"/>
      <c r="G7" s="107"/>
      <c r="H7" s="107"/>
      <c r="I7" s="122"/>
      <c r="J7" s="122"/>
      <c r="K7" s="122"/>
      <c r="L7" s="122"/>
    </row>
    <row r="8" spans="1:12" x14ac:dyDescent="0.2">
      <c r="A8" s="122"/>
      <c r="B8" s="122"/>
      <c r="C8" s="122"/>
      <c r="D8" s="107"/>
      <c r="E8" s="107"/>
      <c r="F8" s="107"/>
      <c r="G8" s="107"/>
      <c r="H8" s="107"/>
      <c r="I8" s="122"/>
      <c r="J8" s="122"/>
      <c r="K8" s="122"/>
      <c r="L8" s="122"/>
    </row>
    <row r="9" spans="1:12" x14ac:dyDescent="0.2">
      <c r="A9" s="122"/>
      <c r="B9" s="122"/>
      <c r="C9" s="122"/>
      <c r="D9" s="107"/>
      <c r="E9" s="107"/>
      <c r="F9" s="107"/>
      <c r="G9" s="107"/>
      <c r="H9" s="107"/>
      <c r="I9" s="122"/>
      <c r="J9" s="122"/>
      <c r="K9" s="122"/>
      <c r="L9" s="122"/>
    </row>
    <row r="10" spans="1:12" x14ac:dyDescent="0.2">
      <c r="A10" s="122"/>
      <c r="B10" s="122"/>
      <c r="C10" s="122"/>
      <c r="D10" s="107"/>
      <c r="E10" s="107"/>
      <c r="F10" s="107"/>
      <c r="G10" s="107"/>
      <c r="H10" s="107"/>
      <c r="I10" s="122"/>
      <c r="J10" s="122"/>
      <c r="K10" s="122"/>
      <c r="L10" s="122"/>
    </row>
    <row r="11" spans="1:12" x14ac:dyDescent="0.2">
      <c r="A11" s="122"/>
      <c r="B11" s="122"/>
      <c r="C11" s="122"/>
      <c r="D11" s="107"/>
      <c r="E11" s="107"/>
      <c r="F11" s="107"/>
      <c r="G11" s="107"/>
      <c r="H11" s="107"/>
      <c r="I11" s="122"/>
      <c r="J11" s="122"/>
      <c r="K11" s="122"/>
      <c r="L11" s="122"/>
    </row>
    <row r="12" spans="1:12" x14ac:dyDescent="0.2">
      <c r="A12" s="122"/>
      <c r="B12" s="122"/>
      <c r="C12" s="122"/>
      <c r="D12" s="122"/>
      <c r="E12" s="122"/>
      <c r="F12" s="122"/>
      <c r="G12" s="122"/>
      <c r="H12" s="122"/>
      <c r="I12" s="122"/>
      <c r="J12" s="122"/>
      <c r="K12" s="122"/>
      <c r="L12" s="122"/>
    </row>
    <row r="13" spans="1:12" x14ac:dyDescent="0.2">
      <c r="A13" s="122"/>
      <c r="B13" s="122"/>
      <c r="C13" s="122"/>
      <c r="D13" s="122"/>
      <c r="E13" s="122"/>
      <c r="F13" s="122"/>
      <c r="G13" s="122"/>
      <c r="H13" s="122"/>
      <c r="I13" s="122"/>
      <c r="J13" s="122"/>
      <c r="K13" s="122"/>
      <c r="L13" s="122"/>
    </row>
    <row r="14" spans="1:12" x14ac:dyDescent="0.2">
      <c r="A14" s="122"/>
      <c r="B14" s="122"/>
      <c r="C14" s="122"/>
      <c r="D14" s="122"/>
      <c r="E14" s="122"/>
      <c r="F14" s="122"/>
      <c r="G14" s="122"/>
      <c r="H14" s="122"/>
      <c r="I14" s="122"/>
      <c r="J14" s="122"/>
      <c r="K14" s="122"/>
      <c r="L14" s="122"/>
    </row>
    <row r="15" spans="1:12" x14ac:dyDescent="0.2">
      <c r="A15" s="122"/>
      <c r="B15" s="122"/>
      <c r="C15" s="122"/>
      <c r="D15" s="122"/>
      <c r="E15" s="122"/>
      <c r="F15" s="122"/>
      <c r="G15" s="122"/>
      <c r="H15" s="122"/>
      <c r="I15" s="122"/>
      <c r="J15" s="122"/>
      <c r="K15" s="122"/>
      <c r="L15" s="122"/>
    </row>
    <row r="16" spans="1:12" x14ac:dyDescent="0.2">
      <c r="A16" s="122"/>
      <c r="B16" s="122"/>
      <c r="C16" s="122"/>
      <c r="D16" s="122"/>
      <c r="E16" s="122"/>
      <c r="F16" s="122"/>
      <c r="G16" s="122"/>
      <c r="H16" s="122"/>
      <c r="I16" s="122"/>
      <c r="J16" s="122"/>
      <c r="K16" s="122"/>
      <c r="L16" s="122"/>
    </row>
    <row r="17" spans="1:12" x14ac:dyDescent="0.2">
      <c r="A17" s="122"/>
      <c r="B17" s="122"/>
      <c r="C17" s="122"/>
      <c r="D17" s="122"/>
      <c r="E17" s="122"/>
      <c r="F17" s="122"/>
      <c r="G17" s="122"/>
      <c r="H17" s="122"/>
      <c r="I17" s="122"/>
      <c r="J17" s="122"/>
      <c r="K17" s="122"/>
      <c r="L17" s="122"/>
    </row>
    <row r="18" spans="1:12" x14ac:dyDescent="0.2">
      <c r="A18" s="122"/>
      <c r="B18" s="122"/>
      <c r="C18" s="122"/>
      <c r="D18" s="122"/>
      <c r="E18" s="122"/>
      <c r="F18" s="122"/>
      <c r="G18" s="122"/>
      <c r="H18" s="122"/>
      <c r="I18" s="122"/>
      <c r="J18" s="122"/>
      <c r="K18" s="122"/>
      <c r="L18" s="122"/>
    </row>
    <row r="19" spans="1:12" x14ac:dyDescent="0.2">
      <c r="A19" s="122"/>
      <c r="B19" s="122"/>
      <c r="C19" s="122"/>
      <c r="D19" s="122"/>
      <c r="E19" s="122"/>
      <c r="F19" s="122"/>
      <c r="G19" s="122"/>
      <c r="H19" s="122"/>
      <c r="I19" s="122"/>
      <c r="J19" s="122"/>
      <c r="K19" s="122"/>
      <c r="L19" s="122"/>
    </row>
    <row r="20" spans="1:12" x14ac:dyDescent="0.2">
      <c r="A20" s="122"/>
      <c r="B20" s="122"/>
      <c r="C20" s="122"/>
      <c r="D20" s="122"/>
      <c r="E20" s="122"/>
      <c r="F20" s="122"/>
      <c r="G20" s="122"/>
      <c r="H20" s="122"/>
      <c r="I20" s="122"/>
      <c r="J20" s="122"/>
      <c r="K20" s="122"/>
      <c r="L20" s="122"/>
    </row>
    <row r="21" spans="1:12" x14ac:dyDescent="0.2">
      <c r="A21" s="122"/>
      <c r="B21" s="122"/>
      <c r="C21" s="122"/>
      <c r="D21" s="122"/>
      <c r="E21" s="122"/>
      <c r="F21" s="122"/>
      <c r="G21" s="122"/>
      <c r="H21" s="122"/>
      <c r="I21" s="122"/>
      <c r="J21" s="122"/>
      <c r="K21" s="122"/>
      <c r="L21" s="122"/>
    </row>
    <row r="22" spans="1:12" x14ac:dyDescent="0.2">
      <c r="A22" s="122"/>
      <c r="B22" s="122"/>
      <c r="C22" s="122"/>
      <c r="D22" s="122"/>
      <c r="E22" s="122"/>
      <c r="F22" s="122"/>
      <c r="G22" s="122"/>
      <c r="H22" s="122"/>
      <c r="I22" s="122"/>
      <c r="J22" s="122"/>
      <c r="K22" s="122"/>
      <c r="L22" s="122"/>
    </row>
    <row r="23" spans="1:12" x14ac:dyDescent="0.2">
      <c r="A23" s="122"/>
      <c r="B23" s="122"/>
      <c r="C23" s="122"/>
      <c r="D23" s="122"/>
      <c r="E23" s="122"/>
      <c r="F23" s="122"/>
      <c r="G23" s="122"/>
      <c r="H23" s="122"/>
      <c r="I23" s="122"/>
      <c r="J23" s="122"/>
      <c r="K23" s="122"/>
      <c r="L23" s="122"/>
    </row>
    <row r="24" spans="1:12" x14ac:dyDescent="0.2">
      <c r="A24" s="122"/>
      <c r="B24" s="122"/>
      <c r="C24" s="122"/>
      <c r="D24" s="122"/>
      <c r="E24" s="122"/>
      <c r="F24" s="122"/>
      <c r="G24" s="122"/>
      <c r="H24" s="122"/>
      <c r="I24" s="122"/>
      <c r="J24" s="122"/>
      <c r="K24" s="122"/>
      <c r="L24" s="122"/>
    </row>
  </sheetData>
  <sheetProtection password="CC18" sheet="1" objects="1" scenarios="1"/>
  <phoneticPr fontId="40" type="noConversion"/>
  <pageMargins left="0.75" right="0.75" top="1" bottom="1" header="0.5" footer="0.5"/>
  <pageSetup orientation="portrait" horizontalDpi="300" verticalDpi="300"/>
  <headerFooter alignWithMargins="0">
    <oddHeader>&amp;A</oddHeader>
    <oddFooter>Page &amp;P</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30722" r:id="rId3" name="Check Box 2">
              <controlPr defaultSize="0" autoFill="0" autoLine="0" autoPict="0">
                <anchor moveWithCells="1">
                  <from>
                    <xdr:col>4</xdr:col>
                    <xdr:colOff>0</xdr:colOff>
                    <xdr:row>4</xdr:row>
                    <xdr:rowOff>133350</xdr:rowOff>
                  </from>
                  <to>
                    <xdr:col>5</xdr:col>
                    <xdr:colOff>190500</xdr:colOff>
                    <xdr:row>6</xdr:row>
                    <xdr:rowOff>9525</xdr:rowOff>
                  </to>
                </anchor>
              </controlPr>
            </control>
          </mc:Choice>
        </mc:AlternateContent>
        <mc:AlternateContent xmlns:mc="http://schemas.openxmlformats.org/markup-compatibility/2006">
          <mc:Choice Requires="x14">
            <control shapeId="30724" r:id="rId4" name="Check Box 4">
              <controlPr defaultSize="0" autoFill="0" autoLine="0" autoPict="0">
                <anchor moveWithCells="1">
                  <from>
                    <xdr:col>4</xdr:col>
                    <xdr:colOff>0</xdr:colOff>
                    <xdr:row>6</xdr:row>
                    <xdr:rowOff>133350</xdr:rowOff>
                  </from>
                  <to>
                    <xdr:col>5</xdr:col>
                    <xdr:colOff>457200</xdr:colOff>
                    <xdr:row>8</xdr:row>
                    <xdr:rowOff>9525</xdr:rowOff>
                  </to>
                </anchor>
              </controlPr>
            </control>
          </mc:Choice>
        </mc:AlternateContent>
        <mc:AlternateContent xmlns:mc="http://schemas.openxmlformats.org/markup-compatibility/2006">
          <mc:Choice Requires="x14">
            <control shapeId="30725" r:id="rId5" name="Check Box 5">
              <controlPr defaultSize="0" autoFill="0" autoLine="0" autoPict="0">
                <anchor moveWithCells="1">
                  <from>
                    <xdr:col>4</xdr:col>
                    <xdr:colOff>0</xdr:colOff>
                    <xdr:row>8</xdr:row>
                    <xdr:rowOff>133350</xdr:rowOff>
                  </from>
                  <to>
                    <xdr:col>6</xdr:col>
                    <xdr:colOff>76200</xdr:colOff>
                    <xdr:row>10</xdr:row>
                    <xdr:rowOff>9525</xdr:rowOff>
                  </to>
                </anchor>
              </controlPr>
            </control>
          </mc:Choice>
        </mc:AlternateContent>
        <mc:AlternateContent xmlns:mc="http://schemas.openxmlformats.org/markup-compatibility/2006">
          <mc:Choice Requires="x14">
            <control shapeId="30726" r:id="rId6" name="Button 6">
              <controlPr defaultSize="0" autoFill="0" autoLine="0" autoPict="0" macro="[0]!SaveMenuSelection">
                <anchor moveWithCells="1" sizeWithCells="1">
                  <from>
                    <xdr:col>6</xdr:col>
                    <xdr:colOff>0</xdr:colOff>
                    <xdr:row>5</xdr:row>
                    <xdr:rowOff>0</xdr:rowOff>
                  </from>
                  <to>
                    <xdr:col>6</xdr:col>
                    <xdr:colOff>533400</xdr:colOff>
                    <xdr:row>6</xdr:row>
                    <xdr:rowOff>38100</xdr:rowOff>
                  </to>
                </anchor>
              </controlPr>
            </control>
          </mc:Choice>
        </mc:AlternateContent>
        <mc:AlternateContent xmlns:mc="http://schemas.openxmlformats.org/markup-compatibility/2006">
          <mc:Choice Requires="x14">
            <control shapeId="30727" r:id="rId7" name="Button 7">
              <controlPr defaultSize="0" autoFill="0" autoLine="0" autoPict="0" macro="[0]!HideSaveMenuSheet">
                <anchor moveWithCells="1" sizeWithCells="1">
                  <from>
                    <xdr:col>6</xdr:col>
                    <xdr:colOff>0</xdr:colOff>
                    <xdr:row>6</xdr:row>
                    <xdr:rowOff>85725</xdr:rowOff>
                  </from>
                  <to>
                    <xdr:col>6</xdr:col>
                    <xdr:colOff>533400</xdr:colOff>
                    <xdr:row>7</xdr:row>
                    <xdr:rowOff>123825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dimension ref="A1:L24"/>
  <sheetViews>
    <sheetView workbookViewId="0">
      <selection activeCell="G7" sqref="G7"/>
    </sheetView>
  </sheetViews>
  <sheetFormatPr defaultColWidth="8.85546875" defaultRowHeight="12.75" x14ac:dyDescent="0.2"/>
  <cols>
    <col min="1" max="3" width="8.28515625" customWidth="1"/>
    <col min="4" max="4" width="3.28515625" customWidth="1"/>
    <col min="8" max="8" width="3.28515625" customWidth="1"/>
    <col min="9" max="11" width="8.28515625" customWidth="1"/>
    <col min="14" max="14" width="28.42578125" customWidth="1"/>
  </cols>
  <sheetData>
    <row r="1" spans="1:12" x14ac:dyDescent="0.2">
      <c r="A1" s="118" t="b">
        <v>0</v>
      </c>
      <c r="B1" s="119"/>
      <c r="C1" s="119"/>
      <c r="D1" s="119"/>
      <c r="E1" s="119"/>
      <c r="F1" s="119"/>
      <c r="G1" s="119"/>
      <c r="H1" s="119"/>
      <c r="I1" s="119"/>
      <c r="J1" s="119"/>
      <c r="K1" s="119"/>
      <c r="L1" s="119"/>
    </row>
    <row r="2" spans="1:12" x14ac:dyDescent="0.2">
      <c r="A2" s="118" t="b">
        <v>0</v>
      </c>
      <c r="B2" s="119"/>
      <c r="C2" s="119"/>
      <c r="D2" s="119"/>
      <c r="E2" s="119"/>
      <c r="F2" s="119"/>
      <c r="G2" s="119"/>
      <c r="H2" s="119"/>
      <c r="I2" s="119"/>
      <c r="J2" s="119"/>
      <c r="K2" s="119"/>
      <c r="L2" s="119"/>
    </row>
    <row r="3" spans="1:12" x14ac:dyDescent="0.2">
      <c r="A3" s="118" t="b">
        <v>1</v>
      </c>
      <c r="B3" s="119"/>
      <c r="C3" s="119"/>
      <c r="D3" s="119"/>
      <c r="E3" s="119"/>
      <c r="F3" s="119"/>
      <c r="G3" s="119"/>
      <c r="H3" s="119"/>
      <c r="I3" s="119"/>
      <c r="J3" s="119"/>
      <c r="K3" s="119"/>
      <c r="L3" s="119"/>
    </row>
    <row r="4" spans="1:12" x14ac:dyDescent="0.2">
      <c r="A4" s="118" t="str">
        <f>CONCATENATE(A1,A2,A3)</f>
        <v>FALSEFALSETRUE</v>
      </c>
      <c r="B4" s="119"/>
      <c r="C4" s="119"/>
      <c r="D4" s="119"/>
      <c r="E4" s="119"/>
      <c r="F4" s="119"/>
      <c r="G4" s="119"/>
      <c r="H4" s="119"/>
      <c r="I4" s="119"/>
      <c r="J4" s="119"/>
      <c r="K4" s="119"/>
      <c r="L4" s="119"/>
    </row>
    <row r="5" spans="1:12" x14ac:dyDescent="0.2">
      <c r="A5" s="119" t="str">
        <f>IF(A4="FALSEFALSETRUE"," ",IF(A4="FALSETRUEFALSE"," ",IF(A4="TRUEFALSEFALSE"," ",2)))</f>
        <v xml:space="preserve"> </v>
      </c>
      <c r="B5" s="119"/>
      <c r="C5" s="119"/>
      <c r="D5" s="121"/>
      <c r="E5" s="121"/>
      <c r="F5" s="121"/>
      <c r="G5" s="121"/>
      <c r="H5" s="121"/>
      <c r="I5" s="120"/>
      <c r="J5" s="120"/>
      <c r="K5" s="120"/>
      <c r="L5" s="120"/>
    </row>
    <row r="6" spans="1:12" x14ac:dyDescent="0.2">
      <c r="A6" s="119"/>
      <c r="B6" s="119"/>
      <c r="C6" s="119"/>
      <c r="D6" s="121"/>
      <c r="E6" s="121"/>
      <c r="F6" s="121"/>
      <c r="G6" s="121"/>
      <c r="H6" s="121"/>
      <c r="I6" s="120"/>
      <c r="J6" s="120"/>
      <c r="K6" s="120"/>
      <c r="L6" s="120"/>
    </row>
    <row r="7" spans="1:12" x14ac:dyDescent="0.2">
      <c r="A7" s="119"/>
      <c r="B7" s="119"/>
      <c r="C7" s="119"/>
      <c r="D7" s="121"/>
      <c r="E7" s="121"/>
      <c r="F7" s="121"/>
      <c r="G7" s="121"/>
      <c r="H7" s="121"/>
      <c r="I7" s="120"/>
      <c r="J7" s="120"/>
      <c r="K7" s="120"/>
      <c r="L7" s="120"/>
    </row>
    <row r="8" spans="1:12" x14ac:dyDescent="0.2">
      <c r="A8" s="119"/>
      <c r="B8" s="119"/>
      <c r="C8" s="119"/>
      <c r="D8" s="121"/>
      <c r="E8" s="121"/>
      <c r="F8" s="121"/>
      <c r="G8" s="121"/>
      <c r="H8" s="121"/>
      <c r="I8" s="120"/>
      <c r="J8" s="120"/>
      <c r="K8" s="120"/>
      <c r="L8" s="120"/>
    </row>
    <row r="9" spans="1:12" x14ac:dyDescent="0.2">
      <c r="A9" s="119"/>
      <c r="B9" s="119"/>
      <c r="C9" s="119"/>
      <c r="D9" s="121"/>
      <c r="E9" s="121"/>
      <c r="F9" s="121"/>
      <c r="G9" s="121"/>
      <c r="H9" s="121"/>
      <c r="I9" s="120"/>
      <c r="J9" s="120"/>
      <c r="K9" s="120"/>
      <c r="L9" s="120"/>
    </row>
    <row r="10" spans="1:12" x14ac:dyDescent="0.2">
      <c r="A10" s="119"/>
      <c r="B10" s="119"/>
      <c r="C10" s="119"/>
      <c r="D10" s="121"/>
      <c r="E10" s="121"/>
      <c r="F10" s="121"/>
      <c r="G10" s="121"/>
      <c r="H10" s="121"/>
      <c r="I10" s="120"/>
      <c r="J10" s="120"/>
      <c r="K10" s="120"/>
      <c r="L10" s="120"/>
    </row>
    <row r="11" spans="1:12" x14ac:dyDescent="0.2">
      <c r="A11" s="119"/>
      <c r="B11" s="119"/>
      <c r="C11" s="119"/>
      <c r="D11" s="121"/>
      <c r="E11" s="121"/>
      <c r="F11" s="121"/>
      <c r="G11" s="121"/>
      <c r="H11" s="121"/>
      <c r="I11" s="120"/>
      <c r="J11" s="120"/>
      <c r="K11" s="120"/>
      <c r="L11" s="120"/>
    </row>
    <row r="12" spans="1:12" x14ac:dyDescent="0.2">
      <c r="A12" s="119"/>
      <c r="B12" s="119"/>
      <c r="C12" s="119"/>
      <c r="D12" s="120"/>
      <c r="E12" s="120"/>
      <c r="F12" s="120"/>
      <c r="G12" s="120"/>
      <c r="H12" s="120"/>
      <c r="I12" s="120"/>
      <c r="J12" s="120"/>
      <c r="K12" s="120"/>
      <c r="L12" s="120"/>
    </row>
    <row r="13" spans="1:12" x14ac:dyDescent="0.2">
      <c r="A13" s="119"/>
      <c r="B13" s="119"/>
      <c r="C13" s="119"/>
      <c r="D13" s="120"/>
      <c r="E13" s="120"/>
      <c r="F13" s="120"/>
      <c r="G13" s="120"/>
      <c r="H13" s="120"/>
      <c r="I13" s="120"/>
      <c r="J13" s="120"/>
      <c r="K13" s="120"/>
      <c r="L13" s="120"/>
    </row>
    <row r="14" spans="1:12" x14ac:dyDescent="0.2">
      <c r="A14" s="119"/>
      <c r="B14" s="119"/>
      <c r="C14" s="119"/>
      <c r="D14" s="120"/>
      <c r="E14" s="120"/>
      <c r="F14" s="120"/>
      <c r="G14" s="120"/>
      <c r="H14" s="120"/>
      <c r="I14" s="120"/>
      <c r="J14" s="120"/>
      <c r="K14" s="120"/>
      <c r="L14" s="120"/>
    </row>
    <row r="15" spans="1:12" x14ac:dyDescent="0.2">
      <c r="A15" s="119"/>
      <c r="B15" s="119"/>
      <c r="C15" s="119"/>
      <c r="D15" s="120"/>
      <c r="E15" s="120"/>
      <c r="F15" s="120"/>
      <c r="G15" s="120"/>
      <c r="H15" s="120"/>
      <c r="I15" s="120"/>
      <c r="J15" s="120"/>
      <c r="K15" s="120"/>
      <c r="L15" s="120"/>
    </row>
    <row r="16" spans="1:12" x14ac:dyDescent="0.2">
      <c r="A16" s="119"/>
      <c r="B16" s="119"/>
      <c r="C16" s="119"/>
      <c r="D16" s="120"/>
      <c r="E16" s="120"/>
      <c r="F16" s="120"/>
      <c r="G16" s="120"/>
      <c r="H16" s="120"/>
      <c r="I16" s="120"/>
      <c r="J16" s="120"/>
      <c r="K16" s="120"/>
      <c r="L16" s="120"/>
    </row>
    <row r="17" spans="1:12" x14ac:dyDescent="0.2">
      <c r="A17" s="119"/>
      <c r="B17" s="119"/>
      <c r="C17" s="119"/>
      <c r="D17" s="120"/>
      <c r="E17" s="120"/>
      <c r="F17" s="120"/>
      <c r="G17" s="120"/>
      <c r="H17" s="120"/>
      <c r="I17" s="120"/>
      <c r="J17" s="120"/>
      <c r="K17" s="120"/>
      <c r="L17" s="120"/>
    </row>
    <row r="18" spans="1:12" x14ac:dyDescent="0.2">
      <c r="A18" s="119"/>
      <c r="B18" s="119"/>
      <c r="C18" s="119"/>
      <c r="D18" s="120"/>
      <c r="E18" s="120"/>
      <c r="F18" s="120"/>
      <c r="G18" s="120"/>
      <c r="H18" s="120"/>
      <c r="I18" s="120"/>
      <c r="J18" s="120"/>
      <c r="K18" s="120"/>
      <c r="L18" s="120"/>
    </row>
    <row r="19" spans="1:12" x14ac:dyDescent="0.2">
      <c r="A19" s="119"/>
      <c r="B19" s="119"/>
      <c r="C19" s="119"/>
      <c r="D19" s="120"/>
      <c r="E19" s="120"/>
      <c r="F19" s="120"/>
      <c r="G19" s="120"/>
      <c r="H19" s="120"/>
      <c r="I19" s="120"/>
      <c r="J19" s="120"/>
      <c r="K19" s="120"/>
      <c r="L19" s="120"/>
    </row>
    <row r="20" spans="1:12" x14ac:dyDescent="0.2">
      <c r="A20" s="119"/>
      <c r="B20" s="119"/>
      <c r="C20" s="119"/>
      <c r="D20" s="120"/>
      <c r="E20" s="120"/>
      <c r="F20" s="120"/>
      <c r="G20" s="120"/>
      <c r="H20" s="120"/>
      <c r="I20" s="120"/>
      <c r="J20" s="120"/>
      <c r="K20" s="120"/>
      <c r="L20" s="120"/>
    </row>
    <row r="21" spans="1:12" x14ac:dyDescent="0.2">
      <c r="A21" s="119"/>
      <c r="B21" s="119"/>
      <c r="C21" s="119"/>
      <c r="D21" s="120"/>
      <c r="E21" s="120"/>
      <c r="F21" s="120"/>
      <c r="G21" s="120"/>
      <c r="H21" s="120"/>
      <c r="I21" s="120"/>
      <c r="J21" s="120"/>
      <c r="K21" s="120"/>
      <c r="L21" s="120"/>
    </row>
    <row r="22" spans="1:12" x14ac:dyDescent="0.2">
      <c r="A22" s="119"/>
      <c r="B22" s="119"/>
      <c r="C22" s="119"/>
      <c r="D22" s="120"/>
      <c r="E22" s="120"/>
      <c r="F22" s="120"/>
      <c r="G22" s="120"/>
      <c r="H22" s="120"/>
      <c r="I22" s="120"/>
      <c r="J22" s="120"/>
      <c r="K22" s="120"/>
      <c r="L22" s="120"/>
    </row>
    <row r="23" spans="1:12" x14ac:dyDescent="0.2">
      <c r="A23" s="119"/>
      <c r="B23" s="119"/>
      <c r="C23" s="119"/>
      <c r="D23" s="120"/>
      <c r="E23" s="120"/>
      <c r="F23" s="120"/>
      <c r="G23" s="120"/>
      <c r="H23" s="120"/>
      <c r="I23" s="120"/>
      <c r="J23" s="120"/>
      <c r="K23" s="120"/>
      <c r="L23" s="120"/>
    </row>
    <row r="24" spans="1:12" x14ac:dyDescent="0.2">
      <c r="A24" s="119"/>
      <c r="B24" s="119"/>
      <c r="C24" s="119"/>
      <c r="D24" s="120"/>
      <c r="E24" s="120"/>
      <c r="F24" s="120"/>
      <c r="G24" s="120"/>
      <c r="H24" s="120"/>
      <c r="I24" s="120"/>
      <c r="J24" s="120"/>
      <c r="K24" s="120"/>
      <c r="L24" s="120"/>
    </row>
  </sheetData>
  <sheetProtection password="CC18" sheet="1" objects="1" scenarios="1"/>
  <phoneticPr fontId="40" type="noConversion"/>
  <pageMargins left="0.75" right="0.75" top="1" bottom="1" header="0.5" footer="0.5"/>
  <pageSetup orientation="portrait" horizontalDpi="300" verticalDpi="300"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1746" r:id="rId4" name="Check Box 2">
              <controlPr defaultSize="0" autoFill="0" autoLine="0" autoPict="0">
                <anchor moveWithCells="1">
                  <from>
                    <xdr:col>4</xdr:col>
                    <xdr:colOff>0</xdr:colOff>
                    <xdr:row>4</xdr:row>
                    <xdr:rowOff>133350</xdr:rowOff>
                  </from>
                  <to>
                    <xdr:col>5</xdr:col>
                    <xdr:colOff>190500</xdr:colOff>
                    <xdr:row>6</xdr:row>
                    <xdr:rowOff>9525</xdr:rowOff>
                  </to>
                </anchor>
              </controlPr>
            </control>
          </mc:Choice>
        </mc:AlternateContent>
        <mc:AlternateContent xmlns:mc="http://schemas.openxmlformats.org/markup-compatibility/2006">
          <mc:Choice Requires="x14">
            <control shapeId="31748" r:id="rId5" name="Check Box 4">
              <controlPr defaultSize="0" autoFill="0" autoLine="0" autoPict="0">
                <anchor moveWithCells="1">
                  <from>
                    <xdr:col>4</xdr:col>
                    <xdr:colOff>0</xdr:colOff>
                    <xdr:row>6</xdr:row>
                    <xdr:rowOff>133350</xdr:rowOff>
                  </from>
                  <to>
                    <xdr:col>5</xdr:col>
                    <xdr:colOff>457200</xdr:colOff>
                    <xdr:row>8</xdr:row>
                    <xdr:rowOff>9525</xdr:rowOff>
                  </to>
                </anchor>
              </controlPr>
            </control>
          </mc:Choice>
        </mc:AlternateContent>
        <mc:AlternateContent xmlns:mc="http://schemas.openxmlformats.org/markup-compatibility/2006">
          <mc:Choice Requires="x14">
            <control shapeId="31749" r:id="rId6" name="Check Box 5">
              <controlPr defaultSize="0" autoFill="0" autoLine="0" autoPict="0">
                <anchor moveWithCells="1">
                  <from>
                    <xdr:col>4</xdr:col>
                    <xdr:colOff>0</xdr:colOff>
                    <xdr:row>8</xdr:row>
                    <xdr:rowOff>133350</xdr:rowOff>
                  </from>
                  <to>
                    <xdr:col>6</xdr:col>
                    <xdr:colOff>76200</xdr:colOff>
                    <xdr:row>10</xdr:row>
                    <xdr:rowOff>9525</xdr:rowOff>
                  </to>
                </anchor>
              </controlPr>
            </control>
          </mc:Choice>
        </mc:AlternateContent>
        <mc:AlternateContent xmlns:mc="http://schemas.openxmlformats.org/markup-compatibility/2006">
          <mc:Choice Requires="x14">
            <control shapeId="31750" r:id="rId7" name="Button 6">
              <controlPr defaultSize="0" autoFill="0" autoLine="0" autoPict="0" macro="[0]!PrintMenuSelection">
                <anchor moveWithCells="1" sizeWithCells="1">
                  <from>
                    <xdr:col>6</xdr:col>
                    <xdr:colOff>0</xdr:colOff>
                    <xdr:row>5</xdr:row>
                    <xdr:rowOff>0</xdr:rowOff>
                  </from>
                  <to>
                    <xdr:col>6</xdr:col>
                    <xdr:colOff>533400</xdr:colOff>
                    <xdr:row>6</xdr:row>
                    <xdr:rowOff>38100</xdr:rowOff>
                  </to>
                </anchor>
              </controlPr>
            </control>
          </mc:Choice>
        </mc:AlternateContent>
        <mc:AlternateContent xmlns:mc="http://schemas.openxmlformats.org/markup-compatibility/2006">
          <mc:Choice Requires="x14">
            <control shapeId="31751" r:id="rId8" name="Button 7">
              <controlPr defaultSize="0" autoFill="0" autoLine="0" autoPict="0" macro="[0]!HidePrintMenuSheet">
                <anchor moveWithCells="1" sizeWithCells="1">
                  <from>
                    <xdr:col>6</xdr:col>
                    <xdr:colOff>0</xdr:colOff>
                    <xdr:row>6</xdr:row>
                    <xdr:rowOff>85725</xdr:rowOff>
                  </from>
                  <to>
                    <xdr:col>6</xdr:col>
                    <xdr:colOff>533400</xdr:colOff>
                    <xdr:row>7</xdr:row>
                    <xdr:rowOff>123825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
  <sheetViews>
    <sheetView workbookViewId="0"/>
  </sheetViews>
  <sheetFormatPr defaultColWidth="8.85546875" defaultRowHeight="12.75" x14ac:dyDescent="0.2"/>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J8:J10"/>
  <sheetViews>
    <sheetView workbookViewId="0">
      <selection activeCell="O31" sqref="O31"/>
    </sheetView>
  </sheetViews>
  <sheetFormatPr defaultColWidth="8.85546875" defaultRowHeight="12.75" x14ac:dyDescent="0.2"/>
  <sheetData>
    <row r="8" spans="10:10" x14ac:dyDescent="0.2"/>
    <row r="10" spans="10:10" x14ac:dyDescent="0.2"/>
  </sheetData>
  <pageMargins left="0.7" right="0.7" top="0.75" bottom="0.75" header="0.3" footer="0.3"/>
  <legacy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
  <sheetViews>
    <sheetView workbookViewId="0"/>
  </sheetViews>
  <sheetFormatPr defaultColWidth="8.85546875" defaultRowHeight="12.75" x14ac:dyDescent="0.2"/>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15</vt:i4>
      </vt:variant>
      <vt:variant>
        <vt:lpstr>Dialogs</vt:lpstr>
      </vt:variant>
      <vt:variant>
        <vt:i4>11</vt:i4>
      </vt:variant>
      <vt:variant>
        <vt:lpstr>Named Ranges</vt:lpstr>
      </vt:variant>
      <vt:variant>
        <vt:i4>6</vt:i4>
      </vt:variant>
    </vt:vector>
  </HeadingPairs>
  <TitlesOfParts>
    <vt:vector size="32" baseType="lpstr">
      <vt:lpstr>Main Menu</vt:lpstr>
      <vt:lpstr>CUST Weekly Asignments</vt:lpstr>
      <vt:lpstr>BEM Weekly Asignments</vt:lpstr>
      <vt:lpstr>MPE Weekly Asignments</vt:lpstr>
      <vt:lpstr>ET Weekly Asignments</vt:lpstr>
      <vt:lpstr>Master List</vt:lpstr>
      <vt:lpstr>Selected Crew</vt:lpstr>
      <vt:lpstr>Print Selected Sheet</vt:lpstr>
      <vt:lpstr>Schedule</vt:lpstr>
      <vt:lpstr>View Selected Sheet</vt:lpstr>
      <vt:lpstr>Save Menu</vt:lpstr>
      <vt:lpstr>Print Menu</vt:lpstr>
      <vt:lpstr>Sheet1</vt:lpstr>
      <vt:lpstr>Sheet2</vt:lpstr>
      <vt:lpstr>Sheet3</vt:lpstr>
      <vt:lpstr>Dialog1</vt:lpstr>
      <vt:lpstr>Dialog2</vt:lpstr>
      <vt:lpstr>Dialog3</vt:lpstr>
      <vt:lpstr>Dialog4</vt:lpstr>
      <vt:lpstr>Dialog5</vt:lpstr>
      <vt:lpstr>Dialog6</vt:lpstr>
      <vt:lpstr>Dialog7</vt:lpstr>
      <vt:lpstr>Dialog8</vt:lpstr>
      <vt:lpstr>DialogA</vt:lpstr>
      <vt:lpstr>DialogB</vt:lpstr>
      <vt:lpstr>DialogC</vt:lpstr>
      <vt:lpstr>'BEM Weekly Asignments'!Print_Area</vt:lpstr>
      <vt:lpstr>'CUST Weekly Asignments'!Print_Area</vt:lpstr>
      <vt:lpstr>'ET Weekly Asignments'!Print_Area</vt:lpstr>
      <vt:lpstr>'Master List'!Print_Area</vt:lpstr>
      <vt:lpstr>'MPE Weekly Asignments'!Print_Area</vt:lpstr>
      <vt:lpstr>Schedule!Print_Area</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Singh, Sarvjit - Houston, TX</dc:creator>
  <cp:lastModifiedBy>Microsoft</cp:lastModifiedBy>
  <cp:lastPrinted>2016-02-22T21:36:55Z</cp:lastPrinted>
  <dcterms:created xsi:type="dcterms:W3CDTF">1998-10-30T02:47:14Z</dcterms:created>
  <dcterms:modified xsi:type="dcterms:W3CDTF">2016-03-01T17:19:29Z</dcterms:modified>
</cp:coreProperties>
</file>